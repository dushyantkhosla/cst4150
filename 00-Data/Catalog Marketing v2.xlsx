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.Khosla\Downloads\"/>
    </mc:Choice>
  </mc:AlternateContent>
  <xr:revisionPtr revIDLastSave="0" documentId="8_{3F756B5B-BAF0-4D78-9894-94823A601B35}" xr6:coauthVersionLast="47" xr6:coauthVersionMax="47" xr10:uidLastSave="{00000000-0000-0000-0000-000000000000}"/>
  <bookViews>
    <workbookView xWindow="10430" yWindow="670" windowWidth="14400" windowHeight="7270" activeTab="1" xr2:uid="{00000000-000D-0000-FFFF-FFFF00000000}"/>
  </bookViews>
  <sheets>
    <sheet name="Data" sheetId="1" r:id="rId1"/>
    <sheet name="raw data" sheetId="7" r:id="rId2"/>
  </sheets>
  <definedNames>
    <definedName name="_xlnm._FilterDatabase" localSheetId="0" hidden="1">Data!$AA$1:$AB$19</definedName>
    <definedName name="_xlnm.Criteria" localSheetId="0">Data!#REF!</definedName>
    <definedName name="_xlnm.Extract" localSheetId="0">Data!#REF!</definedName>
    <definedName name="_xlnm.Print_Area" localSheetId="0">Data!#REF!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1" l="1"/>
  <c r="P52" i="1"/>
  <c r="P56" i="1"/>
  <c r="P78" i="1"/>
  <c r="P142" i="1"/>
  <c r="P159" i="1"/>
  <c r="P181" i="1"/>
  <c r="P209" i="1"/>
  <c r="P223" i="1"/>
  <c r="P285" i="1"/>
  <c r="P287" i="1"/>
  <c r="P317" i="1"/>
  <c r="P326" i="1"/>
  <c r="P338" i="1"/>
  <c r="P346" i="1"/>
  <c r="P397" i="1"/>
  <c r="P398" i="1"/>
  <c r="P485" i="1"/>
  <c r="P509" i="1"/>
  <c r="P557" i="1"/>
  <c r="P568" i="1"/>
  <c r="P617" i="1"/>
  <c r="P625" i="1"/>
  <c r="P665" i="1"/>
  <c r="P685" i="1"/>
  <c r="P698" i="1"/>
  <c r="P705" i="1"/>
  <c r="P731" i="1"/>
  <c r="P771" i="1"/>
  <c r="P828" i="1"/>
  <c r="P911" i="1"/>
  <c r="P939" i="1"/>
  <c r="P947" i="1"/>
  <c r="P949" i="1"/>
  <c r="P951" i="1"/>
  <c r="P956" i="1"/>
  <c r="P957" i="1"/>
  <c r="P12" i="1"/>
  <c r="P15" i="1"/>
  <c r="P29" i="1"/>
  <c r="P41" i="1"/>
  <c r="P72" i="1"/>
  <c r="P92" i="1"/>
  <c r="P98" i="1"/>
  <c r="P129" i="1"/>
  <c r="P158" i="1"/>
  <c r="P189" i="1"/>
  <c r="P250" i="1"/>
  <c r="P309" i="1"/>
  <c r="P310" i="1"/>
  <c r="P334" i="1"/>
  <c r="P406" i="1"/>
  <c r="P430" i="1"/>
  <c r="P432" i="1"/>
  <c r="P444" i="1"/>
  <c r="P451" i="1"/>
  <c r="P483" i="1"/>
  <c r="P484" i="1"/>
  <c r="P508" i="1"/>
  <c r="P552" i="1"/>
  <c r="P563" i="1"/>
  <c r="P584" i="1"/>
  <c r="P657" i="1"/>
  <c r="P669" i="1"/>
  <c r="P736" i="1"/>
  <c r="P748" i="1"/>
  <c r="P755" i="1"/>
  <c r="P810" i="1"/>
  <c r="P824" i="1"/>
  <c r="P844" i="1"/>
  <c r="P897" i="1"/>
  <c r="P898" i="1"/>
  <c r="P901" i="1"/>
  <c r="P922" i="1"/>
  <c r="P942" i="1"/>
  <c r="P945" i="1"/>
  <c r="P3" i="1"/>
  <c r="P6" i="1"/>
  <c r="P10" i="1"/>
  <c r="P55" i="1"/>
  <c r="P75" i="1"/>
  <c r="P91" i="1"/>
  <c r="P146" i="1"/>
  <c r="P149" i="1"/>
  <c r="P185" i="1"/>
  <c r="P196" i="1"/>
  <c r="P255" i="1"/>
  <c r="P272" i="1"/>
  <c r="P275" i="1"/>
  <c r="P295" i="1"/>
  <c r="P358" i="1"/>
  <c r="P376" i="1"/>
  <c r="P447" i="1"/>
  <c r="P466" i="1"/>
  <c r="P479" i="1"/>
  <c r="P487" i="1"/>
  <c r="P501" i="1"/>
  <c r="P523" i="1"/>
  <c r="P533" i="1"/>
  <c r="P541" i="1"/>
  <c r="P560" i="1"/>
  <c r="P564" i="1"/>
  <c r="P585" i="1"/>
  <c r="P586" i="1"/>
  <c r="P623" i="1"/>
  <c r="P677" i="1"/>
  <c r="P691" i="1"/>
  <c r="P701" i="1"/>
  <c r="P702" i="1"/>
  <c r="P714" i="1"/>
  <c r="P729" i="1"/>
  <c r="P740" i="1"/>
  <c r="P765" i="1"/>
  <c r="P768" i="1"/>
  <c r="P779" i="1"/>
  <c r="P787" i="1"/>
  <c r="P815" i="1"/>
  <c r="P823" i="1"/>
  <c r="P854" i="1"/>
  <c r="P864" i="1"/>
  <c r="P877" i="1"/>
  <c r="P910" i="1"/>
  <c r="P913" i="1"/>
  <c r="P948" i="1"/>
  <c r="P969" i="1"/>
  <c r="P981" i="1"/>
  <c r="P26" i="1"/>
  <c r="P38" i="1"/>
  <c r="P89" i="1"/>
  <c r="P105" i="1"/>
  <c r="P115" i="1"/>
  <c r="P138" i="1"/>
  <c r="P145" i="1"/>
  <c r="P166" i="1"/>
  <c r="P174" i="1"/>
  <c r="P187" i="1"/>
  <c r="P236" i="1"/>
  <c r="P239" i="1"/>
  <c r="P243" i="1"/>
  <c r="P263" i="1"/>
  <c r="P269" i="1"/>
  <c r="P279" i="1"/>
  <c r="P292" i="1"/>
  <c r="P305" i="1"/>
  <c r="P390" i="1"/>
  <c r="P408" i="1"/>
  <c r="P490" i="1"/>
  <c r="P595" i="1"/>
  <c r="P621" i="1"/>
  <c r="P642" i="1"/>
  <c r="P645" i="1"/>
  <c r="P667" i="1"/>
  <c r="P694" i="1"/>
  <c r="P712" i="1"/>
  <c r="P721" i="1"/>
  <c r="P737" i="1"/>
  <c r="P782" i="1"/>
  <c r="P821" i="1"/>
  <c r="P862" i="1"/>
  <c r="P896" i="1"/>
  <c r="P899" i="1"/>
  <c r="P908" i="1"/>
  <c r="P989" i="1"/>
  <c r="P993" i="1"/>
  <c r="P5" i="1"/>
  <c r="P25" i="1"/>
  <c r="P37" i="1"/>
  <c r="P62" i="1"/>
  <c r="P64" i="1"/>
  <c r="P66" i="1"/>
  <c r="P86" i="1"/>
  <c r="P87" i="1"/>
  <c r="P112" i="1"/>
  <c r="P114" i="1"/>
  <c r="P120" i="1"/>
  <c r="P136" i="1"/>
  <c r="P153" i="1"/>
  <c r="P188" i="1"/>
  <c r="P194" i="1"/>
  <c r="P207" i="1"/>
  <c r="P266" i="1"/>
  <c r="P307" i="1"/>
  <c r="P311" i="1"/>
  <c r="P378" i="1"/>
  <c r="P383" i="1"/>
  <c r="P384" i="1"/>
  <c r="P389" i="1"/>
  <c r="P410" i="1"/>
  <c r="P418" i="1"/>
  <c r="P421" i="1"/>
  <c r="P423" i="1"/>
  <c r="P469" i="1"/>
  <c r="P473" i="1"/>
  <c r="P474" i="1"/>
  <c r="P503" i="1"/>
  <c r="P515" i="1"/>
  <c r="P548" i="1"/>
  <c r="P555" i="1"/>
  <c r="P562" i="1"/>
  <c r="P589" i="1"/>
  <c r="P597" i="1"/>
  <c r="P608" i="1"/>
  <c r="P610" i="1"/>
  <c r="P619" i="1"/>
  <c r="P662" i="1"/>
  <c r="P670" i="1"/>
  <c r="P696" i="1"/>
  <c r="P730" i="1"/>
  <c r="P759" i="1"/>
  <c r="P808" i="1"/>
  <c r="P849" i="1"/>
  <c r="P860" i="1"/>
  <c r="P876" i="1"/>
  <c r="P891" i="1"/>
  <c r="P900" i="1"/>
  <c r="P916" i="1"/>
  <c r="P968" i="1"/>
  <c r="P971" i="1"/>
  <c r="P997" i="1"/>
  <c r="P93" i="1"/>
  <c r="P168" i="1"/>
  <c r="P170" i="1"/>
  <c r="P177" i="1"/>
  <c r="P231" i="1"/>
  <c r="P260" i="1"/>
  <c r="P297" i="1"/>
  <c r="P377" i="1"/>
  <c r="P450" i="1"/>
  <c r="P464" i="1"/>
  <c r="P502" i="1"/>
  <c r="P536" i="1"/>
  <c r="P605" i="1"/>
  <c r="P626" i="1"/>
  <c r="P632" i="1"/>
  <c r="P646" i="1"/>
  <c r="P649" i="1"/>
  <c r="P666" i="1"/>
  <c r="P703" i="1"/>
  <c r="P735" i="1"/>
  <c r="P766" i="1"/>
  <c r="P778" i="1"/>
  <c r="P880" i="1"/>
  <c r="P927" i="1"/>
  <c r="P953" i="1"/>
  <c r="P964" i="1"/>
  <c r="P65" i="1"/>
  <c r="P85" i="1"/>
  <c r="P118" i="1"/>
  <c r="P122" i="1"/>
  <c r="P123" i="1"/>
  <c r="P128" i="1"/>
  <c r="P135" i="1"/>
  <c r="P226" i="1"/>
  <c r="P234" i="1"/>
  <c r="P261" i="1"/>
  <c r="P282" i="1"/>
  <c r="P315" i="1"/>
  <c r="P329" i="1"/>
  <c r="P341" i="1"/>
  <c r="P417" i="1"/>
  <c r="P524" i="1"/>
  <c r="P561" i="1"/>
  <c r="P600" i="1"/>
  <c r="P616" i="1"/>
  <c r="P629" i="1"/>
  <c r="P634" i="1"/>
  <c r="P650" i="1"/>
  <c r="P651" i="1"/>
  <c r="P654" i="1"/>
  <c r="P679" i="1"/>
  <c r="P695" i="1"/>
  <c r="P708" i="1"/>
  <c r="P846" i="1"/>
  <c r="P855" i="1"/>
  <c r="P885" i="1"/>
  <c r="P924" i="1"/>
  <c r="P967" i="1"/>
  <c r="P23" i="1"/>
  <c r="P39" i="1"/>
  <c r="P57" i="1"/>
  <c r="P59" i="1"/>
  <c r="P83" i="1"/>
  <c r="P106" i="1"/>
  <c r="P140" i="1"/>
  <c r="P164" i="1"/>
  <c r="P190" i="1"/>
  <c r="P193" i="1"/>
  <c r="P254" i="1"/>
  <c r="P257" i="1"/>
  <c r="P267" i="1"/>
  <c r="P298" i="1"/>
  <c r="P322" i="1"/>
  <c r="P324" i="1"/>
  <c r="P328" i="1"/>
  <c r="P333" i="1"/>
  <c r="P335" i="1"/>
  <c r="P373" i="1"/>
  <c r="P375" i="1"/>
  <c r="P394" i="1"/>
  <c r="P402" i="1"/>
  <c r="P446" i="1"/>
  <c r="P453" i="1"/>
  <c r="P477" i="1"/>
  <c r="P497" i="1"/>
  <c r="P567" i="1"/>
  <c r="P570" i="1"/>
  <c r="P572" i="1"/>
  <c r="P573" i="1"/>
  <c r="P612" i="1"/>
  <c r="P614" i="1"/>
  <c r="P647" i="1"/>
  <c r="P681" i="1"/>
  <c r="P717" i="1"/>
  <c r="P754" i="1"/>
  <c r="P767" i="1"/>
  <c r="P806" i="1"/>
  <c r="P817" i="1"/>
  <c r="P863" i="1"/>
  <c r="P871" i="1"/>
  <c r="P878" i="1"/>
  <c r="P882" i="1"/>
  <c r="P965" i="1"/>
  <c r="P980" i="1"/>
  <c r="P60" i="1"/>
  <c r="P155" i="1"/>
  <c r="P161" i="1"/>
  <c r="P162" i="1"/>
  <c r="P198" i="1"/>
  <c r="P204" i="1"/>
  <c r="P222" i="1"/>
  <c r="P233" i="1"/>
  <c r="P244" i="1"/>
  <c r="P246" i="1"/>
  <c r="P262" i="1"/>
  <c r="P271" i="1"/>
  <c r="P300" i="1"/>
  <c r="P302" i="1"/>
  <c r="P313" i="1"/>
  <c r="P332" i="1"/>
  <c r="P345" i="1"/>
  <c r="P368" i="1"/>
  <c r="P382" i="1"/>
  <c r="P413" i="1"/>
  <c r="P414" i="1"/>
  <c r="P415" i="1"/>
  <c r="P425" i="1"/>
  <c r="P435" i="1"/>
  <c r="P445" i="1"/>
  <c r="P489" i="1"/>
  <c r="P512" i="1"/>
  <c r="P528" i="1"/>
  <c r="P537" i="1"/>
  <c r="P547" i="1"/>
  <c r="P556" i="1"/>
  <c r="P569" i="1"/>
  <c r="P635" i="1"/>
  <c r="P638" i="1"/>
  <c r="P640" i="1"/>
  <c r="P693" i="1"/>
  <c r="P723" i="1"/>
  <c r="P732" i="1"/>
  <c r="P741" i="1"/>
  <c r="P760" i="1"/>
  <c r="P789" i="1"/>
  <c r="P793" i="1"/>
  <c r="P794" i="1"/>
  <c r="P804" i="1"/>
  <c r="P829" i="1"/>
  <c r="P835" i="1"/>
  <c r="P850" i="1"/>
  <c r="P887" i="1"/>
  <c r="P888" i="1"/>
  <c r="P889" i="1"/>
  <c r="P903" i="1"/>
  <c r="P925" i="1"/>
  <c r="P935" i="1"/>
  <c r="P973" i="1"/>
  <c r="P8" i="1"/>
  <c r="P42" i="1"/>
  <c r="P47" i="1"/>
  <c r="P63" i="1"/>
  <c r="P110" i="1"/>
  <c r="P116" i="1"/>
  <c r="P134" i="1"/>
  <c r="P203" i="1"/>
  <c r="P225" i="1"/>
  <c r="P241" i="1"/>
  <c r="P251" i="1"/>
  <c r="P284" i="1"/>
  <c r="P306" i="1"/>
  <c r="P321" i="1"/>
  <c r="P343" i="1"/>
  <c r="P353" i="1"/>
  <c r="P388" i="1"/>
  <c r="P431" i="1"/>
  <c r="P462" i="1"/>
  <c r="P467" i="1"/>
  <c r="P475" i="1"/>
  <c r="P480" i="1"/>
  <c r="P499" i="1"/>
  <c r="P504" i="1"/>
  <c r="P527" i="1"/>
  <c r="P546" i="1"/>
  <c r="P574" i="1"/>
  <c r="P575" i="1"/>
  <c r="P577" i="1"/>
  <c r="P604" i="1"/>
  <c r="P606" i="1"/>
  <c r="P630" i="1"/>
  <c r="P644" i="1"/>
  <c r="P728" i="1"/>
  <c r="P743" i="1"/>
  <c r="P781" i="1"/>
  <c r="P790" i="1"/>
  <c r="P816" i="1"/>
  <c r="P827" i="1"/>
  <c r="P842" i="1"/>
  <c r="P856" i="1"/>
  <c r="P872" i="1"/>
  <c r="P972" i="1"/>
  <c r="P983" i="1"/>
  <c r="P988" i="1"/>
  <c r="P992" i="1"/>
  <c r="P16" i="1"/>
  <c r="P28" i="1"/>
  <c r="P58" i="1"/>
  <c r="P70" i="1"/>
  <c r="P79" i="1"/>
  <c r="P80" i="1"/>
  <c r="P125" i="1"/>
  <c r="P130" i="1"/>
  <c r="P173" i="1"/>
  <c r="P178" i="1"/>
  <c r="P205" i="1"/>
  <c r="P228" i="1"/>
  <c r="P289" i="1"/>
  <c r="P364" i="1"/>
  <c r="P386" i="1"/>
  <c r="P392" i="1"/>
  <c r="P393" i="1"/>
  <c r="P400" i="1"/>
  <c r="P416" i="1"/>
  <c r="P433" i="1"/>
  <c r="P460" i="1"/>
  <c r="P510" i="1"/>
  <c r="P615" i="1"/>
  <c r="P620" i="1"/>
  <c r="P672" i="1"/>
  <c r="P680" i="1"/>
  <c r="P738" i="1"/>
  <c r="P739" i="1"/>
  <c r="P745" i="1"/>
  <c r="P799" i="1"/>
  <c r="P818" i="1"/>
  <c r="P848" i="1"/>
  <c r="P858" i="1"/>
  <c r="P875" i="1"/>
  <c r="P893" i="1"/>
  <c r="P894" i="1"/>
  <c r="P919" i="1"/>
  <c r="P977" i="1"/>
  <c r="P53" i="1"/>
  <c r="P104" i="1"/>
  <c r="P107" i="1"/>
  <c r="P154" i="1"/>
  <c r="P182" i="1"/>
  <c r="P202" i="1"/>
  <c r="P224" i="1"/>
  <c r="P229" i="1"/>
  <c r="P230" i="1"/>
  <c r="P232" i="1"/>
  <c r="P245" i="1"/>
  <c r="P256" i="1"/>
  <c r="P258" i="1"/>
  <c r="P270" i="1"/>
  <c r="P283" i="1"/>
  <c r="P299" i="1"/>
  <c r="P369" i="1"/>
  <c r="P372" i="1"/>
  <c r="P399" i="1"/>
  <c r="P429" i="1"/>
  <c r="P463" i="1"/>
  <c r="P517" i="1"/>
  <c r="P540" i="1"/>
  <c r="P553" i="1"/>
  <c r="P583" i="1"/>
  <c r="P596" i="1"/>
  <c r="P613" i="1"/>
  <c r="P624" i="1"/>
  <c r="P627" i="1"/>
  <c r="P636" i="1"/>
  <c r="P671" i="1"/>
  <c r="P690" i="1"/>
  <c r="P763" i="1"/>
  <c r="P792" i="1"/>
  <c r="P801" i="1"/>
  <c r="P803" i="1"/>
  <c r="P837" i="1"/>
  <c r="P839" i="1"/>
  <c r="P921" i="1"/>
  <c r="P928" i="1"/>
  <c r="P936" i="1"/>
  <c r="P941" i="1"/>
  <c r="P994" i="1"/>
  <c r="P18" i="1"/>
  <c r="P24" i="1"/>
  <c r="P46" i="1"/>
  <c r="P84" i="1"/>
  <c r="P88" i="1"/>
  <c r="P102" i="1"/>
  <c r="P141" i="1"/>
  <c r="P150" i="1"/>
  <c r="P157" i="1"/>
  <c r="P212" i="1"/>
  <c r="P221" i="1"/>
  <c r="P238" i="1"/>
  <c r="P268" i="1"/>
  <c r="P274" i="1"/>
  <c r="P291" i="1"/>
  <c r="P312" i="1"/>
  <c r="P360" i="1"/>
  <c r="P365" i="1"/>
  <c r="P367" i="1"/>
  <c r="P380" i="1"/>
  <c r="P511" i="1"/>
  <c r="P545" i="1"/>
  <c r="P565" i="1"/>
  <c r="P576" i="1"/>
  <c r="P579" i="1"/>
  <c r="P580" i="1"/>
  <c r="P590" i="1"/>
  <c r="P601" i="1"/>
  <c r="P659" i="1"/>
  <c r="P673" i="1"/>
  <c r="P686" i="1"/>
  <c r="P692" i="1"/>
  <c r="P747" i="1"/>
  <c r="P762" i="1"/>
  <c r="P780" i="1"/>
  <c r="P800" i="1"/>
  <c r="P830" i="1"/>
  <c r="P834" i="1"/>
  <c r="P840" i="1"/>
  <c r="P853" i="1"/>
  <c r="P873" i="1"/>
  <c r="P978" i="1"/>
  <c r="P991" i="1"/>
  <c r="P20" i="1"/>
  <c r="P27" i="1"/>
  <c r="P30" i="1"/>
  <c r="P44" i="1"/>
  <c r="P49" i="1"/>
  <c r="P68" i="1"/>
  <c r="P74" i="1"/>
  <c r="P97" i="1"/>
  <c r="P99" i="1"/>
  <c r="P124" i="1"/>
  <c r="P151" i="1"/>
  <c r="P163" i="1"/>
  <c r="P171" i="1"/>
  <c r="P192" i="1"/>
  <c r="P197" i="1"/>
  <c r="P218" i="1"/>
  <c r="P227" i="1"/>
  <c r="P280" i="1"/>
  <c r="P288" i="1"/>
  <c r="P301" i="1"/>
  <c r="P320" i="1"/>
  <c r="P330" i="1"/>
  <c r="P339" i="1"/>
  <c r="P438" i="1"/>
  <c r="P439" i="1"/>
  <c r="P443" i="1"/>
  <c r="P452" i="1"/>
  <c r="P470" i="1"/>
  <c r="P472" i="1"/>
  <c r="P549" i="1"/>
  <c r="P587" i="1"/>
  <c r="P588" i="1"/>
  <c r="P593" i="1"/>
  <c r="P609" i="1"/>
  <c r="P618" i="1"/>
  <c r="P678" i="1"/>
  <c r="P683" i="1"/>
  <c r="P709" i="1"/>
  <c r="P719" i="1"/>
  <c r="P720" i="1"/>
  <c r="P758" i="1"/>
  <c r="P811" i="1"/>
  <c r="P838" i="1"/>
  <c r="P917" i="1"/>
  <c r="P926" i="1"/>
  <c r="P960" i="1"/>
  <c r="P962" i="1"/>
  <c r="P995" i="1"/>
  <c r="P14" i="1"/>
  <c r="P21" i="1"/>
  <c r="P67" i="1"/>
  <c r="P81" i="1"/>
  <c r="P94" i="1"/>
  <c r="P96" i="1"/>
  <c r="P132" i="1"/>
  <c r="P133" i="1"/>
  <c r="P147" i="1"/>
  <c r="P165" i="1"/>
  <c r="P169" i="1"/>
  <c r="P184" i="1"/>
  <c r="P186" i="1"/>
  <c r="P195" i="1"/>
  <c r="P211" i="1"/>
  <c r="P314" i="1"/>
  <c r="P323" i="1"/>
  <c r="P354" i="1"/>
  <c r="P379" i="1"/>
  <c r="P391" i="1"/>
  <c r="P436" i="1"/>
  <c r="P440" i="1"/>
  <c r="P442" i="1"/>
  <c r="P449" i="1"/>
  <c r="P476" i="1"/>
  <c r="P532" i="1"/>
  <c r="P558" i="1"/>
  <c r="P598" i="1"/>
  <c r="P639" i="1"/>
  <c r="P660" i="1"/>
  <c r="P751" i="1"/>
  <c r="P756" i="1"/>
  <c r="P786" i="1"/>
  <c r="P795" i="1"/>
  <c r="P847" i="1"/>
  <c r="P857" i="1"/>
  <c r="P866" i="1"/>
  <c r="P884" i="1"/>
  <c r="P892" i="1"/>
  <c r="P933" i="1"/>
  <c r="P946" i="1"/>
  <c r="P982" i="1"/>
  <c r="P984" i="1"/>
  <c r="P986" i="1"/>
  <c r="P990" i="1"/>
  <c r="P32" i="1"/>
  <c r="P35" i="1"/>
  <c r="P40" i="1"/>
  <c r="P54" i="1"/>
  <c r="P143" i="1"/>
  <c r="P160" i="1"/>
  <c r="P206" i="1"/>
  <c r="P237" i="1"/>
  <c r="P259" i="1"/>
  <c r="P286" i="1"/>
  <c r="P303" i="1"/>
  <c r="P308" i="1"/>
  <c r="P319" i="1"/>
  <c r="P336" i="1"/>
  <c r="P352" i="1"/>
  <c r="P401" i="1"/>
  <c r="P434" i="1"/>
  <c r="P465" i="1"/>
  <c r="P493" i="1"/>
  <c r="P513" i="1"/>
  <c r="P543" i="1"/>
  <c r="P571" i="1"/>
  <c r="P631" i="1"/>
  <c r="P637" i="1"/>
  <c r="P661" i="1"/>
  <c r="P697" i="1"/>
  <c r="P744" i="1"/>
  <c r="P746" i="1"/>
  <c r="P807" i="1"/>
  <c r="P813" i="1"/>
  <c r="P814" i="1"/>
  <c r="P819" i="1"/>
  <c r="P831" i="1"/>
  <c r="P851" i="1"/>
  <c r="P874" i="1"/>
  <c r="P930" i="1"/>
  <c r="P938" i="1"/>
  <c r="P952" i="1"/>
  <c r="P958" i="1"/>
  <c r="P2" i="1"/>
  <c r="P4" i="1"/>
  <c r="P11" i="1"/>
  <c r="P36" i="1"/>
  <c r="P109" i="1"/>
  <c r="P119" i="1"/>
  <c r="P210" i="1"/>
  <c r="P215" i="1"/>
  <c r="P220" i="1"/>
  <c r="P248" i="1"/>
  <c r="P253" i="1"/>
  <c r="P296" i="1"/>
  <c r="P316" i="1"/>
  <c r="P318" i="1"/>
  <c r="P337" i="1"/>
  <c r="P342" i="1"/>
  <c r="P347" i="1"/>
  <c r="P355" i="1"/>
  <c r="P363" i="1"/>
  <c r="P396" i="1"/>
  <c r="P420" i="1"/>
  <c r="P482" i="1"/>
  <c r="P492" i="1"/>
  <c r="P518" i="1"/>
  <c r="P544" i="1"/>
  <c r="P581" i="1"/>
  <c r="P592" i="1"/>
  <c r="P594" i="1"/>
  <c r="P602" i="1"/>
  <c r="P734" i="1"/>
  <c r="P764" i="1"/>
  <c r="P776" i="1"/>
  <c r="P797" i="1"/>
  <c r="P802" i="1"/>
  <c r="P809" i="1"/>
  <c r="P843" i="1"/>
  <c r="P895" i="1"/>
  <c r="P902" i="1"/>
  <c r="P905" i="1"/>
  <c r="P912" i="1"/>
  <c r="P920" i="1"/>
  <c r="P932" i="1"/>
  <c r="P934" i="1"/>
  <c r="P950" i="1"/>
  <c r="P976" i="1"/>
  <c r="P17" i="1"/>
  <c r="P48" i="1"/>
  <c r="P50" i="1"/>
  <c r="P51" i="1"/>
  <c r="P61" i="1"/>
  <c r="P77" i="1"/>
  <c r="P101" i="1"/>
  <c r="P113" i="1"/>
  <c r="P180" i="1"/>
  <c r="P199" i="1"/>
  <c r="P213" i="1"/>
  <c r="P242" i="1"/>
  <c r="P277" i="1"/>
  <c r="P331" i="1"/>
  <c r="P350" i="1"/>
  <c r="P366" i="1"/>
  <c r="P405" i="1"/>
  <c r="P437" i="1"/>
  <c r="P468" i="1"/>
  <c r="P491" i="1"/>
  <c r="P496" i="1"/>
  <c r="P500" i="1"/>
  <c r="P516" i="1"/>
  <c r="P578" i="1"/>
  <c r="P628" i="1"/>
  <c r="P688" i="1"/>
  <c r="P704" i="1"/>
  <c r="P716" i="1"/>
  <c r="P722" i="1"/>
  <c r="P820" i="1"/>
  <c r="P826" i="1"/>
  <c r="P861" i="1"/>
  <c r="P906" i="1"/>
  <c r="P923" i="1"/>
  <c r="P931" i="1"/>
  <c r="P959" i="1"/>
  <c r="P975" i="1"/>
  <c r="P979" i="1"/>
  <c r="P998" i="1"/>
  <c r="P7" i="1"/>
  <c r="P34" i="1"/>
  <c r="P45" i="1"/>
  <c r="P71" i="1"/>
  <c r="P117" i="1"/>
  <c r="P137" i="1"/>
  <c r="P148" i="1"/>
  <c r="P265" i="1"/>
  <c r="P395" i="1"/>
  <c r="P424" i="1"/>
  <c r="P426" i="1"/>
  <c r="P456" i="1"/>
  <c r="P461" i="1"/>
  <c r="P481" i="1"/>
  <c r="P495" i="1"/>
  <c r="P498" i="1"/>
  <c r="P519" i="1"/>
  <c r="P520" i="1"/>
  <c r="P530" i="1"/>
  <c r="P535" i="1"/>
  <c r="P538" i="1"/>
  <c r="P559" i="1"/>
  <c r="P622" i="1"/>
  <c r="P633" i="1"/>
  <c r="P648" i="1"/>
  <c r="P653" i="1"/>
  <c r="P658" i="1"/>
  <c r="P663" i="1"/>
  <c r="P664" i="1"/>
  <c r="P687" i="1"/>
  <c r="P733" i="1"/>
  <c r="P752" i="1"/>
  <c r="P757" i="1"/>
  <c r="P769" i="1"/>
  <c r="P772" i="1"/>
  <c r="P774" i="1"/>
  <c r="P777" i="1"/>
  <c r="P833" i="1"/>
  <c r="P845" i="1"/>
  <c r="P870" i="1"/>
  <c r="P883" i="1"/>
  <c r="P907" i="1"/>
  <c r="P909" i="1"/>
  <c r="P937" i="1"/>
  <c r="P955" i="1"/>
  <c r="P961" i="1"/>
  <c r="P69" i="1"/>
  <c r="P82" i="1"/>
  <c r="P100" i="1"/>
  <c r="P108" i="1"/>
  <c r="P144" i="1"/>
  <c r="P156" i="1"/>
  <c r="P167" i="1"/>
  <c r="P172" i="1"/>
  <c r="P183" i="1"/>
  <c r="P247" i="1"/>
  <c r="P290" i="1"/>
  <c r="P293" i="1"/>
  <c r="P294" i="1"/>
  <c r="P304" i="1"/>
  <c r="P351" i="1"/>
  <c r="P422" i="1"/>
  <c r="P459" i="1"/>
  <c r="P478" i="1"/>
  <c r="P507" i="1"/>
  <c r="P526" i="1"/>
  <c r="P539" i="1"/>
  <c r="P582" i="1"/>
  <c r="P611" i="1"/>
  <c r="P641" i="1"/>
  <c r="P655" i="1"/>
  <c r="P674" i="1"/>
  <c r="P675" i="1"/>
  <c r="P689" i="1"/>
  <c r="P700" i="1"/>
  <c r="P707" i="1"/>
  <c r="P727" i="1"/>
  <c r="P753" i="1"/>
  <c r="P785" i="1"/>
  <c r="P788" i="1"/>
  <c r="P796" i="1"/>
  <c r="P805" i="1"/>
  <c r="P852" i="1"/>
  <c r="P879" i="1"/>
  <c r="P881" i="1"/>
  <c r="P890" i="1"/>
  <c r="P918" i="1"/>
  <c r="P944" i="1"/>
  <c r="P999" i="1"/>
  <c r="P13" i="1"/>
  <c r="P1001" i="1"/>
  <c r="P76" i="1"/>
  <c r="P103" i="1"/>
  <c r="P127" i="1"/>
  <c r="P152" i="1"/>
  <c r="P179" i="1"/>
  <c r="P201" i="1"/>
  <c r="P235" i="1"/>
  <c r="P281" i="1"/>
  <c r="P325" i="1"/>
  <c r="P327" i="1"/>
  <c r="P348" i="1"/>
  <c r="P381" i="1"/>
  <c r="P411" i="1"/>
  <c r="P427" i="1"/>
  <c r="P448" i="1"/>
  <c r="P457" i="1"/>
  <c r="P531" i="1"/>
  <c r="P542" i="1"/>
  <c r="P550" i="1"/>
  <c r="P599" i="1"/>
  <c r="P607" i="1"/>
  <c r="P668" i="1"/>
  <c r="P684" i="1"/>
  <c r="P706" i="1"/>
  <c r="P718" i="1"/>
  <c r="P724" i="1"/>
  <c r="P725" i="1"/>
  <c r="P726" i="1"/>
  <c r="P773" i="1"/>
  <c r="P775" i="1"/>
  <c r="P836" i="1"/>
  <c r="P886" i="1"/>
  <c r="P904" i="1"/>
  <c r="P914" i="1"/>
  <c r="P943" i="1"/>
  <c r="P963" i="1"/>
  <c r="P970" i="1"/>
  <c r="P987" i="1"/>
  <c r="P1000" i="1"/>
  <c r="P9" i="1"/>
  <c r="P73" i="1"/>
  <c r="P111" i="1"/>
  <c r="P131" i="1"/>
  <c r="P219" i="1"/>
  <c r="P278" i="1"/>
  <c r="P344" i="1"/>
  <c r="P356" i="1"/>
  <c r="P359" i="1"/>
  <c r="P370" i="1"/>
  <c r="P371" i="1"/>
  <c r="P374" i="1"/>
  <c r="P385" i="1"/>
  <c r="P404" i="1"/>
  <c r="P409" i="1"/>
  <c r="P412" i="1"/>
  <c r="P455" i="1"/>
  <c r="P458" i="1"/>
  <c r="P494" i="1"/>
  <c r="P505" i="1"/>
  <c r="P506" i="1"/>
  <c r="P534" i="1"/>
  <c r="P566" i="1"/>
  <c r="P591" i="1"/>
  <c r="P643" i="1"/>
  <c r="P652" i="1"/>
  <c r="P676" i="1"/>
  <c r="P682" i="1"/>
  <c r="P699" i="1"/>
  <c r="P742" i="1"/>
  <c r="P750" i="1"/>
  <c r="P761" i="1"/>
  <c r="P770" i="1"/>
  <c r="P822" i="1"/>
  <c r="P825" i="1"/>
  <c r="P841" i="1"/>
  <c r="P974" i="1"/>
  <c r="P19" i="1"/>
  <c r="P43" i="1"/>
  <c r="P90" i="1"/>
  <c r="P126" i="1"/>
  <c r="P139" i="1"/>
  <c r="P200" i="1"/>
  <c r="P208" i="1"/>
  <c r="P214" i="1"/>
  <c r="P216" i="1"/>
  <c r="P240" i="1"/>
  <c r="P249" i="1"/>
  <c r="P252" i="1"/>
  <c r="P264" i="1"/>
  <c r="P273" i="1"/>
  <c r="P357" i="1"/>
  <c r="P362" i="1"/>
  <c r="P387" i="1"/>
  <c r="P403" i="1"/>
  <c r="P454" i="1"/>
  <c r="P486" i="1"/>
  <c r="P514" i="1"/>
  <c r="P521" i="1"/>
  <c r="P522" i="1"/>
  <c r="P525" i="1"/>
  <c r="P529" i="1"/>
  <c r="P551" i="1"/>
  <c r="P603" i="1"/>
  <c r="P656" i="1"/>
  <c r="P715" i="1"/>
  <c r="P783" i="1"/>
  <c r="P798" i="1"/>
  <c r="P859" i="1"/>
  <c r="P865" i="1"/>
  <c r="P867" i="1"/>
  <c r="P868" i="1"/>
  <c r="P940" i="1"/>
  <c r="P954" i="1"/>
  <c r="P966" i="1"/>
  <c r="P985" i="1"/>
  <c r="P996" i="1"/>
  <c r="P22" i="1"/>
  <c r="P33" i="1"/>
  <c r="P95" i="1"/>
  <c r="P121" i="1"/>
  <c r="P175" i="1"/>
  <c r="P176" i="1"/>
  <c r="P191" i="1"/>
  <c r="P217" i="1"/>
  <c r="P276" i="1"/>
  <c r="P340" i="1"/>
  <c r="P349" i="1"/>
  <c r="P361" i="1"/>
  <c r="P407" i="1"/>
  <c r="P419" i="1"/>
  <c r="P428" i="1"/>
  <c r="P441" i="1"/>
  <c r="P471" i="1"/>
  <c r="P488" i="1"/>
  <c r="P554" i="1"/>
  <c r="P710" i="1"/>
  <c r="P711" i="1"/>
  <c r="P713" i="1"/>
  <c r="P749" i="1"/>
  <c r="P784" i="1"/>
  <c r="P791" i="1"/>
  <c r="P812" i="1"/>
  <c r="P832" i="1"/>
  <c r="P869" i="1"/>
  <c r="P915" i="1"/>
  <c r="P929" i="1"/>
  <c r="AA1007" i="1"/>
  <c r="AA2" i="1" a="1"/>
  <c r="AA2" i="1" s="1"/>
  <c r="AB2" i="1" s="1"/>
  <c r="AB12" i="1" l="1"/>
  <c r="AB8" i="1"/>
  <c r="AB19" i="1"/>
  <c r="AB7" i="1"/>
  <c r="AB18" i="1"/>
  <c r="AB6" i="1"/>
  <c r="AB17" i="1"/>
  <c r="AB5" i="1"/>
  <c r="AB16" i="1"/>
  <c r="AB15" i="1"/>
  <c r="AB3" i="1"/>
  <c r="AB14" i="1"/>
  <c r="AB13" i="1"/>
  <c r="AB11" i="1"/>
  <c r="AB10" i="1"/>
  <c r="AB9" i="1"/>
  <c r="A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  <author xml:space="preserve"> Chris Albright</author>
  </authors>
  <commentList>
    <comment ref="B1" authorId="0" shapeId="0" xr:uid="{00000000-0006-0000-0100-000001000000}">
      <text>
        <r>
          <rPr>
            <sz val="8"/>
            <color rgb="FF000000"/>
            <rFont val="Tahoma"/>
            <family val="2"/>
          </rPr>
          <t xml:space="preserve">1 if 30 or younger
</t>
        </r>
        <r>
          <rPr>
            <sz val="8"/>
            <color rgb="FF000000"/>
            <rFont val="Tahoma"/>
            <family val="2"/>
          </rPr>
          <t xml:space="preserve">2 if 31 to 55
</t>
        </r>
        <r>
          <rPr>
            <sz val="8"/>
            <color rgb="FF000000"/>
            <rFont val="Tahoma"/>
            <family val="2"/>
          </rPr>
          <t>3 if 56 or older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1 if male
0 if female</t>
        </r>
      </text>
    </comment>
    <comment ref="D1" authorId="0" shapeId="0" xr:uid="{00000000-0006-0000-0100-000003000000}">
      <text>
        <r>
          <rPr>
            <sz val="8"/>
            <color rgb="FF000000"/>
            <rFont val="Tahoma"/>
            <family val="2"/>
          </rPr>
          <t xml:space="preserve">1 if person owns home
</t>
        </r>
        <r>
          <rPr>
            <sz val="8"/>
            <color rgb="FF000000"/>
            <rFont val="Tahoma"/>
            <family val="2"/>
          </rPr>
          <t>0 if person is renting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1 if married
0 otherwise
</t>
        </r>
      </text>
    </comment>
    <comment ref="F1" authorId="0" shapeId="0" xr:uid="{00000000-0006-0000-0100-000005000000}">
      <text>
        <r>
          <rPr>
            <sz val="8"/>
            <color rgb="FF000000"/>
            <rFont val="Tahoma"/>
            <family val="2"/>
          </rPr>
          <t xml:space="preserve">1 if "close" to stores with similar merchandise
</t>
        </r>
        <r>
          <rPr>
            <sz val="8"/>
            <color rgb="FF000000"/>
            <rFont val="Tahoma"/>
            <family val="2"/>
          </rPr>
          <t>0 if out in the middle of nowhere</t>
        </r>
      </text>
    </comment>
    <comment ref="G1" authorId="0" shapeId="0" xr:uid="{00000000-0006-0000-0100-000006000000}">
      <text>
        <r>
          <rPr>
            <sz val="8"/>
            <color indexed="81"/>
            <rFont val="Tahoma"/>
            <family val="2"/>
          </rPr>
          <t xml:space="preserve">Combined salary of person and spouse (if any), measured in $1000s
</t>
        </r>
      </text>
    </comment>
    <comment ref="H1" authorId="0" shapeId="0" xr:uid="{00000000-0006-0000-0100-000007000000}">
      <text>
        <r>
          <rPr>
            <sz val="8"/>
            <color indexed="81"/>
            <rFont val="Tahoma"/>
            <family val="2"/>
          </rPr>
          <t>Number of children living with person</t>
        </r>
      </text>
    </comment>
    <comment ref="I1" authorId="0" shapeId="0" xr:uid="{00000000-0006-0000-0100-000008000000}">
      <text>
        <r>
          <rPr>
            <sz val="8"/>
            <color indexed="81"/>
            <rFont val="Tahoma"/>
            <family val="2"/>
          </rPr>
          <t>NA if no spending history before this year
1 if low-spending customer last year
2 if medium-spending customer last year
3 if high-spending customer last year</t>
        </r>
      </text>
    </comment>
    <comment ref="J1" authorId="0" shapeId="0" xr:uid="{00000000-0006-0000-0100-000009000000}">
      <text>
        <r>
          <rPr>
            <sz val="8"/>
            <color indexed="81"/>
            <rFont val="Tahoma"/>
            <family val="2"/>
          </rPr>
          <t>Number of catlogs sent to person this year</t>
        </r>
      </text>
    </comment>
    <comment ref="K1" authorId="1" shapeId="0" xr:uid="{00000000-0006-0000-0100-00000A000000}">
      <text>
        <r>
          <rPr>
            <b/>
            <sz val="8"/>
            <color indexed="81"/>
            <rFont val="Tahoma"/>
            <family val="2"/>
          </rPr>
          <t>Region where customer lives: South, West, Midwest, or East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1" authorId="1" shapeId="0" xr:uid="{00000000-0006-0000-0100-00000B000000}">
      <text>
        <r>
          <rPr>
            <b/>
            <sz val="8"/>
            <color indexed="81"/>
            <rFont val="Tahoma"/>
            <family val="2"/>
          </rPr>
          <t>Data of first purchase from HyTex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1" authorId="0" shapeId="0" xr:uid="{00000000-0006-0000-0100-00000C000000}">
      <text>
        <r>
          <rPr>
            <sz val="8"/>
            <color indexed="81"/>
            <rFont val="Tahoma"/>
            <family val="2"/>
          </rPr>
          <t>Amount spent total on purchases this year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<sst xmlns="http://schemas.openxmlformats.org/spreadsheetml/2006/main" count="16057" uniqueCount="76">
  <si>
    <t>Age</t>
  </si>
  <si>
    <t>Gender</t>
  </si>
  <si>
    <t>Married</t>
  </si>
  <si>
    <t>Close</t>
  </si>
  <si>
    <t>Salary</t>
  </si>
  <si>
    <t>Children</t>
  </si>
  <si>
    <t>History</t>
  </si>
  <si>
    <t>Catalogs</t>
  </si>
  <si>
    <t>NA</t>
  </si>
  <si>
    <t>City</t>
  </si>
  <si>
    <t>State</t>
  </si>
  <si>
    <t>Region</t>
  </si>
  <si>
    <t>West</t>
  </si>
  <si>
    <t>Midwest</t>
  </si>
  <si>
    <t>South</t>
  </si>
  <si>
    <t>East</t>
  </si>
  <si>
    <t>Los Angeles</t>
  </si>
  <si>
    <t>Seattle</t>
  </si>
  <si>
    <t>San Francisco</t>
  </si>
  <si>
    <t>Phoenix</t>
  </si>
  <si>
    <t>Denver</t>
  </si>
  <si>
    <t>Salt Lake City</t>
  </si>
  <si>
    <t>Kansas City</t>
  </si>
  <si>
    <t>Chicago</t>
  </si>
  <si>
    <t>St. Louis</t>
  </si>
  <si>
    <t>Cincinnati</t>
  </si>
  <si>
    <t>Indianapolis</t>
  </si>
  <si>
    <t>Louisville</t>
  </si>
  <si>
    <t>New York</t>
  </si>
  <si>
    <t>Boston</t>
  </si>
  <si>
    <t>Philadelphia</t>
  </si>
  <si>
    <t>Pittsburgh</t>
  </si>
  <si>
    <t>Cleveland</t>
  </si>
  <si>
    <t>Buffalo</t>
  </si>
  <si>
    <t>Miami</t>
  </si>
  <si>
    <t>Orlando</t>
  </si>
  <si>
    <t>Dallas</t>
  </si>
  <si>
    <t>Houston</t>
  </si>
  <si>
    <t>New Orleans</t>
  </si>
  <si>
    <t>Memphis</t>
  </si>
  <si>
    <t>Texas</t>
  </si>
  <si>
    <t>Colorado</t>
  </si>
  <si>
    <t>Ohio</t>
  </si>
  <si>
    <t>Illinois</t>
  </si>
  <si>
    <t>Massachusetts</t>
  </si>
  <si>
    <t>Indiana</t>
  </si>
  <si>
    <t>Kansas</t>
  </si>
  <si>
    <t>California</t>
  </si>
  <si>
    <t>Kentucky</t>
  </si>
  <si>
    <t>Tennessee</t>
  </si>
  <si>
    <t>Florida</t>
  </si>
  <si>
    <t>Louisiana</t>
  </si>
  <si>
    <t>Pennsylvania</t>
  </si>
  <si>
    <t>Arizona</t>
  </si>
  <si>
    <t>Utah</t>
  </si>
  <si>
    <t>Washington</t>
  </si>
  <si>
    <t>Missouri</t>
  </si>
  <si>
    <t>Person</t>
  </si>
  <si>
    <t>Own Home</t>
  </si>
  <si>
    <t>First Purchase</t>
  </si>
  <si>
    <t>Amount Spent</t>
  </si>
  <si>
    <t>Male</t>
  </si>
  <si>
    <t>Female</t>
  </si>
  <si>
    <t>Young</t>
  </si>
  <si>
    <t>Middle Aged</t>
  </si>
  <si>
    <t>Old</t>
  </si>
  <si>
    <t>Renting</t>
  </si>
  <si>
    <t>Low Spending</t>
  </si>
  <si>
    <t>Medium Spending</t>
  </si>
  <si>
    <t>High Spending</t>
  </si>
  <si>
    <t>No</t>
  </si>
  <si>
    <t>Avg Salary</t>
  </si>
  <si>
    <t>Row Labels</t>
  </si>
  <si>
    <t>Average of Salary</t>
  </si>
  <si>
    <t>Column Labels</t>
  </si>
  <si>
    <t>Amount Spent Clipped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</si>
</sst>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\-&quot;$&quot;#,##0"/>
    <numFmt numFmtId="165" formatCode="_-[$$-409]* #,##0_ ;_-[$$-409]* \-#,##0\ ;_-[$$-409]* &quot;-&quot;??_ ;_-@_ "/>
  </numFmts>
  <fonts count="7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8"/>
      <color rgb="FF000000"/>
      <name val="Tahoma"/>
      <family val="2"/>
    </font>
    <font>
      <b/>
      <sz val="11"/>
      <color theme="0"/>
      <name val="Calibri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3" xfId="0" applyFill="1" applyBorder="1"/>
    <xf numFmtId="164" fontId="0" fillId="3" borderId="3" xfId="0" applyNumberFormat="1" applyFill="1" applyBorder="1"/>
    <xf numFmtId="164" fontId="0" fillId="3" borderId="4" xfId="0" applyNumberFormat="1" applyFill="1" applyBorder="1"/>
    <xf numFmtId="0" fontId="0" fillId="4" borderId="3" xfId="0" applyFill="1" applyBorder="1"/>
    <xf numFmtId="164" fontId="0" fillId="4" borderId="3" xfId="0" applyNumberFormat="1" applyFill="1" applyBorder="1"/>
    <xf numFmtId="164" fontId="0" fillId="4" borderId="4" xfId="0" applyNumberFormat="1" applyFill="1" applyBorder="1"/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/>
    <xf numFmtId="164" fontId="3" fillId="2" borderId="2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4" fontId="0" fillId="0" borderId="0" xfId="0" applyNumberFormat="1"/>
    <xf numFmtId="0" fontId="5" fillId="2" borderId="0" xfId="0" applyFont="1" applyFill="1"/>
    <xf numFmtId="9" fontId="0" fillId="0" borderId="0" xfId="0" applyNumberFormat="1"/>
    <xf numFmtId="0" fontId="5" fillId="2" borderId="2" xfId="0" applyFont="1" applyFill="1" applyBorder="1"/>
    <xf numFmtId="0" fontId="0" fillId="4" borderId="5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164" fontId="0" fillId="4" borderId="2" xfId="0" applyNumberFormat="1" applyFill="1" applyBorder="1"/>
    <xf numFmtId="14" fontId="0" fillId="0" borderId="0" xfId="0" applyNumberFormat="1"/>
  </cellXfs>
  <cellStyles count="1">
    <cellStyle name="Normal" xfId="0" builtinId="0" customBuiltin="1"/>
  </cellStyles>
  <dxfs count="9">
    <dxf>
      <numFmt numFmtId="165" formatCode="_-[$$-409]* #,##0_ ;_-[$$-409]* \-#,##0\ ;_-[$$-409]* &quot;-&quot;??_ ;_-@_ 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[Catalog Marketing v2.xlsx]Data!PivotTable2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Data!$AE$2:$AE$3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Data!$AD$4:$AD$21</c:f>
              <c:strCache>
                <c:ptCount val="18"/>
                <c:pt idx="0">
                  <c:v>Arizona</c:v>
                </c:pt>
                <c:pt idx="1">
                  <c:v>California</c:v>
                </c:pt>
                <c:pt idx="2">
                  <c:v>Colorado</c:v>
                </c:pt>
                <c:pt idx="3">
                  <c:v>Florida</c:v>
                </c:pt>
                <c:pt idx="4">
                  <c:v>Illinois</c:v>
                </c:pt>
                <c:pt idx="5">
                  <c:v>Indiana</c:v>
                </c:pt>
                <c:pt idx="6">
                  <c:v>Kansas</c:v>
                </c:pt>
                <c:pt idx="7">
                  <c:v>Kentucky</c:v>
                </c:pt>
                <c:pt idx="8">
                  <c:v>Louisiana</c:v>
                </c:pt>
                <c:pt idx="9">
                  <c:v>Massachusetts</c:v>
                </c:pt>
                <c:pt idx="10">
                  <c:v>Missouri</c:v>
                </c:pt>
                <c:pt idx="11">
                  <c:v>New York</c:v>
                </c:pt>
                <c:pt idx="12">
                  <c:v>Ohio</c:v>
                </c:pt>
                <c:pt idx="13">
                  <c:v>Pennsylvania</c:v>
                </c:pt>
                <c:pt idx="14">
                  <c:v>Tennessee</c:v>
                </c:pt>
                <c:pt idx="15">
                  <c:v>Texas</c:v>
                </c:pt>
                <c:pt idx="16">
                  <c:v>Utah</c:v>
                </c:pt>
                <c:pt idx="17">
                  <c:v>Washington</c:v>
                </c:pt>
              </c:strCache>
            </c:strRef>
          </c:cat>
          <c:val>
            <c:numRef>
              <c:f>Data!$AE$4:$AE$21</c:f>
              <c:numCache>
                <c:formatCode>"$"#,##0;\-"$"#,##0</c:formatCode>
                <c:ptCount val="18"/>
                <c:pt idx="0">
                  <c:v>46519.230769230766</c:v>
                </c:pt>
                <c:pt idx="1">
                  <c:v>52187.804878048781</c:v>
                </c:pt>
                <c:pt idx="2">
                  <c:v>59647.058823529413</c:v>
                </c:pt>
                <c:pt idx="3">
                  <c:v>43323.076923076922</c:v>
                </c:pt>
                <c:pt idx="4">
                  <c:v>43978.571428571428</c:v>
                </c:pt>
                <c:pt idx="5">
                  <c:v>51636.36363636364</c:v>
                </c:pt>
                <c:pt idx="6">
                  <c:v>50428</c:v>
                </c:pt>
                <c:pt idx="7">
                  <c:v>49006.896551724138</c:v>
                </c:pt>
                <c:pt idx="8">
                  <c:v>56640</c:v>
                </c:pt>
                <c:pt idx="9">
                  <c:v>61500</c:v>
                </c:pt>
                <c:pt idx="10">
                  <c:v>35746.666666666664</c:v>
                </c:pt>
                <c:pt idx="11">
                  <c:v>43406.976744186046</c:v>
                </c:pt>
                <c:pt idx="12">
                  <c:v>48490</c:v>
                </c:pt>
                <c:pt idx="13">
                  <c:v>56117.391304347824</c:v>
                </c:pt>
                <c:pt idx="14">
                  <c:v>47750</c:v>
                </c:pt>
                <c:pt idx="15">
                  <c:v>44872.222222222219</c:v>
                </c:pt>
                <c:pt idx="16">
                  <c:v>26282.352941176472</c:v>
                </c:pt>
                <c:pt idx="17">
                  <c:v>44347.058823529413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5-4EF8-897B-41FD0D6D696A}"/>
            </c:ext>
          </c:extLst>
        </c:ser>
        <c:ser>
          <c:idx val="1"/>
          <c:order val="1"/>
          <c:tx>
            <c:strRef>
              <c:f>Data!$AF$2:$AF$3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Data!$AD$4:$AD$21</c:f>
              <c:strCache>
                <c:ptCount val="18"/>
                <c:pt idx="0">
                  <c:v>Arizona</c:v>
                </c:pt>
                <c:pt idx="1">
                  <c:v>California</c:v>
                </c:pt>
                <c:pt idx="2">
                  <c:v>Colorado</c:v>
                </c:pt>
                <c:pt idx="3">
                  <c:v>Florida</c:v>
                </c:pt>
                <c:pt idx="4">
                  <c:v>Illinois</c:v>
                </c:pt>
                <c:pt idx="5">
                  <c:v>Indiana</c:v>
                </c:pt>
                <c:pt idx="6">
                  <c:v>Kansas</c:v>
                </c:pt>
                <c:pt idx="7">
                  <c:v>Kentucky</c:v>
                </c:pt>
                <c:pt idx="8">
                  <c:v>Louisiana</c:v>
                </c:pt>
                <c:pt idx="9">
                  <c:v>Massachusetts</c:v>
                </c:pt>
                <c:pt idx="10">
                  <c:v>Missouri</c:v>
                </c:pt>
                <c:pt idx="11">
                  <c:v>New York</c:v>
                </c:pt>
                <c:pt idx="12">
                  <c:v>Ohio</c:v>
                </c:pt>
                <c:pt idx="13">
                  <c:v>Pennsylvania</c:v>
                </c:pt>
                <c:pt idx="14">
                  <c:v>Tennessee</c:v>
                </c:pt>
                <c:pt idx="15">
                  <c:v>Texas</c:v>
                </c:pt>
                <c:pt idx="16">
                  <c:v>Utah</c:v>
                </c:pt>
                <c:pt idx="17">
                  <c:v>Washington</c:v>
                </c:pt>
              </c:strCache>
            </c:strRef>
          </c:cat>
          <c:val>
            <c:numRef>
              <c:f>Data!$AF$4:$AF$21</c:f>
              <c:numCache>
                <c:formatCode>"$"#,##0;\-"$"#,##0</c:formatCode>
                <c:ptCount val="18"/>
                <c:pt idx="0">
                  <c:v>59060</c:v>
                </c:pt>
                <c:pt idx="1">
                  <c:v>64200</c:v>
                </c:pt>
                <c:pt idx="2">
                  <c:v>74140</c:v>
                </c:pt>
                <c:pt idx="3">
                  <c:v>66350</c:v>
                </c:pt>
                <c:pt idx="4">
                  <c:v>62531.818181818184</c:v>
                </c:pt>
                <c:pt idx="5">
                  <c:v>51953.125</c:v>
                </c:pt>
                <c:pt idx="6">
                  <c:v>64619.047619047618</c:v>
                </c:pt>
                <c:pt idx="7">
                  <c:v>81928.571428571435</c:v>
                </c:pt>
                <c:pt idx="8">
                  <c:v>58255</c:v>
                </c:pt>
                <c:pt idx="9">
                  <c:v>58980.952380952382</c:v>
                </c:pt>
                <c:pt idx="10">
                  <c:v>61966.666666666664</c:v>
                </c:pt>
                <c:pt idx="11">
                  <c:v>60511.428571428572</c:v>
                </c:pt>
                <c:pt idx="12">
                  <c:v>59181.132075471702</c:v>
                </c:pt>
                <c:pt idx="13">
                  <c:v>68925</c:v>
                </c:pt>
                <c:pt idx="14">
                  <c:v>64489.473684210527</c:v>
                </c:pt>
                <c:pt idx="15">
                  <c:v>64483.333333333336</c:v>
                </c:pt>
                <c:pt idx="16">
                  <c:v>75295.833333333328</c:v>
                </c:pt>
                <c:pt idx="17">
                  <c:v>73565.217391304352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25-4EF8-897B-41FD0D6D6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746208"/>
        <c:axId val="1096748608"/>
      </c:barChart>
      <c:catAx>
        <c:axId val="10967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48608"/>
        <c:crosses val="autoZero"/>
        <c:auto val="1"/>
        <c:lblAlgn val="ctr"/>
        <c:lblOffset val="100"/>
        <c:noMultiLvlLbl val="0"/>
      </c:catAx>
      <c:valAx>
        <c:axId val="10967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-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97852</xdr:colOff>
      <xdr:row>5</xdr:row>
      <xdr:rowOff>94885</xdr:rowOff>
    </xdr:from>
    <xdr:to>
      <xdr:col>31</xdr:col>
      <xdr:colOff>472086</xdr:colOff>
      <xdr:row>20</xdr:row>
      <xdr:rowOff>66466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8B9FFF-A0A9-6CD2-433C-3E4B18CD6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shyant Khosla" refreshedDate="45979.695865393522" createdVersion="8" refreshedVersion="8" minRefreshableVersion="3" recordCount="1000" xr:uid="{E40E4C82-8909-4B35-9DF4-8EDE66172067}">
  <cacheSource type="worksheet">
    <worksheetSource name="Table1"/>
  </cacheSource>
  <cacheFields count="15">
    <cacheField name="Person" numFmtId="0">
      <sharedItems containsString="0" containsBlank="1" containsNumber="1" containsInteger="1" minValue="1" maxValue="1000"/>
    </cacheField>
    <cacheField name="Age" numFmtId="0">
      <sharedItems/>
    </cacheField>
    <cacheField name="Gender" numFmtId="0">
      <sharedItems count="2">
        <s v="Male"/>
        <s v="Female"/>
      </sharedItems>
    </cacheField>
    <cacheField name="Own Home" numFmtId="0">
      <sharedItems/>
    </cacheField>
    <cacheField name="Married" numFmtId="0">
      <sharedItems/>
    </cacheField>
    <cacheField name="Close" numFmtId="0">
      <sharedItems containsSemiMixedTypes="0" containsString="0" containsNumber="1" containsInteger="1" minValue="0" maxValue="1"/>
    </cacheField>
    <cacheField name="Salary" numFmtId="164">
      <sharedItems containsSemiMixedTypes="0" containsString="0" containsNumber="1" containsInteger="1" minValue="10100" maxValue="168800"/>
    </cacheField>
    <cacheField name="Children" numFmtId="0">
      <sharedItems containsSemiMixedTypes="0" containsString="0" containsNumber="1" containsInteger="1" minValue="0" maxValue="3"/>
    </cacheField>
    <cacheField name="History" numFmtId="0">
      <sharedItems/>
    </cacheField>
    <cacheField name="Catalogs" numFmtId="0">
      <sharedItems containsSemiMixedTypes="0" containsString="0" containsNumber="1" containsInteger="1" minValue="6" maxValue="24"/>
    </cacheField>
    <cacheField name="Region" numFmtId="0">
      <sharedItems/>
    </cacheField>
    <cacheField name="State" numFmtId="0">
      <sharedItems count="18">
        <s v="Massachusetts"/>
        <s v="New York"/>
        <s v="Illinois"/>
        <s v="Ohio"/>
        <s v="Texas"/>
        <s v="Colorado"/>
        <s v="Indiana"/>
        <s v="Kansas"/>
        <s v="California"/>
        <s v="Kentucky"/>
        <s v="Tennessee"/>
        <s v="Florida"/>
        <s v="Louisiana"/>
        <s v="Pennsylvania"/>
        <s v="Arizona"/>
        <s v="Utah"/>
        <s v="Washington"/>
        <s v="Missouri"/>
      </sharedItems>
    </cacheField>
    <cacheField name="City" numFmtId="0">
      <sharedItems/>
    </cacheField>
    <cacheField name="First Purchase" numFmtId="14">
      <sharedItems containsSemiMixedTypes="0" containsNonDate="0" containsDate="1" containsString="0" minDate="2009-01-04T00:00:00" maxDate="2015-08-30T00:00:00"/>
    </cacheField>
    <cacheField name="Amount Spent" numFmtId="164">
      <sharedItems containsSemiMixedTypes="0" containsString="0" containsNumber="1" minValue="37.807000000000002" maxValue="6217.342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30"/>
    <s v="Middle Aged"/>
    <x v="0"/>
    <s v="Own Home"/>
    <s v="Married"/>
    <n v="0"/>
    <n v="79000"/>
    <n v="1"/>
    <s v="High Spending"/>
    <n v="18"/>
    <s v="East"/>
    <x v="0"/>
    <s v="Boston"/>
    <d v="2013-04-03T00:00:00"/>
    <n v="2278.8359999999998"/>
  </r>
  <r>
    <n v="52"/>
    <s v="Middle Aged"/>
    <x v="0"/>
    <s v="Own Home"/>
    <s v="No"/>
    <n v="1"/>
    <n v="56700"/>
    <n v="2"/>
    <s v="Low Spending"/>
    <n v="18"/>
    <s v="East"/>
    <x v="0"/>
    <s v="Boston"/>
    <d v="2009-01-18T00:00:00"/>
    <n v="535.60199999999998"/>
  </r>
  <r>
    <n v="56"/>
    <s v="Old"/>
    <x v="1"/>
    <s v="Own Home"/>
    <s v="No"/>
    <n v="0"/>
    <n v="22000"/>
    <n v="0"/>
    <s v="Medium Spending"/>
    <n v="12"/>
    <s v="East"/>
    <x v="0"/>
    <s v="Boston"/>
    <d v="2009-11-04T00:00:00"/>
    <n v="736.029"/>
  </r>
  <r>
    <n v="78"/>
    <s v="Young"/>
    <x v="1"/>
    <s v="Renting"/>
    <s v="Married"/>
    <n v="1"/>
    <n v="79400"/>
    <n v="0"/>
    <s v="NA"/>
    <n v="6"/>
    <s v="East"/>
    <x v="0"/>
    <s v="Boston"/>
    <d v="2015-05-01T00:00:00"/>
    <n v="1175.433"/>
  </r>
  <r>
    <n v="142"/>
    <s v="Old"/>
    <x v="0"/>
    <s v="Renting"/>
    <s v="No"/>
    <n v="1"/>
    <n v="56300"/>
    <n v="0"/>
    <s v="Medium Spending"/>
    <n v="6"/>
    <s v="East"/>
    <x v="0"/>
    <s v="Boston"/>
    <d v="2011-03-17T00:00:00"/>
    <n v="873.13900000000001"/>
  </r>
  <r>
    <n v="159"/>
    <s v="Middle Aged"/>
    <x v="0"/>
    <s v="Own Home"/>
    <s v="Married"/>
    <n v="1"/>
    <n v="63300"/>
    <n v="2"/>
    <s v="NA"/>
    <n v="6"/>
    <s v="East"/>
    <x v="0"/>
    <s v="Boston"/>
    <d v="2015-04-06T00:00:00"/>
    <n v="632.70299999999997"/>
  </r>
  <r>
    <n v="181"/>
    <s v="Young"/>
    <x v="0"/>
    <s v="Renting"/>
    <s v="No"/>
    <n v="1"/>
    <n v="25800"/>
    <n v="0"/>
    <s v="NA"/>
    <n v="6"/>
    <s v="East"/>
    <x v="0"/>
    <s v="Boston"/>
    <d v="2015-04-23T00:00:00"/>
    <n v="451.01600000000002"/>
  </r>
  <r>
    <n v="209"/>
    <s v="Young"/>
    <x v="1"/>
    <s v="Renting"/>
    <s v="Married"/>
    <n v="1"/>
    <n v="61000"/>
    <n v="1"/>
    <s v="NA"/>
    <n v="18"/>
    <s v="East"/>
    <x v="0"/>
    <s v="Boston"/>
    <d v="2015-02-15T00:00:00"/>
    <n v="1611.3789999999999"/>
  </r>
  <r>
    <n v="223"/>
    <s v="Old"/>
    <x v="1"/>
    <s v="Own Home"/>
    <s v="Married"/>
    <n v="0"/>
    <n v="79300"/>
    <n v="0"/>
    <s v="NA"/>
    <n v="12"/>
    <s v="East"/>
    <x v="0"/>
    <s v="Boston"/>
    <d v="2015-03-07T00:00:00"/>
    <n v="2046.912"/>
  </r>
  <r>
    <n v="285"/>
    <s v="Young"/>
    <x v="0"/>
    <s v="Renting"/>
    <s v="No"/>
    <n v="0"/>
    <n v="13900"/>
    <n v="0"/>
    <s v="NA"/>
    <n v="24"/>
    <s v="East"/>
    <x v="0"/>
    <s v="Boston"/>
    <d v="2015-02-07T00:00:00"/>
    <n v="569.67100000000005"/>
  </r>
  <r>
    <n v="287"/>
    <s v="Old"/>
    <x v="1"/>
    <s v="Renting"/>
    <s v="Married"/>
    <n v="0"/>
    <n v="72200"/>
    <n v="0"/>
    <s v="High Spending"/>
    <n v="24"/>
    <s v="East"/>
    <x v="0"/>
    <s v="Boston"/>
    <d v="2012-11-24T00:00:00"/>
    <n v="3069.1819999999998"/>
  </r>
  <r>
    <n v="317"/>
    <s v="Old"/>
    <x v="0"/>
    <s v="Renting"/>
    <s v="No"/>
    <n v="1"/>
    <n v="32400"/>
    <n v="1"/>
    <s v="Low Spending"/>
    <n v="12"/>
    <s v="East"/>
    <x v="0"/>
    <s v="Boston"/>
    <d v="2011-10-21T00:00:00"/>
    <n v="515.447"/>
  </r>
  <r>
    <n v="326"/>
    <s v="Middle Aged"/>
    <x v="0"/>
    <s v="Renting"/>
    <s v="No"/>
    <n v="1"/>
    <n v="41200"/>
    <n v="0"/>
    <s v="Medium Spending"/>
    <n v="12"/>
    <s v="East"/>
    <x v="0"/>
    <s v="Boston"/>
    <d v="2010-05-14T00:00:00"/>
    <n v="840.94600000000003"/>
  </r>
  <r>
    <n v="338"/>
    <s v="Middle Aged"/>
    <x v="0"/>
    <s v="Own Home"/>
    <s v="No"/>
    <n v="1"/>
    <n v="55600"/>
    <n v="0"/>
    <s v="NA"/>
    <n v="12"/>
    <s v="East"/>
    <x v="0"/>
    <s v="Boston"/>
    <d v="2015-03-13T00:00:00"/>
    <n v="951.952"/>
  </r>
  <r>
    <n v="346"/>
    <s v="Middle Aged"/>
    <x v="1"/>
    <s v="Own Home"/>
    <s v="Married"/>
    <n v="1"/>
    <n v="70900"/>
    <n v="1"/>
    <s v="Medium Spending"/>
    <n v="12"/>
    <s v="East"/>
    <x v="0"/>
    <s v="Boston"/>
    <d v="2012-03-25T00:00:00"/>
    <n v="794.1"/>
  </r>
  <r>
    <n v="397"/>
    <s v="Old"/>
    <x v="1"/>
    <s v="Own Home"/>
    <s v="Married"/>
    <n v="1"/>
    <n v="74700"/>
    <n v="0"/>
    <s v="High Spending"/>
    <n v="12"/>
    <s v="East"/>
    <x v="0"/>
    <s v="Boston"/>
    <d v="2011-09-08T00:00:00"/>
    <n v="1698.873"/>
  </r>
  <r>
    <n v="398"/>
    <s v="Middle Aged"/>
    <x v="1"/>
    <s v="Own Home"/>
    <s v="No"/>
    <n v="1"/>
    <n v="60200"/>
    <n v="1"/>
    <s v="NA"/>
    <n v="12"/>
    <s v="East"/>
    <x v="0"/>
    <s v="Boston"/>
    <d v="2015-02-28T00:00:00"/>
    <n v="1747.789"/>
  </r>
  <r>
    <n v="485"/>
    <s v="Middle Aged"/>
    <x v="0"/>
    <s v="Own Home"/>
    <s v="Married"/>
    <n v="0"/>
    <n v="77800"/>
    <n v="1"/>
    <s v="High Spending"/>
    <n v="18"/>
    <s v="East"/>
    <x v="0"/>
    <s v="Boston"/>
    <d v="2009-05-28T00:00:00"/>
    <n v="1813.0640000000001"/>
  </r>
  <r>
    <n v="509"/>
    <s v="Middle Aged"/>
    <x v="0"/>
    <s v="Own Home"/>
    <s v="Married"/>
    <n v="1"/>
    <n v="82400"/>
    <n v="0"/>
    <s v="High Spending"/>
    <n v="18"/>
    <s v="East"/>
    <x v="0"/>
    <s v="Boston"/>
    <d v="2015-08-10T00:00:00"/>
    <n v="1779.03"/>
  </r>
  <r>
    <n v="557"/>
    <s v="Young"/>
    <x v="1"/>
    <s v="Renting"/>
    <s v="No"/>
    <n v="0"/>
    <n v="21100"/>
    <n v="1"/>
    <s v="Low Spending"/>
    <n v="6"/>
    <s v="East"/>
    <x v="0"/>
    <s v="Boston"/>
    <d v="2009-11-10T00:00:00"/>
    <n v="470.03899999999999"/>
  </r>
  <r>
    <n v="568"/>
    <s v="Middle Aged"/>
    <x v="0"/>
    <s v="Own Home"/>
    <s v="Married"/>
    <n v="1"/>
    <n v="90300"/>
    <n v="0"/>
    <s v="High Spending"/>
    <n v="24"/>
    <s v="East"/>
    <x v="0"/>
    <s v="Boston"/>
    <d v="2014-04-15T00:00:00"/>
    <n v="1944.145"/>
  </r>
  <r>
    <n v="617"/>
    <s v="Middle Aged"/>
    <x v="1"/>
    <s v="Own Home"/>
    <s v="Married"/>
    <n v="1"/>
    <n v="105300"/>
    <n v="1"/>
    <s v="NA"/>
    <n v="24"/>
    <s v="East"/>
    <x v="0"/>
    <s v="Boston"/>
    <d v="2015-03-24T00:00:00"/>
    <n v="3360.4409999999998"/>
  </r>
  <r>
    <n v="625"/>
    <s v="Middle Aged"/>
    <x v="1"/>
    <s v="Own Home"/>
    <s v="Married"/>
    <n v="1"/>
    <n v="63700"/>
    <n v="3"/>
    <s v="Low Spending"/>
    <n v="12"/>
    <s v="East"/>
    <x v="0"/>
    <s v="Boston"/>
    <d v="2009-01-27T00:00:00"/>
    <n v="363.58199999999999"/>
  </r>
  <r>
    <n v="665"/>
    <s v="Old"/>
    <x v="0"/>
    <s v="Own Home"/>
    <s v="Married"/>
    <n v="0"/>
    <n v="80700"/>
    <n v="0"/>
    <s v="NA"/>
    <n v="18"/>
    <s v="East"/>
    <x v="0"/>
    <s v="Boston"/>
    <d v="2015-05-19T00:00:00"/>
    <n v="3034.1869999999999"/>
  </r>
  <r>
    <n v="685"/>
    <s v="Old"/>
    <x v="0"/>
    <s v="Own Home"/>
    <s v="Married"/>
    <n v="0"/>
    <n v="65500"/>
    <n v="0"/>
    <s v="High Spending"/>
    <n v="24"/>
    <s v="East"/>
    <x v="0"/>
    <s v="Boston"/>
    <d v="2009-11-29T00:00:00"/>
    <n v="1931.347"/>
  </r>
  <r>
    <n v="698"/>
    <s v="Middle Aged"/>
    <x v="0"/>
    <s v="Renting"/>
    <s v="No"/>
    <n v="1"/>
    <n v="53900"/>
    <n v="1"/>
    <s v="Medium Spending"/>
    <n v="6"/>
    <s v="East"/>
    <x v="0"/>
    <s v="Boston"/>
    <d v="2014-09-24T00:00:00"/>
    <n v="735.06799999999998"/>
  </r>
  <r>
    <n v="705"/>
    <s v="Old"/>
    <x v="0"/>
    <s v="Renting"/>
    <s v="Married"/>
    <n v="1"/>
    <n v="81800"/>
    <n v="0"/>
    <s v="High Spending"/>
    <n v="6"/>
    <s v="East"/>
    <x v="0"/>
    <s v="Boston"/>
    <d v="2013-07-30T00:00:00"/>
    <n v="918.78300000000002"/>
  </r>
  <r>
    <n v="731"/>
    <s v="Middle Aged"/>
    <x v="0"/>
    <s v="Renting"/>
    <s v="No"/>
    <n v="0"/>
    <n v="59000"/>
    <n v="0"/>
    <s v="High Spending"/>
    <n v="24"/>
    <s v="East"/>
    <x v="0"/>
    <s v="Boston"/>
    <d v="2012-08-02T00:00:00"/>
    <n v="3043.7649999999999"/>
  </r>
  <r>
    <n v="771"/>
    <s v="Middle Aged"/>
    <x v="0"/>
    <s v="Own Home"/>
    <s v="Married"/>
    <n v="1"/>
    <n v="88700"/>
    <n v="1"/>
    <s v="NA"/>
    <n v="18"/>
    <s v="East"/>
    <x v="0"/>
    <s v="Boston"/>
    <d v="2015-03-28T00:00:00"/>
    <n v="2448.2089999999998"/>
  </r>
  <r>
    <n v="828"/>
    <s v="Middle Aged"/>
    <x v="1"/>
    <s v="Renting"/>
    <s v="Married"/>
    <n v="1"/>
    <n v="66500"/>
    <n v="1"/>
    <s v="NA"/>
    <n v="24"/>
    <s v="East"/>
    <x v="0"/>
    <s v="Boston"/>
    <d v="2015-04-30T00:00:00"/>
    <n v="1180.9770000000001"/>
  </r>
  <r>
    <n v="911"/>
    <s v="Old"/>
    <x v="1"/>
    <s v="Own Home"/>
    <s v="Married"/>
    <n v="1"/>
    <n v="62800"/>
    <n v="0"/>
    <s v="High Spending"/>
    <n v="18"/>
    <s v="East"/>
    <x v="0"/>
    <s v="Boston"/>
    <d v="2014-01-01T00:00:00"/>
    <n v="1403.374"/>
  </r>
  <r>
    <n v="939"/>
    <s v="Old"/>
    <x v="0"/>
    <s v="Renting"/>
    <s v="Married"/>
    <n v="0"/>
    <n v="23800"/>
    <n v="0"/>
    <s v="NA"/>
    <n v="12"/>
    <s v="East"/>
    <x v="0"/>
    <s v="Boston"/>
    <d v="2015-04-21T00:00:00"/>
    <n v="428.25099999999998"/>
  </r>
  <r>
    <n v="947"/>
    <s v="Old"/>
    <x v="1"/>
    <s v="Renting"/>
    <s v="Married"/>
    <n v="1"/>
    <n v="71800"/>
    <n v="0"/>
    <s v="High Spending"/>
    <n v="24"/>
    <s v="East"/>
    <x v="0"/>
    <s v="Boston"/>
    <d v="2011-08-30T00:00:00"/>
    <n v="1946.498"/>
  </r>
  <r>
    <n v="949"/>
    <s v="Old"/>
    <x v="0"/>
    <s v="Renting"/>
    <s v="Married"/>
    <n v="1"/>
    <n v="71800"/>
    <n v="0"/>
    <s v="High Spending"/>
    <n v="12"/>
    <s v="East"/>
    <x v="0"/>
    <s v="Boston"/>
    <d v="2012-07-15T00:00:00"/>
    <n v="1388.5840000000001"/>
  </r>
  <r>
    <n v="951"/>
    <s v="Young"/>
    <x v="1"/>
    <s v="Renting"/>
    <s v="Married"/>
    <n v="1"/>
    <n v="61700"/>
    <n v="0"/>
    <s v="NA"/>
    <n v="12"/>
    <s v="East"/>
    <x v="0"/>
    <s v="Boston"/>
    <d v="2015-02-06T00:00:00"/>
    <n v="1161.0519999999999"/>
  </r>
  <r>
    <n v="956"/>
    <s v="Old"/>
    <x v="0"/>
    <s v="Own Home"/>
    <s v="No"/>
    <n v="1"/>
    <n v="38700"/>
    <n v="0"/>
    <s v="NA"/>
    <n v="24"/>
    <s v="East"/>
    <x v="0"/>
    <s v="Boston"/>
    <d v="2015-06-20T00:00:00"/>
    <n v="1506.2629999999999"/>
  </r>
  <r>
    <n v="957"/>
    <s v="Old"/>
    <x v="1"/>
    <s v="Own Home"/>
    <s v="No"/>
    <n v="1"/>
    <n v="11400"/>
    <n v="0"/>
    <s v="NA"/>
    <n v="6"/>
    <s v="East"/>
    <x v="0"/>
    <s v="Boston"/>
    <d v="2015-06-23T00:00:00"/>
    <n v="257.81700000000001"/>
  </r>
  <r>
    <n v="11"/>
    <s v="Middle Aged"/>
    <x v="0"/>
    <s v="Renting"/>
    <s v="Married"/>
    <n v="1"/>
    <n v="94200"/>
    <n v="1"/>
    <s v="High Spending"/>
    <n v="18"/>
    <s v="East"/>
    <x v="1"/>
    <s v="Buffalo"/>
    <d v="2011-04-27T00:00:00"/>
    <n v="1211.05"/>
  </r>
  <r>
    <n v="14"/>
    <s v="Middle Aged"/>
    <x v="0"/>
    <s v="Renting"/>
    <s v="No"/>
    <n v="0"/>
    <n v="52600"/>
    <n v="1"/>
    <s v="NA"/>
    <n v="18"/>
    <s v="East"/>
    <x v="1"/>
    <s v="Buffalo"/>
    <d v="2015-04-08T00:00:00"/>
    <n v="1773.11"/>
  </r>
  <r>
    <n v="28"/>
    <s v="Old"/>
    <x v="1"/>
    <s v="Own Home"/>
    <s v="Married"/>
    <n v="1"/>
    <n v="74400"/>
    <n v="0"/>
    <s v="High Spending"/>
    <n v="18"/>
    <s v="East"/>
    <x v="1"/>
    <s v="Buffalo"/>
    <d v="2010-06-06T00:00:00"/>
    <n v="2478.5219999999999"/>
  </r>
  <r>
    <n v="40"/>
    <s v="Young"/>
    <x v="1"/>
    <s v="Renting"/>
    <s v="Married"/>
    <n v="1"/>
    <n v="36600"/>
    <n v="0"/>
    <s v="Medium Spending"/>
    <n v="6"/>
    <s v="East"/>
    <x v="1"/>
    <s v="Buffalo"/>
    <d v="2012-07-31T00:00:00"/>
    <n v="833.35400000000004"/>
  </r>
  <r>
    <n v="72"/>
    <s v="Middle Aged"/>
    <x v="0"/>
    <s v="Renting"/>
    <s v="Married"/>
    <n v="0"/>
    <n v="72200"/>
    <n v="3"/>
    <s v="Medium Spending"/>
    <n v="18"/>
    <s v="East"/>
    <x v="1"/>
    <s v="Buffalo"/>
    <d v="2014-03-04T00:00:00"/>
    <n v="1810.5640000000001"/>
  </r>
  <r>
    <n v="92"/>
    <s v="Young"/>
    <x v="0"/>
    <s v="Renting"/>
    <s v="Married"/>
    <n v="0"/>
    <n v="20200"/>
    <n v="1"/>
    <s v="Low Spending"/>
    <n v="24"/>
    <s v="East"/>
    <x v="1"/>
    <s v="Buffalo"/>
    <d v="2012-12-14T00:00:00"/>
    <n v="499.66500000000002"/>
  </r>
  <r>
    <n v="98"/>
    <s v="Young"/>
    <x v="1"/>
    <s v="Renting"/>
    <s v="No"/>
    <n v="0"/>
    <n v="14400"/>
    <n v="1"/>
    <s v="Low Spending"/>
    <n v="6"/>
    <s v="East"/>
    <x v="1"/>
    <s v="Buffalo"/>
    <d v="2010-07-13T00:00:00"/>
    <n v="389.86399999999998"/>
  </r>
  <r>
    <n v="129"/>
    <s v="Old"/>
    <x v="0"/>
    <s v="Own Home"/>
    <s v="Married"/>
    <n v="1"/>
    <n v="71200"/>
    <n v="1"/>
    <s v="Medium Spending"/>
    <n v="12"/>
    <s v="East"/>
    <x v="1"/>
    <s v="Buffalo"/>
    <d v="2012-03-03T00:00:00"/>
    <n v="637.80100000000004"/>
  </r>
  <r>
    <n v="158"/>
    <s v="Middle Aged"/>
    <x v="0"/>
    <s v="Renting"/>
    <s v="No"/>
    <n v="0"/>
    <n v="40500"/>
    <n v="1"/>
    <s v="NA"/>
    <n v="18"/>
    <s v="East"/>
    <x v="1"/>
    <s v="Buffalo"/>
    <d v="2015-06-22T00:00:00"/>
    <n v="1072.8620000000001"/>
  </r>
  <r>
    <n v="189"/>
    <s v="Middle Aged"/>
    <x v="1"/>
    <s v="Renting"/>
    <s v="No"/>
    <n v="1"/>
    <n v="36400"/>
    <n v="2"/>
    <s v="Low Spending"/>
    <n v="18"/>
    <s v="East"/>
    <x v="1"/>
    <s v="Buffalo"/>
    <d v="2013-12-19T00:00:00"/>
    <n v="506.00200000000001"/>
  </r>
  <r>
    <n v="250"/>
    <s v="Middle Aged"/>
    <x v="0"/>
    <s v="Own Home"/>
    <s v="No"/>
    <n v="1"/>
    <n v="49200"/>
    <n v="3"/>
    <s v="Low Spending"/>
    <n v="12"/>
    <s v="East"/>
    <x v="1"/>
    <s v="Buffalo"/>
    <d v="2015-07-29T00:00:00"/>
    <n v="209.52099999999999"/>
  </r>
  <r>
    <n v="309"/>
    <s v="Middle Aged"/>
    <x v="1"/>
    <s v="Renting"/>
    <s v="No"/>
    <n v="1"/>
    <n v="43700"/>
    <n v="0"/>
    <s v="Medium Spending"/>
    <n v="12"/>
    <s v="East"/>
    <x v="1"/>
    <s v="Buffalo"/>
    <d v="2009-06-12T00:00:00"/>
    <n v="950.10299999999995"/>
  </r>
  <r>
    <n v="310"/>
    <s v="Old"/>
    <x v="1"/>
    <s v="Renting"/>
    <s v="Married"/>
    <n v="1"/>
    <n v="23600"/>
    <n v="1"/>
    <s v="Low Spending"/>
    <n v="6"/>
    <s v="East"/>
    <x v="1"/>
    <s v="Buffalo"/>
    <d v="2015-05-20T00:00:00"/>
    <n v="160.83600000000001"/>
  </r>
  <r>
    <n v="334"/>
    <s v="Old"/>
    <x v="1"/>
    <s v="Own Home"/>
    <s v="Married"/>
    <n v="0"/>
    <n v="37500"/>
    <n v="0"/>
    <s v="Medium Spending"/>
    <n v="18"/>
    <s v="East"/>
    <x v="1"/>
    <s v="Buffalo"/>
    <d v="2009-11-17T00:00:00"/>
    <n v="1577.7470000000001"/>
  </r>
  <r>
    <n v="406"/>
    <s v="Middle Aged"/>
    <x v="0"/>
    <s v="Own Home"/>
    <s v="Married"/>
    <n v="1"/>
    <n v="64300"/>
    <n v="2"/>
    <s v="Medium Spending"/>
    <n v="6"/>
    <s v="East"/>
    <x v="1"/>
    <s v="Buffalo"/>
    <d v="2010-12-06T00:00:00"/>
    <n v="661.11900000000003"/>
  </r>
  <r>
    <n v="430"/>
    <s v="Young"/>
    <x v="1"/>
    <s v="Renting"/>
    <s v="No"/>
    <n v="0"/>
    <n v="23200"/>
    <n v="2"/>
    <s v="NA"/>
    <n v="24"/>
    <s v="East"/>
    <x v="1"/>
    <s v="Buffalo"/>
    <d v="2015-01-30T00:00:00"/>
    <n v="787.61699999999996"/>
  </r>
  <r>
    <n v="432"/>
    <s v="Middle Aged"/>
    <x v="0"/>
    <s v="Own Home"/>
    <s v="Married"/>
    <n v="1"/>
    <n v="96900"/>
    <n v="1"/>
    <s v="High Spending"/>
    <n v="12"/>
    <s v="East"/>
    <x v="1"/>
    <s v="Buffalo"/>
    <d v="2013-06-04T00:00:00"/>
    <n v="1419.508"/>
  </r>
  <r>
    <n v="444"/>
    <s v="Middle Aged"/>
    <x v="0"/>
    <s v="Own Home"/>
    <s v="No"/>
    <n v="0"/>
    <n v="49700"/>
    <n v="0"/>
    <s v="High Spending"/>
    <n v="24"/>
    <s v="East"/>
    <x v="1"/>
    <s v="Buffalo"/>
    <d v="2012-07-15T00:00:00"/>
    <n v="2844.3090000000002"/>
  </r>
  <r>
    <n v="451"/>
    <s v="Young"/>
    <x v="1"/>
    <s v="Renting"/>
    <s v="No"/>
    <n v="1"/>
    <n v="12900"/>
    <n v="1"/>
    <s v="Low Spending"/>
    <n v="6"/>
    <s v="East"/>
    <x v="1"/>
    <s v="Buffalo"/>
    <d v="2013-08-29T00:00:00"/>
    <n v="106.97"/>
  </r>
  <r>
    <n v="483"/>
    <s v="Young"/>
    <x v="0"/>
    <s v="Renting"/>
    <s v="No"/>
    <n v="1"/>
    <n v="14100"/>
    <n v="0"/>
    <s v="Low Spending"/>
    <n v="12"/>
    <s v="East"/>
    <x v="1"/>
    <s v="Buffalo"/>
    <d v="2013-05-24T00:00:00"/>
    <n v="328.06900000000002"/>
  </r>
  <r>
    <n v="484"/>
    <s v="Young"/>
    <x v="1"/>
    <s v="Renting"/>
    <s v="No"/>
    <n v="0"/>
    <n v="17300"/>
    <n v="1"/>
    <s v="Low Spending"/>
    <n v="18"/>
    <s v="East"/>
    <x v="1"/>
    <s v="Buffalo"/>
    <d v="2011-01-12T00:00:00"/>
    <n v="380.892"/>
  </r>
  <r>
    <n v="508"/>
    <s v="Young"/>
    <x v="0"/>
    <s v="Renting"/>
    <s v="No"/>
    <n v="1"/>
    <n v="21700"/>
    <n v="1"/>
    <s v="NA"/>
    <n v="18"/>
    <s v="East"/>
    <x v="1"/>
    <s v="Buffalo"/>
    <d v="2015-05-31T00:00:00"/>
    <n v="773.96900000000005"/>
  </r>
  <r>
    <n v="552"/>
    <s v="Middle Aged"/>
    <x v="0"/>
    <s v="Renting"/>
    <s v="Married"/>
    <n v="1"/>
    <n v="92900"/>
    <n v="1"/>
    <s v="NA"/>
    <n v="6"/>
    <s v="East"/>
    <x v="1"/>
    <s v="Buffalo"/>
    <d v="2015-01-09T00:00:00"/>
    <n v="1704.6679999999999"/>
  </r>
  <r>
    <n v="563"/>
    <s v="Young"/>
    <x v="0"/>
    <s v="Renting"/>
    <s v="No"/>
    <n v="1"/>
    <n v="19100"/>
    <n v="0"/>
    <s v="NA"/>
    <n v="6"/>
    <s v="East"/>
    <x v="1"/>
    <s v="Buffalo"/>
    <d v="2015-02-23T00:00:00"/>
    <n v="175.999"/>
  </r>
  <r>
    <n v="584"/>
    <s v="Middle Aged"/>
    <x v="0"/>
    <s v="Own Home"/>
    <s v="No"/>
    <n v="0"/>
    <n v="60200"/>
    <n v="0"/>
    <s v="High Spending"/>
    <n v="12"/>
    <s v="East"/>
    <x v="1"/>
    <s v="Buffalo"/>
    <d v="2009-05-21T00:00:00"/>
    <n v="1955.135"/>
  </r>
  <r>
    <n v="657"/>
    <s v="Middle Aged"/>
    <x v="1"/>
    <s v="Renting"/>
    <s v="No"/>
    <n v="1"/>
    <n v="53700"/>
    <n v="2"/>
    <s v="NA"/>
    <n v="12"/>
    <s v="East"/>
    <x v="1"/>
    <s v="Buffalo"/>
    <d v="2015-04-12T00:00:00"/>
    <n v="1193.799"/>
  </r>
  <r>
    <n v="669"/>
    <s v="Middle Aged"/>
    <x v="1"/>
    <s v="Own Home"/>
    <s v="Married"/>
    <n v="0"/>
    <n v="88600"/>
    <n v="1"/>
    <s v="High Spending"/>
    <n v="18"/>
    <s v="East"/>
    <x v="1"/>
    <s v="Buffalo"/>
    <d v="2015-07-11T00:00:00"/>
    <n v="2563.027"/>
  </r>
  <r>
    <n v="736"/>
    <s v="Middle Aged"/>
    <x v="1"/>
    <s v="Renting"/>
    <s v="Married"/>
    <n v="0"/>
    <n v="45400"/>
    <n v="3"/>
    <s v="Medium Spending"/>
    <n v="24"/>
    <s v="East"/>
    <x v="1"/>
    <s v="Buffalo"/>
    <d v="2011-08-15T00:00:00"/>
    <n v="1202.643"/>
  </r>
  <r>
    <n v="748"/>
    <s v="Young"/>
    <x v="0"/>
    <s v="Renting"/>
    <s v="Married"/>
    <n v="0"/>
    <n v="51600"/>
    <n v="0"/>
    <s v="NA"/>
    <n v="12"/>
    <s v="East"/>
    <x v="1"/>
    <s v="Buffalo"/>
    <d v="2015-06-28T00:00:00"/>
    <n v="1081.867"/>
  </r>
  <r>
    <n v="755"/>
    <s v="Middle Aged"/>
    <x v="0"/>
    <s v="Own Home"/>
    <s v="Married"/>
    <n v="1"/>
    <n v="42700"/>
    <n v="0"/>
    <s v="Medium Spending"/>
    <n v="6"/>
    <s v="East"/>
    <x v="1"/>
    <s v="Buffalo"/>
    <d v="2013-01-06T00:00:00"/>
    <n v="541.34400000000005"/>
  </r>
  <r>
    <n v="810"/>
    <s v="Middle Aged"/>
    <x v="0"/>
    <s v="Own Home"/>
    <s v="Married"/>
    <n v="1"/>
    <n v="95100"/>
    <n v="2"/>
    <s v="Medium Spending"/>
    <n v="12"/>
    <s v="East"/>
    <x v="1"/>
    <s v="Buffalo"/>
    <d v="2015-03-01T00:00:00"/>
    <n v="808.93100000000004"/>
  </r>
  <r>
    <n v="824"/>
    <s v="Middle Aged"/>
    <x v="1"/>
    <s v="Renting"/>
    <s v="Married"/>
    <n v="0"/>
    <n v="60100"/>
    <n v="1"/>
    <s v="High Spending"/>
    <n v="18"/>
    <s v="East"/>
    <x v="1"/>
    <s v="Buffalo"/>
    <d v="2014-08-03T00:00:00"/>
    <n v="1430.491"/>
  </r>
  <r>
    <n v="844"/>
    <s v="Old"/>
    <x v="1"/>
    <s v="Own Home"/>
    <s v="Married"/>
    <n v="1"/>
    <n v="51000"/>
    <n v="0"/>
    <s v="Medium Spending"/>
    <n v="12"/>
    <s v="East"/>
    <x v="1"/>
    <s v="Buffalo"/>
    <d v="2013-12-28T00:00:00"/>
    <n v="1025.3440000000001"/>
  </r>
  <r>
    <n v="897"/>
    <s v="Old"/>
    <x v="1"/>
    <s v="Renting"/>
    <s v="No"/>
    <n v="0"/>
    <n v="13900"/>
    <n v="0"/>
    <s v="Low Spending"/>
    <n v="6"/>
    <s v="East"/>
    <x v="1"/>
    <s v="Buffalo"/>
    <d v="2012-04-06T00:00:00"/>
    <n v="191.18299999999999"/>
  </r>
  <r>
    <n v="898"/>
    <s v="Middle Aged"/>
    <x v="0"/>
    <s v="Renting"/>
    <s v="No"/>
    <n v="1"/>
    <n v="42300"/>
    <n v="0"/>
    <s v="Medium Spending"/>
    <n v="24"/>
    <s v="East"/>
    <x v="1"/>
    <s v="Buffalo"/>
    <d v="2014-09-06T00:00:00"/>
    <n v="1050.981"/>
  </r>
  <r>
    <n v="901"/>
    <s v="Old"/>
    <x v="1"/>
    <s v="Own Home"/>
    <s v="No"/>
    <n v="1"/>
    <n v="24400"/>
    <n v="0"/>
    <s v="Low Spending"/>
    <n v="6"/>
    <s v="East"/>
    <x v="1"/>
    <s v="Buffalo"/>
    <d v="2014-03-23T00:00:00"/>
    <n v="491.18700000000001"/>
  </r>
  <r>
    <n v="922"/>
    <s v="Middle Aged"/>
    <x v="0"/>
    <s v="Renting"/>
    <s v="No"/>
    <n v="1"/>
    <n v="49100"/>
    <n v="0"/>
    <s v="NA"/>
    <n v="6"/>
    <s v="East"/>
    <x v="1"/>
    <s v="Buffalo"/>
    <d v="2015-06-30T00:00:00"/>
    <n v="934.38599999999997"/>
  </r>
  <r>
    <n v="942"/>
    <s v="Young"/>
    <x v="1"/>
    <s v="Renting"/>
    <s v="No"/>
    <n v="1"/>
    <n v="14200"/>
    <n v="2"/>
    <s v="Low Spending"/>
    <n v="18"/>
    <s v="East"/>
    <x v="1"/>
    <s v="Buffalo"/>
    <d v="2012-02-02T00:00:00"/>
    <n v="197.339"/>
  </r>
  <r>
    <n v="945"/>
    <s v="Middle Aged"/>
    <x v="0"/>
    <s v="Own Home"/>
    <s v="Married"/>
    <n v="1"/>
    <n v="76100"/>
    <n v="0"/>
    <s v="NA"/>
    <n v="6"/>
    <s v="East"/>
    <x v="1"/>
    <s v="Buffalo"/>
    <d v="2015-01-30T00:00:00"/>
    <n v="719.34400000000005"/>
  </r>
  <r>
    <n v="2"/>
    <s v="Middle Aged"/>
    <x v="1"/>
    <s v="Own Home"/>
    <s v="Married"/>
    <n v="0"/>
    <n v="108100"/>
    <n v="3"/>
    <s v="High Spending"/>
    <n v="18"/>
    <s v="Midwest"/>
    <x v="2"/>
    <s v="Chicago"/>
    <d v="2009-05-25T00:00:00"/>
    <n v="2632.462"/>
  </r>
  <r>
    <n v="5"/>
    <s v="Young"/>
    <x v="0"/>
    <s v="Renting"/>
    <s v="No"/>
    <n v="1"/>
    <n v="11200"/>
    <n v="0"/>
    <s v="NA"/>
    <n v="6"/>
    <s v="Midwest"/>
    <x v="2"/>
    <s v="Chicago"/>
    <d v="2015-08-04T00:00:00"/>
    <n v="105.624"/>
  </r>
  <r>
    <n v="9"/>
    <s v="Middle Aged"/>
    <x v="0"/>
    <s v="Own Home"/>
    <s v="No"/>
    <n v="1"/>
    <n v="60300"/>
    <n v="0"/>
    <s v="NA"/>
    <n v="24"/>
    <s v="Midwest"/>
    <x v="2"/>
    <s v="Chicago"/>
    <d v="2015-05-29T00:00:00"/>
    <n v="2091.422"/>
  </r>
  <r>
    <n v="55"/>
    <s v="Middle Aged"/>
    <x v="0"/>
    <s v="Own Home"/>
    <s v="Married"/>
    <n v="0"/>
    <n v="96800"/>
    <n v="2"/>
    <s v="High Spending"/>
    <n v="18"/>
    <s v="Midwest"/>
    <x v="2"/>
    <s v="Chicago"/>
    <d v="2010-01-08T00:00:00"/>
    <n v="2299.4699999999998"/>
  </r>
  <r>
    <n v="75"/>
    <s v="Old"/>
    <x v="1"/>
    <s v="Renting"/>
    <s v="No"/>
    <n v="0"/>
    <n v="15100"/>
    <n v="0"/>
    <s v="Low Spending"/>
    <n v="6"/>
    <s v="Midwest"/>
    <x v="2"/>
    <s v="Chicago"/>
    <d v="2014-03-21T00:00:00"/>
    <n v="348.45600000000002"/>
  </r>
  <r>
    <n v="91"/>
    <s v="Young"/>
    <x v="1"/>
    <s v="Own Home"/>
    <s v="No"/>
    <n v="1"/>
    <n v="25900"/>
    <n v="2"/>
    <s v="NA"/>
    <n v="12"/>
    <s v="Midwest"/>
    <x v="2"/>
    <s v="Chicago"/>
    <d v="2015-03-28T00:00:00"/>
    <n v="449.19499999999999"/>
  </r>
  <r>
    <n v="146"/>
    <s v="Old"/>
    <x v="0"/>
    <s v="Own Home"/>
    <s v="Married"/>
    <n v="1"/>
    <n v="73300"/>
    <n v="0"/>
    <s v="NA"/>
    <n v="12"/>
    <s v="Midwest"/>
    <x v="2"/>
    <s v="Chicago"/>
    <d v="2015-01-31T00:00:00"/>
    <n v="1694.4670000000001"/>
  </r>
  <r>
    <n v="149"/>
    <s v="Young"/>
    <x v="1"/>
    <s v="Renting"/>
    <s v="No"/>
    <n v="1"/>
    <n v="23000"/>
    <n v="3"/>
    <s v="Low Spending"/>
    <n v="6"/>
    <s v="Midwest"/>
    <x v="2"/>
    <s v="Chicago"/>
    <d v="2015-01-20T00:00:00"/>
    <n v="78.701999999999998"/>
  </r>
  <r>
    <n v="185"/>
    <s v="Middle Aged"/>
    <x v="0"/>
    <s v="Own Home"/>
    <s v="Married"/>
    <n v="1"/>
    <n v="109900"/>
    <n v="2"/>
    <s v="Medium Spending"/>
    <n v="12"/>
    <s v="Midwest"/>
    <x v="2"/>
    <s v="Chicago"/>
    <d v="2012-08-20T00:00:00"/>
    <n v="870.19500000000005"/>
  </r>
  <r>
    <n v="196"/>
    <s v="Old"/>
    <x v="1"/>
    <s v="Own Home"/>
    <s v="Married"/>
    <n v="1"/>
    <n v="43600"/>
    <n v="0"/>
    <s v="Medium Spending"/>
    <n v="12"/>
    <s v="Midwest"/>
    <x v="2"/>
    <s v="Chicago"/>
    <d v="2015-06-13T00:00:00"/>
    <n v="1046.5719999999999"/>
  </r>
  <r>
    <n v="255"/>
    <s v="Middle Aged"/>
    <x v="0"/>
    <s v="Own Home"/>
    <s v="Married"/>
    <n v="1"/>
    <n v="111400"/>
    <n v="0"/>
    <s v="High Spending"/>
    <n v="12"/>
    <s v="Midwest"/>
    <x v="2"/>
    <s v="Chicago"/>
    <d v="2009-01-18T00:00:00"/>
    <n v="2136.348"/>
  </r>
  <r>
    <n v="272"/>
    <s v="Middle Aged"/>
    <x v="1"/>
    <s v="Own Home"/>
    <s v="No"/>
    <n v="1"/>
    <n v="27000"/>
    <n v="2"/>
    <s v="Low Spending"/>
    <n v="6"/>
    <s v="Midwest"/>
    <x v="2"/>
    <s v="Chicago"/>
    <d v="2009-11-25T00:00:00"/>
    <n v="182.63399999999999"/>
  </r>
  <r>
    <n v="275"/>
    <s v="Old"/>
    <x v="1"/>
    <s v="Renting"/>
    <s v="No"/>
    <n v="1"/>
    <n v="20100"/>
    <n v="0"/>
    <s v="Low Spending"/>
    <n v="24"/>
    <s v="Midwest"/>
    <x v="2"/>
    <s v="Chicago"/>
    <d v="2012-05-30T00:00:00"/>
    <n v="575.572"/>
  </r>
  <r>
    <n v="295"/>
    <s v="Middle Aged"/>
    <x v="0"/>
    <s v="Own Home"/>
    <s v="No"/>
    <n v="1"/>
    <n v="68900"/>
    <n v="2"/>
    <s v="NA"/>
    <n v="18"/>
    <s v="Midwest"/>
    <x v="2"/>
    <s v="Chicago"/>
    <d v="2015-07-21T00:00:00"/>
    <n v="2783.8960000000002"/>
  </r>
  <r>
    <n v="358"/>
    <s v="Middle Aged"/>
    <x v="1"/>
    <s v="Own Home"/>
    <s v="No"/>
    <n v="0"/>
    <n v="66800"/>
    <n v="3"/>
    <s v="NA"/>
    <n v="24"/>
    <s v="Midwest"/>
    <x v="2"/>
    <s v="Chicago"/>
    <d v="2015-05-12T00:00:00"/>
    <n v="2098.029"/>
  </r>
  <r>
    <n v="376"/>
    <s v="Young"/>
    <x v="1"/>
    <s v="Renting"/>
    <s v="No"/>
    <n v="0"/>
    <n v="13800"/>
    <n v="3"/>
    <s v="Low Spending"/>
    <n v="6"/>
    <s v="Midwest"/>
    <x v="2"/>
    <s v="Chicago"/>
    <d v="2009-06-23T00:00:00"/>
    <n v="127.25700000000001"/>
  </r>
  <r>
    <n v="447"/>
    <s v="Old"/>
    <x v="0"/>
    <s v="Own Home"/>
    <s v="Married"/>
    <n v="1"/>
    <n v="84300"/>
    <n v="0"/>
    <s v="High Spending"/>
    <n v="24"/>
    <s v="Midwest"/>
    <x v="2"/>
    <s v="Chicago"/>
    <d v="2012-11-25T00:00:00"/>
    <n v="2841.8220000000001"/>
  </r>
  <r>
    <n v="466"/>
    <s v="Middle Aged"/>
    <x v="1"/>
    <s v="Renting"/>
    <s v="Married"/>
    <n v="0"/>
    <n v="67300"/>
    <n v="1"/>
    <s v="High Spending"/>
    <n v="18"/>
    <s v="Midwest"/>
    <x v="2"/>
    <s v="Chicago"/>
    <d v="2011-08-09T00:00:00"/>
    <n v="1513.3309999999999"/>
  </r>
  <r>
    <n v="479"/>
    <s v="Old"/>
    <x v="1"/>
    <s v="Renting"/>
    <s v="No"/>
    <n v="1"/>
    <n v="14900"/>
    <n v="0"/>
    <s v="NA"/>
    <n v="12"/>
    <s v="Midwest"/>
    <x v="2"/>
    <s v="Chicago"/>
    <d v="2015-05-18T00:00:00"/>
    <n v="274.58499999999998"/>
  </r>
  <r>
    <n v="487"/>
    <s v="Middle Aged"/>
    <x v="0"/>
    <s v="Own Home"/>
    <s v="No"/>
    <n v="1"/>
    <n v="73200"/>
    <n v="0"/>
    <s v="High Spending"/>
    <n v="24"/>
    <s v="Midwest"/>
    <x v="2"/>
    <s v="Chicago"/>
    <d v="2013-08-17T00:00:00"/>
    <n v="2176.837"/>
  </r>
  <r>
    <n v="501"/>
    <s v="Young"/>
    <x v="0"/>
    <s v="Renting"/>
    <s v="Married"/>
    <n v="1"/>
    <n v="67800"/>
    <n v="0"/>
    <s v="High Spending"/>
    <n v="12"/>
    <s v="Midwest"/>
    <x v="2"/>
    <s v="Chicago"/>
    <d v="2014-07-08T00:00:00"/>
    <n v="1083.6769999999999"/>
  </r>
  <r>
    <n v="523"/>
    <s v="Middle Aged"/>
    <x v="1"/>
    <s v="Renting"/>
    <s v="Married"/>
    <n v="1"/>
    <n v="75200"/>
    <n v="1"/>
    <s v="NA"/>
    <n v="24"/>
    <s v="Midwest"/>
    <x v="2"/>
    <s v="Chicago"/>
    <d v="2015-03-06T00:00:00"/>
    <n v="2702.4549999999999"/>
  </r>
  <r>
    <n v="533"/>
    <s v="Middle Aged"/>
    <x v="1"/>
    <s v="Own Home"/>
    <s v="Married"/>
    <n v="0"/>
    <n v="44200"/>
    <n v="0"/>
    <s v="High Spending"/>
    <n v="24"/>
    <s v="Midwest"/>
    <x v="2"/>
    <s v="Chicago"/>
    <d v="2011-12-08T00:00:00"/>
    <n v="2524.4879999999998"/>
  </r>
  <r>
    <n v="541"/>
    <s v="Middle Aged"/>
    <x v="1"/>
    <s v="Own Home"/>
    <s v="No"/>
    <n v="1"/>
    <n v="52700"/>
    <n v="2"/>
    <s v="Low Spending"/>
    <n v="18"/>
    <s v="Midwest"/>
    <x v="2"/>
    <s v="Chicago"/>
    <d v="2010-10-14T00:00:00"/>
    <n v="854.90099999999995"/>
  </r>
  <r>
    <n v="560"/>
    <s v="Middle Aged"/>
    <x v="0"/>
    <s v="Own Home"/>
    <s v="No"/>
    <n v="0"/>
    <n v="61300"/>
    <n v="2"/>
    <s v="High Spending"/>
    <n v="24"/>
    <s v="Midwest"/>
    <x v="2"/>
    <s v="Chicago"/>
    <d v="2014-03-15T00:00:00"/>
    <n v="1241.394"/>
  </r>
  <r>
    <n v="564"/>
    <s v="Young"/>
    <x v="1"/>
    <s v="Renting"/>
    <s v="Married"/>
    <n v="1"/>
    <n v="73600"/>
    <n v="1"/>
    <s v="Medium Spending"/>
    <n v="6"/>
    <s v="Midwest"/>
    <x v="2"/>
    <s v="Chicago"/>
    <d v="2010-04-09T00:00:00"/>
    <n v="646.81299999999999"/>
  </r>
  <r>
    <n v="585"/>
    <s v="Middle Aged"/>
    <x v="1"/>
    <s v="Own Home"/>
    <s v="Married"/>
    <n v="1"/>
    <n v="80800"/>
    <n v="1"/>
    <s v="NA"/>
    <n v="18"/>
    <s v="Midwest"/>
    <x v="2"/>
    <s v="Chicago"/>
    <d v="2015-04-18T00:00:00"/>
    <n v="1598.2719999999999"/>
  </r>
  <r>
    <n v="586"/>
    <s v="Young"/>
    <x v="1"/>
    <s v="Renting"/>
    <s v="No"/>
    <n v="1"/>
    <n v="21900"/>
    <n v="1"/>
    <s v="NA"/>
    <n v="12"/>
    <s v="Midwest"/>
    <x v="2"/>
    <s v="Chicago"/>
    <d v="2015-08-06T00:00:00"/>
    <n v="576.06600000000003"/>
  </r>
  <r>
    <n v="623"/>
    <s v="Middle Aged"/>
    <x v="0"/>
    <s v="Own Home"/>
    <s v="Married"/>
    <n v="1"/>
    <n v="76700"/>
    <n v="1"/>
    <s v="Medium Spending"/>
    <n v="24"/>
    <s v="Midwest"/>
    <x v="2"/>
    <s v="Chicago"/>
    <d v="2010-12-12T00:00:00"/>
    <n v="1430.6679999999999"/>
  </r>
  <r>
    <n v="677"/>
    <s v="Young"/>
    <x v="1"/>
    <s v="Renting"/>
    <s v="No"/>
    <n v="1"/>
    <n v="25100"/>
    <n v="1"/>
    <s v="NA"/>
    <n v="6"/>
    <s v="Midwest"/>
    <x v="2"/>
    <s v="Chicago"/>
    <d v="2015-01-05T00:00:00"/>
    <n v="421.02699999999999"/>
  </r>
  <r>
    <n v="691"/>
    <s v="Middle Aged"/>
    <x v="1"/>
    <s v="Own Home"/>
    <s v="No"/>
    <n v="1"/>
    <n v="47900"/>
    <n v="1"/>
    <s v="Medium Spending"/>
    <n v="24"/>
    <s v="Midwest"/>
    <x v="2"/>
    <s v="Chicago"/>
    <d v="2010-02-09T00:00:00"/>
    <n v="661.80499999999995"/>
  </r>
  <r>
    <n v="701"/>
    <s v="Old"/>
    <x v="1"/>
    <s v="Renting"/>
    <s v="Married"/>
    <n v="1"/>
    <n v="97000"/>
    <n v="0"/>
    <s v="NA"/>
    <n v="24"/>
    <s v="Midwest"/>
    <x v="2"/>
    <s v="Chicago"/>
    <d v="2015-08-29T00:00:00"/>
    <n v="2599.1129999999998"/>
  </r>
  <r>
    <n v="702"/>
    <s v="Old"/>
    <x v="1"/>
    <s v="Own Home"/>
    <s v="Married"/>
    <n v="1"/>
    <n v="35000"/>
    <n v="0"/>
    <s v="Medium Spending"/>
    <n v="6"/>
    <s v="Midwest"/>
    <x v="2"/>
    <s v="Chicago"/>
    <d v="2009-01-26T00:00:00"/>
    <n v="473.17599999999999"/>
  </r>
  <r>
    <n v="714"/>
    <s v="Middle Aged"/>
    <x v="1"/>
    <s v="Own Home"/>
    <s v="Married"/>
    <n v="1"/>
    <n v="108100"/>
    <n v="1"/>
    <s v="High Spending"/>
    <n v="12"/>
    <s v="Midwest"/>
    <x v="2"/>
    <s v="Chicago"/>
    <d v="2010-02-06T00:00:00"/>
    <n v="1133.433"/>
  </r>
  <r>
    <n v="729"/>
    <s v="Middle Aged"/>
    <x v="0"/>
    <s v="Own Home"/>
    <s v="No"/>
    <n v="1"/>
    <n v="55900"/>
    <n v="0"/>
    <s v="Medium Spending"/>
    <n v="12"/>
    <s v="Midwest"/>
    <x v="2"/>
    <s v="Chicago"/>
    <d v="2011-02-02T00:00:00"/>
    <n v="963.50300000000004"/>
  </r>
  <r>
    <n v="740"/>
    <s v="Young"/>
    <x v="0"/>
    <s v="Renting"/>
    <s v="No"/>
    <n v="1"/>
    <n v="14200"/>
    <n v="0"/>
    <s v="Low Spending"/>
    <n v="6"/>
    <s v="Midwest"/>
    <x v="2"/>
    <s v="Chicago"/>
    <d v="2010-03-24T00:00:00"/>
    <n v="250.249"/>
  </r>
  <r>
    <n v="765"/>
    <s v="Middle Aged"/>
    <x v="1"/>
    <s v="Renting"/>
    <s v="No"/>
    <n v="1"/>
    <n v="42200"/>
    <n v="0"/>
    <s v="NA"/>
    <n v="18"/>
    <s v="Midwest"/>
    <x v="2"/>
    <s v="Chicago"/>
    <d v="2015-05-13T00:00:00"/>
    <n v="1753.394"/>
  </r>
  <r>
    <n v="768"/>
    <s v="Middle Aged"/>
    <x v="0"/>
    <s v="Renting"/>
    <s v="Married"/>
    <n v="0"/>
    <n v="72200"/>
    <n v="3"/>
    <s v="Medium Spending"/>
    <n v="18"/>
    <s v="Midwest"/>
    <x v="2"/>
    <s v="Chicago"/>
    <d v="2010-04-16T00:00:00"/>
    <n v="1041.5039999999999"/>
  </r>
  <r>
    <n v="779"/>
    <s v="Young"/>
    <x v="0"/>
    <s v="Renting"/>
    <s v="No"/>
    <n v="0"/>
    <n v="19400"/>
    <n v="0"/>
    <s v="Low Spending"/>
    <n v="6"/>
    <s v="Midwest"/>
    <x v="2"/>
    <s v="Chicago"/>
    <d v="2010-07-17T00:00:00"/>
    <n v="563.43299999999999"/>
  </r>
  <r>
    <n v="787"/>
    <s v="Middle Aged"/>
    <x v="0"/>
    <s v="Renting"/>
    <s v="No"/>
    <n v="1"/>
    <n v="52100"/>
    <n v="0"/>
    <s v="NA"/>
    <n v="12"/>
    <s v="Midwest"/>
    <x v="2"/>
    <s v="Chicago"/>
    <d v="2015-05-27T00:00:00"/>
    <n v="1668.443"/>
  </r>
  <r>
    <n v="815"/>
    <s v="Young"/>
    <x v="1"/>
    <s v="Renting"/>
    <s v="No"/>
    <n v="1"/>
    <n v="18800"/>
    <n v="2"/>
    <s v="Low Spending"/>
    <n v="18"/>
    <s v="Midwest"/>
    <x v="2"/>
    <s v="Chicago"/>
    <d v="2010-02-01T00:00:00"/>
    <n v="170.48099999999999"/>
  </r>
  <r>
    <n v="823"/>
    <s v="Middle Aged"/>
    <x v="0"/>
    <s v="Renting"/>
    <s v="No"/>
    <n v="0"/>
    <n v="65400"/>
    <n v="0"/>
    <s v="High Spending"/>
    <n v="12"/>
    <s v="Midwest"/>
    <x v="2"/>
    <s v="Chicago"/>
    <d v="2009-08-16T00:00:00"/>
    <n v="2296.453"/>
  </r>
  <r>
    <n v="854"/>
    <s v="Young"/>
    <x v="1"/>
    <s v="Renting"/>
    <s v="No"/>
    <n v="0"/>
    <n v="10200"/>
    <n v="2"/>
    <s v="Low Spending"/>
    <n v="18"/>
    <s v="Midwest"/>
    <x v="2"/>
    <s v="Chicago"/>
    <d v="2013-03-16T00:00:00"/>
    <n v="213.261"/>
  </r>
  <r>
    <n v="864"/>
    <s v="Middle Aged"/>
    <x v="1"/>
    <s v="Renting"/>
    <s v="No"/>
    <n v="1"/>
    <n v="32700"/>
    <n v="2"/>
    <s v="Low Spending"/>
    <n v="6"/>
    <s v="Midwest"/>
    <x v="2"/>
    <s v="Chicago"/>
    <d v="2009-09-04T00:00:00"/>
    <n v="272.80399999999997"/>
  </r>
  <r>
    <n v="877"/>
    <s v="Young"/>
    <x v="1"/>
    <s v="Own Home"/>
    <s v="No"/>
    <n v="1"/>
    <n v="27100"/>
    <n v="2"/>
    <s v="Low Spending"/>
    <n v="24"/>
    <s v="Midwest"/>
    <x v="2"/>
    <s v="Chicago"/>
    <d v="2012-02-27T00:00:00"/>
    <n v="437.14600000000002"/>
  </r>
  <r>
    <n v="910"/>
    <s v="Young"/>
    <x v="0"/>
    <s v="Own Home"/>
    <s v="Married"/>
    <n v="1"/>
    <n v="55100"/>
    <n v="0"/>
    <s v="Medium Spending"/>
    <n v="18"/>
    <s v="Midwest"/>
    <x v="2"/>
    <s v="Chicago"/>
    <d v="2013-08-29T00:00:00"/>
    <n v="1438.5229999999999"/>
  </r>
  <r>
    <n v="913"/>
    <s v="Young"/>
    <x v="0"/>
    <s v="Renting"/>
    <s v="No"/>
    <n v="1"/>
    <n v="10200"/>
    <n v="2"/>
    <s v="NA"/>
    <n v="12"/>
    <s v="Midwest"/>
    <x v="2"/>
    <s v="Chicago"/>
    <d v="2015-07-23T00:00:00"/>
    <n v="333.14299999999997"/>
  </r>
  <r>
    <n v="948"/>
    <s v="Middle Aged"/>
    <x v="0"/>
    <s v="Own Home"/>
    <s v="Married"/>
    <n v="1"/>
    <n v="117900"/>
    <n v="0"/>
    <s v="High Spending"/>
    <n v="6"/>
    <s v="Midwest"/>
    <x v="2"/>
    <s v="Chicago"/>
    <d v="2012-12-13T00:00:00"/>
    <n v="1759.509"/>
  </r>
  <r>
    <n v="969"/>
    <s v="Young"/>
    <x v="0"/>
    <s v="Renting"/>
    <s v="No"/>
    <n v="1"/>
    <n v="18200"/>
    <n v="0"/>
    <s v="Low Spending"/>
    <n v="12"/>
    <s v="Midwest"/>
    <x v="2"/>
    <s v="Chicago"/>
    <d v="2013-12-09T00:00:00"/>
    <n v="400.976"/>
  </r>
  <r>
    <n v="981"/>
    <s v="Young"/>
    <x v="1"/>
    <s v="Renting"/>
    <s v="No"/>
    <n v="1"/>
    <n v="13300"/>
    <n v="1"/>
    <s v="Low Spending"/>
    <n v="6"/>
    <s v="Midwest"/>
    <x v="2"/>
    <s v="Chicago"/>
    <d v="2013-08-25T00:00:00"/>
    <n v="184.119"/>
  </r>
  <r>
    <n v="25"/>
    <s v="Middle Aged"/>
    <x v="0"/>
    <s v="Renting"/>
    <s v="No"/>
    <n v="1"/>
    <n v="50700"/>
    <n v="3"/>
    <s v="Low Spending"/>
    <n v="6"/>
    <s v="Midwest"/>
    <x v="3"/>
    <s v="Cincinnati"/>
    <d v="2014-05-25T00:00:00"/>
    <n v="156.77199999999999"/>
  </r>
  <r>
    <n v="37"/>
    <s v="Young"/>
    <x v="0"/>
    <s v="Renting"/>
    <s v="Married"/>
    <n v="1"/>
    <n v="49800"/>
    <n v="0"/>
    <s v="Medium Spending"/>
    <n v="12"/>
    <s v="Midwest"/>
    <x v="3"/>
    <s v="Cincinnati"/>
    <d v="2014-04-08T00:00:00"/>
    <n v="827.34400000000005"/>
  </r>
  <r>
    <n v="89"/>
    <s v="Middle Aged"/>
    <x v="1"/>
    <s v="Renting"/>
    <s v="Married"/>
    <n v="1"/>
    <n v="53300"/>
    <n v="0"/>
    <s v="Medium Spending"/>
    <n v="24"/>
    <s v="Midwest"/>
    <x v="3"/>
    <s v="Cincinnati"/>
    <d v="2015-07-15T00:00:00"/>
    <n v="1597.8409999999999"/>
  </r>
  <r>
    <n v="105"/>
    <s v="Young"/>
    <x v="0"/>
    <s v="Renting"/>
    <s v="Married"/>
    <n v="0"/>
    <n v="60300"/>
    <n v="1"/>
    <s v="NA"/>
    <n v="6"/>
    <s v="Midwest"/>
    <x v="3"/>
    <s v="Cincinnati"/>
    <d v="2015-07-11T00:00:00"/>
    <n v="1252.3240000000001"/>
  </r>
  <r>
    <n v="115"/>
    <s v="Middle Aged"/>
    <x v="1"/>
    <s v="Own Home"/>
    <s v="No"/>
    <n v="0"/>
    <n v="64100"/>
    <n v="2"/>
    <s v="High Spending"/>
    <n v="24"/>
    <s v="Midwest"/>
    <x v="3"/>
    <s v="Cincinnati"/>
    <d v="2010-07-29T00:00:00"/>
    <n v="1594.8420000000001"/>
  </r>
  <r>
    <n v="138"/>
    <s v="Middle Aged"/>
    <x v="1"/>
    <s v="Renting"/>
    <s v="Married"/>
    <n v="0"/>
    <n v="43300"/>
    <n v="3"/>
    <s v="Medium Spending"/>
    <n v="24"/>
    <s v="Midwest"/>
    <x v="3"/>
    <s v="Cincinnati"/>
    <d v="2010-03-08T00:00:00"/>
    <n v="715.83500000000004"/>
  </r>
  <r>
    <n v="145"/>
    <s v="Middle Aged"/>
    <x v="0"/>
    <s v="Own Home"/>
    <s v="No"/>
    <n v="0"/>
    <n v="71500"/>
    <n v="0"/>
    <s v="NA"/>
    <n v="6"/>
    <s v="Midwest"/>
    <x v="3"/>
    <s v="Cincinnati"/>
    <d v="2015-03-16T00:00:00"/>
    <n v="963.64"/>
  </r>
  <r>
    <n v="166"/>
    <s v="Young"/>
    <x v="0"/>
    <s v="Renting"/>
    <s v="No"/>
    <n v="0"/>
    <n v="15300"/>
    <n v="0"/>
    <s v="Low Spending"/>
    <n v="24"/>
    <s v="Midwest"/>
    <x v="3"/>
    <s v="Cincinnati"/>
    <d v="2009-08-25T00:00:00"/>
    <n v="644.75800000000004"/>
  </r>
  <r>
    <n v="174"/>
    <s v="Middle Aged"/>
    <x v="0"/>
    <s v="Renting"/>
    <s v="Married"/>
    <n v="1"/>
    <n v="106700"/>
    <n v="2"/>
    <s v="Medium Spending"/>
    <n v="6"/>
    <s v="Midwest"/>
    <x v="3"/>
    <s v="Cincinnati"/>
    <d v="2014-03-11T00:00:00"/>
    <n v="607.17399999999998"/>
  </r>
  <r>
    <n v="187"/>
    <s v="Middle Aged"/>
    <x v="0"/>
    <s v="Own Home"/>
    <s v="Married"/>
    <n v="0"/>
    <n v="100600"/>
    <n v="3"/>
    <s v="High Spending"/>
    <n v="24"/>
    <s v="Midwest"/>
    <x v="3"/>
    <s v="Cincinnati"/>
    <d v="2014-02-14T00:00:00"/>
    <n v="2838.1819999999998"/>
  </r>
  <r>
    <n v="236"/>
    <s v="Old"/>
    <x v="0"/>
    <s v="Own Home"/>
    <s v="Married"/>
    <n v="0"/>
    <n v="52000"/>
    <n v="0"/>
    <s v="High Spending"/>
    <n v="18"/>
    <s v="Midwest"/>
    <x v="3"/>
    <s v="Cincinnati"/>
    <d v="2013-04-27T00:00:00"/>
    <n v="2544.605"/>
  </r>
  <r>
    <n v="239"/>
    <s v="Young"/>
    <x v="1"/>
    <s v="Renting"/>
    <s v="No"/>
    <n v="1"/>
    <n v="14300"/>
    <n v="1"/>
    <s v="NA"/>
    <n v="18"/>
    <s v="Midwest"/>
    <x v="3"/>
    <s v="Cincinnati"/>
    <d v="2015-07-14T00:00:00"/>
    <n v="458.28699999999998"/>
  </r>
  <r>
    <n v="243"/>
    <s v="Middle Aged"/>
    <x v="0"/>
    <s v="Own Home"/>
    <s v="Married"/>
    <n v="1"/>
    <n v="85600"/>
    <n v="0"/>
    <s v="High Spending"/>
    <n v="24"/>
    <s v="Midwest"/>
    <x v="3"/>
    <s v="Cincinnati"/>
    <d v="2015-04-27T00:00:00"/>
    <n v="3380.1410000000001"/>
  </r>
  <r>
    <n v="263"/>
    <s v="Old"/>
    <x v="0"/>
    <s v="Own Home"/>
    <s v="No"/>
    <n v="1"/>
    <n v="59300"/>
    <n v="0"/>
    <s v="Medium Spending"/>
    <n v="12"/>
    <s v="Midwest"/>
    <x v="3"/>
    <s v="Cincinnati"/>
    <d v="2010-10-15T00:00:00"/>
    <n v="928.78"/>
  </r>
  <r>
    <n v="269"/>
    <s v="Young"/>
    <x v="1"/>
    <s v="Own Home"/>
    <s v="No"/>
    <n v="1"/>
    <n v="33400"/>
    <n v="1"/>
    <s v="NA"/>
    <n v="6"/>
    <s v="Midwest"/>
    <x v="3"/>
    <s v="Cincinnati"/>
    <d v="2015-01-14T00:00:00"/>
    <n v="617.25900000000001"/>
  </r>
  <r>
    <n v="279"/>
    <s v="Middle Aged"/>
    <x v="1"/>
    <s v="Renting"/>
    <s v="No"/>
    <n v="1"/>
    <n v="58600"/>
    <n v="1"/>
    <s v="Medium Spending"/>
    <n v="6"/>
    <s v="Midwest"/>
    <x v="3"/>
    <s v="Cincinnati"/>
    <d v="2012-01-20T00:00:00"/>
    <n v="624.13800000000003"/>
  </r>
  <r>
    <n v="292"/>
    <s v="Old"/>
    <x v="0"/>
    <s v="Renting"/>
    <s v="Married"/>
    <n v="1"/>
    <n v="60000"/>
    <n v="0"/>
    <s v="Medium Spending"/>
    <n v="6"/>
    <s v="Midwest"/>
    <x v="3"/>
    <s v="Cincinnati"/>
    <d v="2009-09-15T00:00:00"/>
    <n v="965.649"/>
  </r>
  <r>
    <n v="305"/>
    <s v="Middle Aged"/>
    <x v="0"/>
    <s v="Own Home"/>
    <s v="Married"/>
    <n v="0"/>
    <n v="103900"/>
    <n v="1"/>
    <s v="High Spending"/>
    <n v="24"/>
    <s v="Midwest"/>
    <x v="3"/>
    <s v="Cincinnati"/>
    <d v="2009-10-28T00:00:00"/>
    <n v="2665.848"/>
  </r>
  <r>
    <n v="390"/>
    <s v="Young"/>
    <x v="1"/>
    <s v="Renting"/>
    <s v="No"/>
    <n v="0"/>
    <n v="13200"/>
    <n v="0"/>
    <s v="NA"/>
    <n v="18"/>
    <s v="Midwest"/>
    <x v="3"/>
    <s v="Cincinnati"/>
    <d v="2015-03-16T00:00:00"/>
    <n v="511.76100000000002"/>
  </r>
  <r>
    <n v="408"/>
    <s v="Middle Aged"/>
    <x v="1"/>
    <s v="Own Home"/>
    <s v="No"/>
    <n v="1"/>
    <n v="45100"/>
    <n v="1"/>
    <s v="Medium Spending"/>
    <n v="12"/>
    <s v="Midwest"/>
    <x v="3"/>
    <s v="Cincinnati"/>
    <d v="2012-01-24T00:00:00"/>
    <n v="448.39400000000001"/>
  </r>
  <r>
    <n v="490"/>
    <s v="Old"/>
    <x v="1"/>
    <s v="Own Home"/>
    <s v="No"/>
    <n v="0"/>
    <n v="47500"/>
    <n v="0"/>
    <s v="High Spending"/>
    <n v="6"/>
    <s v="Midwest"/>
    <x v="3"/>
    <s v="Cincinnati"/>
    <d v="2013-01-16T00:00:00"/>
    <n v="754.84"/>
  </r>
  <r>
    <n v="595"/>
    <s v="Middle Aged"/>
    <x v="1"/>
    <s v="Own Home"/>
    <s v="Married"/>
    <n v="1"/>
    <n v="92300"/>
    <n v="3"/>
    <s v="Low Spending"/>
    <n v="18"/>
    <s v="Midwest"/>
    <x v="3"/>
    <s v="Cincinnati"/>
    <d v="2014-11-30T00:00:00"/>
    <n v="654.57600000000002"/>
  </r>
  <r>
    <n v="621"/>
    <s v="Middle Aged"/>
    <x v="0"/>
    <s v="Own Home"/>
    <s v="Married"/>
    <n v="1"/>
    <n v="99300"/>
    <n v="1"/>
    <s v="High Spending"/>
    <n v="12"/>
    <s v="Midwest"/>
    <x v="3"/>
    <s v="Cincinnati"/>
    <d v="2013-11-03T00:00:00"/>
    <n v="1503.809"/>
  </r>
  <r>
    <n v="642"/>
    <s v="Middle Aged"/>
    <x v="1"/>
    <s v="Own Home"/>
    <s v="Married"/>
    <n v="1"/>
    <n v="59900"/>
    <n v="1"/>
    <s v="NA"/>
    <n v="6"/>
    <s v="Midwest"/>
    <x v="3"/>
    <s v="Cincinnati"/>
    <d v="2015-02-20T00:00:00"/>
    <n v="613.46299999999997"/>
  </r>
  <r>
    <n v="645"/>
    <s v="Middle Aged"/>
    <x v="0"/>
    <s v="Renting"/>
    <s v="Married"/>
    <n v="0"/>
    <n v="63000"/>
    <n v="0"/>
    <s v="High Spending"/>
    <n v="18"/>
    <s v="Midwest"/>
    <x v="3"/>
    <s v="Cincinnati"/>
    <d v="2010-07-31T00:00:00"/>
    <n v="2106.7869999999998"/>
  </r>
  <r>
    <n v="667"/>
    <s v="Young"/>
    <x v="1"/>
    <s v="Renting"/>
    <s v="No"/>
    <n v="0"/>
    <n v="27600"/>
    <n v="1"/>
    <s v="Medium Spending"/>
    <n v="24"/>
    <s v="Midwest"/>
    <x v="3"/>
    <s v="Cincinnati"/>
    <d v="2012-12-20T00:00:00"/>
    <n v="893.37400000000002"/>
  </r>
  <r>
    <n v="694"/>
    <s v="Old"/>
    <x v="1"/>
    <s v="Own Home"/>
    <s v="No"/>
    <n v="1"/>
    <n v="14600"/>
    <n v="0"/>
    <s v="Low Spending"/>
    <n v="24"/>
    <s v="Midwest"/>
    <x v="3"/>
    <s v="Cincinnati"/>
    <d v="2010-11-09T00:00:00"/>
    <n v="467.68099999999998"/>
  </r>
  <r>
    <n v="712"/>
    <s v="Young"/>
    <x v="0"/>
    <s v="Renting"/>
    <s v="Married"/>
    <n v="0"/>
    <n v="43500"/>
    <n v="1"/>
    <s v="Medium Spending"/>
    <n v="12"/>
    <s v="Midwest"/>
    <x v="3"/>
    <s v="Cincinnati"/>
    <d v="2013-10-31T00:00:00"/>
    <n v="807.70699999999999"/>
  </r>
  <r>
    <n v="721"/>
    <s v="Young"/>
    <x v="1"/>
    <s v="Own Home"/>
    <s v="No"/>
    <n v="0"/>
    <n v="27900"/>
    <n v="1"/>
    <s v="NA"/>
    <n v="12"/>
    <s v="Midwest"/>
    <x v="3"/>
    <s v="Cincinnati"/>
    <d v="2015-08-09T00:00:00"/>
    <n v="575.98"/>
  </r>
  <r>
    <n v="737"/>
    <s v="Old"/>
    <x v="0"/>
    <s v="Own Home"/>
    <s v="Married"/>
    <n v="1"/>
    <n v="56600"/>
    <n v="0"/>
    <s v="NA"/>
    <n v="24"/>
    <s v="Midwest"/>
    <x v="3"/>
    <s v="Cincinnati"/>
    <d v="2015-04-15T00:00:00"/>
    <n v="1607.4649999999999"/>
  </r>
  <r>
    <n v="782"/>
    <s v="Young"/>
    <x v="1"/>
    <s v="Renting"/>
    <s v="No"/>
    <n v="1"/>
    <n v="24000"/>
    <n v="2"/>
    <s v="NA"/>
    <n v="6"/>
    <s v="Midwest"/>
    <x v="3"/>
    <s v="Cincinnati"/>
    <d v="2015-02-09T00:00:00"/>
    <n v="362.221"/>
  </r>
  <r>
    <n v="821"/>
    <s v="Middle Aged"/>
    <x v="0"/>
    <s v="Own Home"/>
    <s v="Married"/>
    <n v="1"/>
    <n v="82100"/>
    <n v="1"/>
    <s v="High Spending"/>
    <n v="18"/>
    <s v="Midwest"/>
    <x v="3"/>
    <s v="Cincinnati"/>
    <d v="2011-12-27T00:00:00"/>
    <n v="1307.874"/>
  </r>
  <r>
    <n v="862"/>
    <s v="Young"/>
    <x v="1"/>
    <s v="Own Home"/>
    <s v="No"/>
    <n v="0"/>
    <n v="16300"/>
    <n v="0"/>
    <s v="NA"/>
    <n v="12"/>
    <s v="Midwest"/>
    <x v="3"/>
    <s v="Cincinnati"/>
    <d v="2015-06-04T00:00:00"/>
    <n v="359.71199999999999"/>
  </r>
  <r>
    <n v="896"/>
    <s v="Young"/>
    <x v="0"/>
    <s v="Renting"/>
    <s v="No"/>
    <n v="1"/>
    <n v="19800"/>
    <n v="2"/>
    <s v="Low Spending"/>
    <n v="12"/>
    <s v="Midwest"/>
    <x v="3"/>
    <s v="Cincinnati"/>
    <d v="2014-08-17T00:00:00"/>
    <n v="209.422"/>
  </r>
  <r>
    <n v="899"/>
    <s v="Old"/>
    <x v="1"/>
    <s v="Own Home"/>
    <s v="Married"/>
    <n v="1"/>
    <n v="52200"/>
    <n v="1"/>
    <s v="Medium Spending"/>
    <n v="12"/>
    <s v="Midwest"/>
    <x v="3"/>
    <s v="Cincinnati"/>
    <d v="2010-05-28T00:00:00"/>
    <n v="668.87300000000005"/>
  </r>
  <r>
    <n v="908"/>
    <s v="Middle Aged"/>
    <x v="0"/>
    <s v="Own Home"/>
    <s v="Married"/>
    <n v="1"/>
    <n v="97200"/>
    <n v="0"/>
    <s v="NA"/>
    <n v="12"/>
    <s v="Midwest"/>
    <x v="3"/>
    <s v="Cincinnati"/>
    <d v="2015-03-17T00:00:00"/>
    <n v="1634.374"/>
  </r>
  <r>
    <n v="989"/>
    <s v="Young"/>
    <x v="0"/>
    <s v="Own Home"/>
    <s v="No"/>
    <n v="1"/>
    <n v="41400"/>
    <n v="0"/>
    <s v="Medium Spending"/>
    <n v="18"/>
    <s v="Midwest"/>
    <x v="3"/>
    <s v="Cincinnati"/>
    <d v="2013-04-10T00:00:00"/>
    <n v="642.81399999999996"/>
  </r>
  <r>
    <n v="993"/>
    <s v="Old"/>
    <x v="0"/>
    <s v="Own Home"/>
    <s v="Married"/>
    <n v="0"/>
    <n v="59700"/>
    <n v="0"/>
    <s v="High Spending"/>
    <n v="18"/>
    <s v="Midwest"/>
    <x v="3"/>
    <s v="Cincinnati"/>
    <d v="2012-10-23T00:00:00"/>
    <n v="1856.829"/>
  </r>
  <r>
    <n v="4"/>
    <s v="Old"/>
    <x v="0"/>
    <s v="Own Home"/>
    <s v="Married"/>
    <n v="1"/>
    <n v="26800"/>
    <n v="0"/>
    <s v="Low Spending"/>
    <n v="12"/>
    <s v="East"/>
    <x v="3"/>
    <s v="Cleveland"/>
    <d v="2012-12-26T00:00:00"/>
    <n v="434.60599999999999"/>
  </r>
  <r>
    <n v="24"/>
    <s v="Young"/>
    <x v="1"/>
    <s v="Renting"/>
    <s v="No"/>
    <n v="1"/>
    <n v="15900"/>
    <n v="0"/>
    <s v="NA"/>
    <n v="18"/>
    <s v="East"/>
    <x v="3"/>
    <s v="Cleveland"/>
    <d v="2015-06-13T00:00:00"/>
    <n v="405.62"/>
  </r>
  <r>
    <n v="36"/>
    <s v="Young"/>
    <x v="1"/>
    <s v="Own Home"/>
    <s v="No"/>
    <n v="0"/>
    <n v="29600"/>
    <n v="3"/>
    <s v="NA"/>
    <n v="12"/>
    <s v="East"/>
    <x v="3"/>
    <s v="Cleveland"/>
    <d v="2015-05-30T00:00:00"/>
    <n v="774.1"/>
  </r>
  <r>
    <n v="62"/>
    <s v="Old"/>
    <x v="1"/>
    <s v="Own Home"/>
    <s v="No"/>
    <n v="0"/>
    <n v="24000"/>
    <n v="1"/>
    <s v="Low Spending"/>
    <n v="6"/>
    <s v="East"/>
    <x v="3"/>
    <s v="Cleveland"/>
    <d v="2009-10-12T00:00:00"/>
    <n v="356.89699999999999"/>
  </r>
  <r>
    <n v="64"/>
    <s v="Middle Aged"/>
    <x v="0"/>
    <s v="Own Home"/>
    <s v="Married"/>
    <n v="1"/>
    <n v="87000"/>
    <n v="0"/>
    <s v="High Spending"/>
    <n v="24"/>
    <s v="East"/>
    <x v="3"/>
    <s v="Cleveland"/>
    <d v="2013-05-01T00:00:00"/>
    <n v="1594.4590000000001"/>
  </r>
  <r>
    <n v="66"/>
    <s v="Young"/>
    <x v="1"/>
    <s v="Renting"/>
    <s v="Married"/>
    <n v="0"/>
    <n v="30100"/>
    <n v="0"/>
    <s v="Medium Spending"/>
    <n v="12"/>
    <s v="East"/>
    <x v="3"/>
    <s v="Cleveland"/>
    <d v="2012-10-12T00:00:00"/>
    <n v="530.26199999999994"/>
  </r>
  <r>
    <n v="86"/>
    <s v="Old"/>
    <x v="1"/>
    <s v="Own Home"/>
    <s v="Married"/>
    <n v="0"/>
    <n v="110000"/>
    <n v="0"/>
    <s v="High Spending"/>
    <n v="24"/>
    <s v="East"/>
    <x v="3"/>
    <s v="Cleveland"/>
    <d v="2010-10-01T00:00:00"/>
    <n v="5564.1270000000004"/>
  </r>
  <r>
    <n v="87"/>
    <s v="Middle Aged"/>
    <x v="0"/>
    <s v="Renting"/>
    <s v="No"/>
    <n v="1"/>
    <n v="63000"/>
    <n v="0"/>
    <s v="High Spending"/>
    <n v="24"/>
    <s v="East"/>
    <x v="3"/>
    <s v="Cleveland"/>
    <d v="2011-12-24T00:00:00"/>
    <n v="1909.597"/>
  </r>
  <r>
    <n v="112"/>
    <s v="Middle Aged"/>
    <x v="0"/>
    <s v="Own Home"/>
    <s v="No"/>
    <n v="1"/>
    <n v="76800"/>
    <n v="1"/>
    <s v="Medium Spending"/>
    <n v="18"/>
    <s v="East"/>
    <x v="3"/>
    <s v="Cleveland"/>
    <d v="2013-10-18T00:00:00"/>
    <n v="1060.702"/>
  </r>
  <r>
    <n v="114"/>
    <s v="Young"/>
    <x v="1"/>
    <s v="Renting"/>
    <s v="No"/>
    <n v="0"/>
    <n v="16100"/>
    <n v="0"/>
    <s v="NA"/>
    <n v="6"/>
    <s v="East"/>
    <x v="3"/>
    <s v="Cleveland"/>
    <d v="2015-03-29T00:00:00"/>
    <n v="202.40100000000001"/>
  </r>
  <r>
    <n v="120"/>
    <s v="Middle Aged"/>
    <x v="0"/>
    <s v="Own Home"/>
    <s v="Married"/>
    <n v="1"/>
    <n v="83600"/>
    <n v="2"/>
    <s v="Medium Spending"/>
    <n v="6"/>
    <s v="East"/>
    <x v="3"/>
    <s v="Cleveland"/>
    <d v="2011-12-12T00:00:00"/>
    <n v="537.726"/>
  </r>
  <r>
    <n v="136"/>
    <s v="Young"/>
    <x v="0"/>
    <s v="Renting"/>
    <s v="No"/>
    <n v="1"/>
    <n v="14200"/>
    <n v="1"/>
    <s v="NA"/>
    <n v="24"/>
    <s v="East"/>
    <x v="3"/>
    <s v="Cleveland"/>
    <d v="2015-06-12T00:00:00"/>
    <n v="399.82400000000001"/>
  </r>
  <r>
    <n v="153"/>
    <s v="Young"/>
    <x v="0"/>
    <s v="Renting"/>
    <s v="No"/>
    <n v="0"/>
    <n v="19500"/>
    <n v="0"/>
    <s v="NA"/>
    <n v="24"/>
    <s v="East"/>
    <x v="3"/>
    <s v="Cleveland"/>
    <d v="2015-07-20T00:00:00"/>
    <n v="571.447"/>
  </r>
  <r>
    <n v="188"/>
    <s v="Old"/>
    <x v="1"/>
    <s v="Renting"/>
    <s v="No"/>
    <n v="0"/>
    <n v="11700"/>
    <n v="0"/>
    <s v="Low Spending"/>
    <n v="18"/>
    <s v="East"/>
    <x v="3"/>
    <s v="Cleveland"/>
    <d v="2014-03-22T00:00:00"/>
    <n v="539.76900000000001"/>
  </r>
  <r>
    <n v="194"/>
    <s v="Middle Aged"/>
    <x v="0"/>
    <s v="Renting"/>
    <s v="Married"/>
    <n v="1"/>
    <n v="88000"/>
    <n v="2"/>
    <s v="Medium Spending"/>
    <n v="6"/>
    <s v="East"/>
    <x v="3"/>
    <s v="Cleveland"/>
    <d v="2011-10-15T00:00:00"/>
    <n v="523.80399999999997"/>
  </r>
  <r>
    <n v="207"/>
    <s v="Middle Aged"/>
    <x v="0"/>
    <s v="Renting"/>
    <s v="No"/>
    <n v="0"/>
    <n v="51900"/>
    <n v="0"/>
    <s v="High Spending"/>
    <n v="18"/>
    <s v="East"/>
    <x v="3"/>
    <s v="Cleveland"/>
    <d v="2011-10-06T00:00:00"/>
    <n v="1491.568"/>
  </r>
  <r>
    <n v="266"/>
    <s v="Middle Aged"/>
    <x v="0"/>
    <s v="Own Home"/>
    <s v="No"/>
    <n v="1"/>
    <n v="62800"/>
    <n v="3"/>
    <s v="NA"/>
    <n v="6"/>
    <s v="East"/>
    <x v="3"/>
    <s v="Cleveland"/>
    <d v="2015-06-19T00:00:00"/>
    <n v="707.12"/>
  </r>
  <r>
    <n v="307"/>
    <s v="Old"/>
    <x v="0"/>
    <s v="Own Home"/>
    <s v="No"/>
    <n v="1"/>
    <n v="44800"/>
    <n v="0"/>
    <s v="Medium Spending"/>
    <n v="24"/>
    <s v="East"/>
    <x v="3"/>
    <s v="Cleveland"/>
    <d v="2009-01-26T00:00:00"/>
    <n v="1416.675"/>
  </r>
  <r>
    <n v="311"/>
    <s v="Young"/>
    <x v="0"/>
    <s v="Renting"/>
    <s v="No"/>
    <n v="0"/>
    <n v="20400"/>
    <n v="0"/>
    <s v="Medium Spending"/>
    <n v="18"/>
    <s v="East"/>
    <x v="3"/>
    <s v="Cleveland"/>
    <d v="2014-12-15T00:00:00"/>
    <n v="867.24199999999996"/>
  </r>
  <r>
    <n v="378"/>
    <s v="Young"/>
    <x v="0"/>
    <s v="Own Home"/>
    <s v="No"/>
    <n v="1"/>
    <n v="31500"/>
    <n v="3"/>
    <s v="Low Spending"/>
    <n v="18"/>
    <s v="East"/>
    <x v="3"/>
    <s v="Cleveland"/>
    <d v="2011-10-08T00:00:00"/>
    <n v="269.30399999999997"/>
  </r>
  <r>
    <n v="383"/>
    <s v="Middle Aged"/>
    <x v="0"/>
    <s v="Own Home"/>
    <s v="Married"/>
    <n v="1"/>
    <n v="84700"/>
    <n v="3"/>
    <s v="NA"/>
    <n v="24"/>
    <s v="East"/>
    <x v="3"/>
    <s v="Cleveland"/>
    <d v="2015-04-15T00:00:00"/>
    <n v="2704.53"/>
  </r>
  <r>
    <n v="384"/>
    <s v="Young"/>
    <x v="0"/>
    <s v="Renting"/>
    <s v="Married"/>
    <n v="0"/>
    <n v="67300"/>
    <n v="3"/>
    <s v="NA"/>
    <n v="6"/>
    <s v="East"/>
    <x v="3"/>
    <s v="Cleveland"/>
    <d v="2015-07-18T00:00:00"/>
    <n v="1211.953"/>
  </r>
  <r>
    <n v="389"/>
    <s v="Middle Aged"/>
    <x v="0"/>
    <s v="Own Home"/>
    <s v="Married"/>
    <n v="0"/>
    <n v="84300"/>
    <n v="2"/>
    <s v="High Spending"/>
    <n v="18"/>
    <s v="East"/>
    <x v="3"/>
    <s v="Cleveland"/>
    <d v="2012-01-02T00:00:00"/>
    <n v="1648.4369999999999"/>
  </r>
  <r>
    <n v="410"/>
    <s v="Young"/>
    <x v="0"/>
    <s v="Own Home"/>
    <s v="No"/>
    <n v="1"/>
    <n v="33400"/>
    <n v="0"/>
    <s v="NA"/>
    <n v="12"/>
    <s v="East"/>
    <x v="3"/>
    <s v="Cleveland"/>
    <d v="2015-01-31T00:00:00"/>
    <n v="567.13400000000001"/>
  </r>
  <r>
    <n v="418"/>
    <s v="Old"/>
    <x v="1"/>
    <s v="Own Home"/>
    <s v="No"/>
    <n v="0"/>
    <n v="32700"/>
    <n v="0"/>
    <s v="Medium Spending"/>
    <n v="24"/>
    <s v="East"/>
    <x v="3"/>
    <s v="Cleveland"/>
    <d v="2011-11-19T00:00:00"/>
    <n v="1251.7909999999999"/>
  </r>
  <r>
    <n v="421"/>
    <s v="Old"/>
    <x v="1"/>
    <s v="Own Home"/>
    <s v="Married"/>
    <n v="0"/>
    <n v="22800"/>
    <n v="0"/>
    <s v="NA"/>
    <n v="12"/>
    <s v="East"/>
    <x v="3"/>
    <s v="Cleveland"/>
    <d v="2015-02-27T00:00:00"/>
    <n v="451.779"/>
  </r>
  <r>
    <n v="423"/>
    <s v="Middle Aged"/>
    <x v="1"/>
    <s v="Renting"/>
    <s v="Married"/>
    <n v="1"/>
    <n v="97400"/>
    <n v="3"/>
    <s v="Low Spending"/>
    <n v="6"/>
    <s v="East"/>
    <x v="3"/>
    <s v="Cleveland"/>
    <d v="2013-10-18T00:00:00"/>
    <n v="212.709"/>
  </r>
  <r>
    <n v="469"/>
    <s v="Old"/>
    <x v="0"/>
    <s v="Own Home"/>
    <s v="Married"/>
    <n v="0"/>
    <n v="54600"/>
    <n v="0"/>
    <s v="High Spending"/>
    <n v="24"/>
    <s v="East"/>
    <x v="3"/>
    <s v="Cleveland"/>
    <d v="2012-10-30T00:00:00"/>
    <n v="2163.2199999999998"/>
  </r>
  <r>
    <n v="473"/>
    <s v="Middle Aged"/>
    <x v="1"/>
    <s v="Renting"/>
    <s v="Married"/>
    <n v="1"/>
    <n v="66900"/>
    <n v="2"/>
    <s v="Medium Spending"/>
    <n v="12"/>
    <s v="East"/>
    <x v="3"/>
    <s v="Cleveland"/>
    <d v="2011-06-22T00:00:00"/>
    <n v="768.63900000000001"/>
  </r>
  <r>
    <n v="474"/>
    <s v="Middle Aged"/>
    <x v="0"/>
    <s v="Own Home"/>
    <s v="Married"/>
    <n v="1"/>
    <n v="66500"/>
    <n v="3"/>
    <s v="Low Spending"/>
    <n v="12"/>
    <s v="East"/>
    <x v="3"/>
    <s v="Cleveland"/>
    <d v="2011-07-11T00:00:00"/>
    <n v="285.56200000000001"/>
  </r>
  <r>
    <n v="503"/>
    <s v="Old"/>
    <x v="1"/>
    <s v="Own Home"/>
    <s v="Married"/>
    <n v="0"/>
    <n v="91800"/>
    <n v="0"/>
    <s v="NA"/>
    <n v="24"/>
    <s v="East"/>
    <x v="3"/>
    <s v="Cleveland"/>
    <d v="2015-07-26T00:00:00"/>
    <n v="2451.6080000000002"/>
  </r>
  <r>
    <n v="515"/>
    <s v="Middle Aged"/>
    <x v="0"/>
    <s v="Own Home"/>
    <s v="Married"/>
    <n v="1"/>
    <n v="77000"/>
    <n v="0"/>
    <s v="High Spending"/>
    <n v="12"/>
    <s v="East"/>
    <x v="3"/>
    <s v="Cleveland"/>
    <d v="2011-06-20T00:00:00"/>
    <n v="2103.614"/>
  </r>
  <r>
    <n v="548"/>
    <s v="Old"/>
    <x v="1"/>
    <s v="Own Home"/>
    <s v="No"/>
    <n v="1"/>
    <n v="43300"/>
    <n v="0"/>
    <s v="NA"/>
    <n v="12"/>
    <s v="East"/>
    <x v="3"/>
    <s v="Cleveland"/>
    <d v="2015-08-29T00:00:00"/>
    <n v="1584.3019999999999"/>
  </r>
  <r>
    <n v="555"/>
    <s v="Middle Aged"/>
    <x v="0"/>
    <s v="Own Home"/>
    <s v="Married"/>
    <n v="1"/>
    <n v="72200"/>
    <n v="0"/>
    <s v="High Spending"/>
    <n v="24"/>
    <s v="East"/>
    <x v="3"/>
    <s v="Cleveland"/>
    <d v="2011-05-27T00:00:00"/>
    <n v="2491.6799999999998"/>
  </r>
  <r>
    <n v="562"/>
    <s v="Middle Aged"/>
    <x v="0"/>
    <s v="Renting"/>
    <s v="Married"/>
    <n v="1"/>
    <n v="81800"/>
    <n v="1"/>
    <s v="High Spending"/>
    <n v="18"/>
    <s v="East"/>
    <x v="3"/>
    <s v="Cleveland"/>
    <d v="2009-07-08T00:00:00"/>
    <n v="1837.867"/>
  </r>
  <r>
    <n v="589"/>
    <s v="Middle Aged"/>
    <x v="0"/>
    <s v="Own Home"/>
    <s v="No"/>
    <n v="1"/>
    <n v="44600"/>
    <n v="2"/>
    <s v="Low Spending"/>
    <n v="6"/>
    <s v="East"/>
    <x v="3"/>
    <s v="Cleveland"/>
    <d v="2014-11-19T00:00:00"/>
    <n v="236.309"/>
  </r>
  <r>
    <n v="597"/>
    <s v="Middle Aged"/>
    <x v="1"/>
    <s v="Renting"/>
    <s v="No"/>
    <n v="1"/>
    <n v="41400"/>
    <n v="3"/>
    <s v="Low Spending"/>
    <n v="6"/>
    <s v="East"/>
    <x v="3"/>
    <s v="Cleveland"/>
    <d v="2014-08-31T00:00:00"/>
    <n v="222.83500000000001"/>
  </r>
  <r>
    <n v="608"/>
    <s v="Middle Aged"/>
    <x v="1"/>
    <s v="Own Home"/>
    <s v="Married"/>
    <n v="1"/>
    <n v="76600"/>
    <n v="3"/>
    <s v="NA"/>
    <n v="24"/>
    <s v="East"/>
    <x v="3"/>
    <s v="Cleveland"/>
    <d v="2015-06-22T00:00:00"/>
    <n v="2903.7660000000001"/>
  </r>
  <r>
    <n v="610"/>
    <s v="Young"/>
    <x v="0"/>
    <s v="Renting"/>
    <s v="Married"/>
    <n v="1"/>
    <n v="49300"/>
    <n v="0"/>
    <s v="NA"/>
    <n v="24"/>
    <s v="East"/>
    <x v="3"/>
    <s v="Cleveland"/>
    <d v="2015-05-01T00:00:00"/>
    <n v="1692.3789999999999"/>
  </r>
  <r>
    <n v="619"/>
    <s v="Middle Aged"/>
    <x v="1"/>
    <s v="Own Home"/>
    <s v="Married"/>
    <n v="1"/>
    <n v="105500"/>
    <n v="1"/>
    <s v="High Spending"/>
    <n v="6"/>
    <s v="East"/>
    <x v="3"/>
    <s v="Cleveland"/>
    <d v="2012-03-06T00:00:00"/>
    <n v="1781.326"/>
  </r>
  <r>
    <n v="662"/>
    <s v="Middle Aged"/>
    <x v="0"/>
    <s v="Renting"/>
    <s v="Married"/>
    <n v="1"/>
    <n v="62800"/>
    <n v="3"/>
    <s v="Low Spending"/>
    <n v="6"/>
    <s v="East"/>
    <x v="3"/>
    <s v="Cleveland"/>
    <d v="2011-06-15T00:00:00"/>
    <n v="176.84299999999999"/>
  </r>
  <r>
    <n v="670"/>
    <s v="Middle Aged"/>
    <x v="0"/>
    <s v="Own Home"/>
    <s v="Married"/>
    <n v="0"/>
    <n v="61400"/>
    <n v="1"/>
    <s v="High Spending"/>
    <n v="24"/>
    <s v="East"/>
    <x v="3"/>
    <s v="Cleveland"/>
    <d v="2011-01-24T00:00:00"/>
    <n v="1574.5139999999999"/>
  </r>
  <r>
    <n v="696"/>
    <s v="Young"/>
    <x v="0"/>
    <s v="Own Home"/>
    <s v="No"/>
    <n v="1"/>
    <n v="23200"/>
    <n v="0"/>
    <s v="NA"/>
    <n v="24"/>
    <s v="East"/>
    <x v="3"/>
    <s v="Cleveland"/>
    <d v="2015-05-12T00:00:00"/>
    <n v="533.78499999999997"/>
  </r>
  <r>
    <n v="730"/>
    <s v="Young"/>
    <x v="0"/>
    <s v="Renting"/>
    <s v="Married"/>
    <n v="1"/>
    <n v="27400"/>
    <n v="1"/>
    <s v="Low Spending"/>
    <n v="6"/>
    <s v="East"/>
    <x v="3"/>
    <s v="Cleveland"/>
    <d v="2011-06-25T00:00:00"/>
    <n v="277.85399999999998"/>
  </r>
  <r>
    <n v="759"/>
    <s v="Young"/>
    <x v="1"/>
    <s v="Own Home"/>
    <s v="Married"/>
    <n v="0"/>
    <n v="55900"/>
    <n v="1"/>
    <s v="NA"/>
    <n v="6"/>
    <s v="East"/>
    <x v="3"/>
    <s v="Cleveland"/>
    <d v="2015-06-27T00:00:00"/>
    <n v="788.19500000000005"/>
  </r>
  <r>
    <n v="808"/>
    <s v="Middle Aged"/>
    <x v="1"/>
    <s v="Renting"/>
    <s v="No"/>
    <n v="0"/>
    <n v="49500"/>
    <n v="2"/>
    <s v="Medium Spending"/>
    <n v="12"/>
    <s v="East"/>
    <x v="3"/>
    <s v="Cleveland"/>
    <d v="2011-09-18T00:00:00"/>
    <n v="1195"/>
  </r>
  <r>
    <n v="849"/>
    <s v="Middle Aged"/>
    <x v="1"/>
    <s v="Own Home"/>
    <s v="No"/>
    <n v="1"/>
    <n v="48400"/>
    <n v="0"/>
    <s v="Medium Spending"/>
    <n v="12"/>
    <s v="East"/>
    <x v="3"/>
    <s v="Cleveland"/>
    <d v="2013-12-17T00:00:00"/>
    <n v="991.90499999999997"/>
  </r>
  <r>
    <n v="860"/>
    <s v="Young"/>
    <x v="0"/>
    <s v="Renting"/>
    <s v="Married"/>
    <n v="1"/>
    <n v="45800"/>
    <n v="0"/>
    <s v="Medium Spending"/>
    <n v="6"/>
    <s v="East"/>
    <x v="3"/>
    <s v="Cleveland"/>
    <d v="2012-10-15T00:00:00"/>
    <n v="489.20800000000003"/>
  </r>
  <r>
    <n v="876"/>
    <s v="Middle Aged"/>
    <x v="0"/>
    <s v="Renting"/>
    <s v="No"/>
    <n v="1"/>
    <n v="63600"/>
    <n v="0"/>
    <s v="High Spending"/>
    <n v="6"/>
    <s v="East"/>
    <x v="3"/>
    <s v="Cleveland"/>
    <d v="2010-03-14T00:00:00"/>
    <n v="1317.7329999999999"/>
  </r>
  <r>
    <n v="891"/>
    <s v="Young"/>
    <x v="0"/>
    <s v="Renting"/>
    <s v="Married"/>
    <n v="0"/>
    <n v="53600"/>
    <n v="3"/>
    <s v="Medium Spending"/>
    <n v="24"/>
    <s v="East"/>
    <x v="3"/>
    <s v="Cleveland"/>
    <d v="2010-07-27T00:00:00"/>
    <n v="1560.11"/>
  </r>
  <r>
    <n v="900"/>
    <s v="Young"/>
    <x v="1"/>
    <s v="Own Home"/>
    <s v="Married"/>
    <n v="0"/>
    <n v="70900"/>
    <n v="0"/>
    <s v="NA"/>
    <n v="6"/>
    <s v="East"/>
    <x v="3"/>
    <s v="Cleveland"/>
    <d v="2015-08-22T00:00:00"/>
    <n v="689.98299999999995"/>
  </r>
  <r>
    <n v="916"/>
    <s v="Middle Aged"/>
    <x v="1"/>
    <s v="Renting"/>
    <s v="Married"/>
    <n v="1"/>
    <n v="79900"/>
    <n v="1"/>
    <s v="Medium Spending"/>
    <n v="18"/>
    <s v="East"/>
    <x v="3"/>
    <s v="Cleveland"/>
    <d v="2012-05-26T00:00:00"/>
    <n v="1165.0630000000001"/>
  </r>
  <r>
    <n v="968"/>
    <s v="Old"/>
    <x v="0"/>
    <s v="Renting"/>
    <s v="Married"/>
    <n v="1"/>
    <n v="34500"/>
    <n v="0"/>
    <s v="Medium Spending"/>
    <n v="12"/>
    <s v="East"/>
    <x v="3"/>
    <s v="Cleveland"/>
    <d v="2015-04-25T00:00:00"/>
    <n v="801.76800000000003"/>
  </r>
  <r>
    <n v="971"/>
    <s v="Middle Aged"/>
    <x v="1"/>
    <s v="Own Home"/>
    <s v="Married"/>
    <n v="1"/>
    <n v="110400"/>
    <n v="3"/>
    <s v="Low Spending"/>
    <n v="24"/>
    <s v="East"/>
    <x v="3"/>
    <s v="Cleveland"/>
    <d v="2015-02-25T00:00:00"/>
    <n v="1093.048"/>
  </r>
  <r>
    <n v="997"/>
    <s v="Old"/>
    <x v="1"/>
    <s v="Renting"/>
    <s v="No"/>
    <n v="1"/>
    <n v="21200"/>
    <n v="0"/>
    <s v="Low Spending"/>
    <n v="6"/>
    <s v="East"/>
    <x v="3"/>
    <s v="Cleveland"/>
    <d v="2014-11-11T00:00:00"/>
    <n v="242.303"/>
  </r>
  <r>
    <n v="93"/>
    <s v="Middle Aged"/>
    <x v="1"/>
    <s v="Renting"/>
    <s v="No"/>
    <n v="1"/>
    <n v="46600"/>
    <n v="0"/>
    <s v="NA"/>
    <n v="12"/>
    <s v="South"/>
    <x v="4"/>
    <s v="Dallas"/>
    <d v="2015-04-04T00:00:00"/>
    <n v="546.41800000000001"/>
  </r>
  <r>
    <n v="168"/>
    <s v="Young"/>
    <x v="0"/>
    <s v="Renting"/>
    <s v="No"/>
    <n v="1"/>
    <n v="15200"/>
    <n v="0"/>
    <s v="NA"/>
    <n v="12"/>
    <s v="South"/>
    <x v="4"/>
    <s v="Dallas"/>
    <d v="2015-01-30T00:00:00"/>
    <n v="323.86399999999998"/>
  </r>
  <r>
    <n v="170"/>
    <s v="Middle Aged"/>
    <x v="1"/>
    <s v="Own Home"/>
    <s v="Married"/>
    <n v="1"/>
    <n v="84800"/>
    <n v="1"/>
    <s v="NA"/>
    <n v="12"/>
    <s v="South"/>
    <x v="4"/>
    <s v="Dallas"/>
    <d v="2015-03-18T00:00:00"/>
    <n v="1826.338"/>
  </r>
  <r>
    <n v="177"/>
    <s v="Middle Aged"/>
    <x v="1"/>
    <s v="Own Home"/>
    <s v="No"/>
    <n v="1"/>
    <n v="49100"/>
    <n v="2"/>
    <s v="Low Spending"/>
    <n v="6"/>
    <s v="South"/>
    <x v="4"/>
    <s v="Dallas"/>
    <d v="2009-07-13T00:00:00"/>
    <n v="474.06099999999998"/>
  </r>
  <r>
    <n v="231"/>
    <s v="Old"/>
    <x v="0"/>
    <s v="Own Home"/>
    <s v="Married"/>
    <n v="1"/>
    <n v="73100"/>
    <n v="0"/>
    <s v="High Spending"/>
    <n v="6"/>
    <s v="South"/>
    <x v="4"/>
    <s v="Dallas"/>
    <d v="2013-12-26T00:00:00"/>
    <n v="1582.021"/>
  </r>
  <r>
    <n v="260"/>
    <s v="Young"/>
    <x v="1"/>
    <s v="Renting"/>
    <s v="No"/>
    <n v="0"/>
    <n v="12900"/>
    <n v="1"/>
    <s v="Low Spending"/>
    <n v="6"/>
    <s v="South"/>
    <x v="4"/>
    <s v="Dallas"/>
    <d v="2009-02-11T00:00:00"/>
    <n v="167.41300000000001"/>
  </r>
  <r>
    <n v="297"/>
    <s v="Middle Aged"/>
    <x v="0"/>
    <s v="Own Home"/>
    <s v="Married"/>
    <n v="1"/>
    <n v="97400"/>
    <n v="1"/>
    <s v="High Spending"/>
    <n v="6"/>
    <s v="South"/>
    <x v="4"/>
    <s v="Dallas"/>
    <d v="2011-04-06T00:00:00"/>
    <n v="879.78899999999999"/>
  </r>
  <r>
    <n v="377"/>
    <s v="Middle Aged"/>
    <x v="0"/>
    <s v="Own Home"/>
    <s v="No"/>
    <n v="1"/>
    <n v="60300"/>
    <n v="0"/>
    <s v="High Spending"/>
    <n v="24"/>
    <s v="South"/>
    <x v="4"/>
    <s v="Dallas"/>
    <d v="2015-07-09T00:00:00"/>
    <n v="1263.126"/>
  </r>
  <r>
    <n v="450"/>
    <s v="Young"/>
    <x v="1"/>
    <s v="Renting"/>
    <s v="No"/>
    <n v="1"/>
    <n v="15500"/>
    <n v="1"/>
    <s v="Low Spending"/>
    <n v="6"/>
    <s v="South"/>
    <x v="4"/>
    <s v="Dallas"/>
    <d v="2014-04-12T00:00:00"/>
    <n v="209.7"/>
  </r>
  <r>
    <n v="464"/>
    <s v="Middle Aged"/>
    <x v="1"/>
    <s v="Renting"/>
    <s v="No"/>
    <n v="1"/>
    <n v="36900"/>
    <n v="1"/>
    <s v="Low Spending"/>
    <n v="6"/>
    <s v="South"/>
    <x v="4"/>
    <s v="Dallas"/>
    <d v="2015-03-09T00:00:00"/>
    <n v="371.29300000000001"/>
  </r>
  <r>
    <n v="502"/>
    <s v="Young"/>
    <x v="0"/>
    <s v="Renting"/>
    <s v="Married"/>
    <n v="1"/>
    <n v="66700"/>
    <n v="0"/>
    <s v="NA"/>
    <n v="18"/>
    <s v="South"/>
    <x v="4"/>
    <s v="Dallas"/>
    <d v="2015-07-08T00:00:00"/>
    <n v="1310.0129999999999"/>
  </r>
  <r>
    <n v="536"/>
    <s v="Middle Aged"/>
    <x v="0"/>
    <s v="Renting"/>
    <s v="Married"/>
    <n v="1"/>
    <n v="96400"/>
    <n v="1"/>
    <s v="High Spending"/>
    <n v="24"/>
    <s v="South"/>
    <x v="4"/>
    <s v="Dallas"/>
    <d v="2015-05-06T00:00:00"/>
    <n v="1822.3309999999999"/>
  </r>
  <r>
    <n v="605"/>
    <s v="Young"/>
    <x v="0"/>
    <s v="Renting"/>
    <s v="No"/>
    <n v="1"/>
    <n v="14600"/>
    <n v="3"/>
    <s v="NA"/>
    <n v="6"/>
    <s v="South"/>
    <x v="4"/>
    <s v="Dallas"/>
    <d v="2015-04-24T00:00:00"/>
    <n v="307.28500000000003"/>
  </r>
  <r>
    <n v="626"/>
    <s v="Middle Aged"/>
    <x v="0"/>
    <s v="Renting"/>
    <s v="Married"/>
    <n v="1"/>
    <n v="93000"/>
    <n v="1"/>
    <s v="High Spending"/>
    <n v="24"/>
    <s v="South"/>
    <x v="4"/>
    <s v="Dallas"/>
    <d v="2015-08-15T00:00:00"/>
    <n v="2644.047"/>
  </r>
  <r>
    <n v="632"/>
    <s v="Old"/>
    <x v="1"/>
    <s v="Own Home"/>
    <s v="Married"/>
    <n v="1"/>
    <n v="70700"/>
    <n v="0"/>
    <s v="High Spending"/>
    <n v="24"/>
    <s v="South"/>
    <x v="4"/>
    <s v="Dallas"/>
    <d v="2014-02-19T00:00:00"/>
    <n v="2149.9580000000001"/>
  </r>
  <r>
    <n v="646"/>
    <s v="Young"/>
    <x v="1"/>
    <s v="Own Home"/>
    <s v="No"/>
    <n v="0"/>
    <n v="21900"/>
    <n v="2"/>
    <s v="Low Spending"/>
    <n v="24"/>
    <s v="South"/>
    <x v="4"/>
    <s v="Dallas"/>
    <d v="2011-02-03T00:00:00"/>
    <n v="486.495"/>
  </r>
  <r>
    <n v="649"/>
    <s v="Middle Aged"/>
    <x v="1"/>
    <s v="Own Home"/>
    <s v="Married"/>
    <n v="1"/>
    <n v="82700"/>
    <n v="1"/>
    <s v="High Spending"/>
    <n v="18"/>
    <s v="South"/>
    <x v="4"/>
    <s v="Dallas"/>
    <d v="2013-08-29T00:00:00"/>
    <n v="1753.181"/>
  </r>
  <r>
    <n v="666"/>
    <s v="Old"/>
    <x v="0"/>
    <s v="Renting"/>
    <s v="No"/>
    <n v="1"/>
    <n v="29000"/>
    <n v="0"/>
    <s v="Low Spending"/>
    <n v="6"/>
    <s v="South"/>
    <x v="4"/>
    <s v="Dallas"/>
    <d v="2011-08-24T00:00:00"/>
    <n v="481.5"/>
  </r>
  <r>
    <n v="703"/>
    <s v="Young"/>
    <x v="0"/>
    <s v="Own Home"/>
    <s v="No"/>
    <n v="0"/>
    <n v="39600"/>
    <n v="0"/>
    <s v="NA"/>
    <n v="12"/>
    <s v="South"/>
    <x v="4"/>
    <s v="Dallas"/>
    <d v="2015-08-26T00:00:00"/>
    <n v="1085.203"/>
  </r>
  <r>
    <n v="735"/>
    <s v="Young"/>
    <x v="0"/>
    <s v="Renting"/>
    <s v="No"/>
    <n v="1"/>
    <n v="15000"/>
    <n v="3"/>
    <s v="Low Spending"/>
    <n v="6"/>
    <s v="South"/>
    <x v="4"/>
    <s v="Dallas"/>
    <d v="2012-07-04T00:00:00"/>
    <n v="37.807000000000002"/>
  </r>
  <r>
    <n v="766"/>
    <s v="Young"/>
    <x v="0"/>
    <s v="Own Home"/>
    <s v="No"/>
    <n v="1"/>
    <n v="31900"/>
    <n v="0"/>
    <s v="Medium Spending"/>
    <n v="6"/>
    <s v="South"/>
    <x v="4"/>
    <s v="Dallas"/>
    <d v="2014-10-11T00:00:00"/>
    <n v="615.70699999999999"/>
  </r>
  <r>
    <n v="778"/>
    <s v="Middle Aged"/>
    <x v="0"/>
    <s v="Renting"/>
    <s v="No"/>
    <n v="1"/>
    <n v="34200"/>
    <n v="1"/>
    <s v="Low Spending"/>
    <n v="18"/>
    <s v="South"/>
    <x v="4"/>
    <s v="Dallas"/>
    <d v="2009-07-30T00:00:00"/>
    <n v="522.63900000000001"/>
  </r>
  <r>
    <n v="880"/>
    <s v="Middle Aged"/>
    <x v="0"/>
    <s v="Own Home"/>
    <s v="No"/>
    <n v="0"/>
    <n v="68700"/>
    <n v="1"/>
    <s v="NA"/>
    <n v="24"/>
    <s v="South"/>
    <x v="4"/>
    <s v="Dallas"/>
    <d v="2015-08-28T00:00:00"/>
    <n v="1699.212"/>
  </r>
  <r>
    <n v="927"/>
    <s v="Young"/>
    <x v="1"/>
    <s v="Renting"/>
    <s v="No"/>
    <n v="1"/>
    <n v="23200"/>
    <n v="3"/>
    <s v="NA"/>
    <n v="24"/>
    <s v="South"/>
    <x v="4"/>
    <s v="Dallas"/>
    <d v="2015-07-06T00:00:00"/>
    <n v="769.77300000000002"/>
  </r>
  <r>
    <n v="953"/>
    <s v="Old"/>
    <x v="0"/>
    <s v="Own Home"/>
    <s v="Married"/>
    <n v="1"/>
    <n v="75500"/>
    <n v="0"/>
    <s v="High Spending"/>
    <n v="6"/>
    <s v="South"/>
    <x v="4"/>
    <s v="Dallas"/>
    <d v="2015-03-14T00:00:00"/>
    <n v="740.91600000000005"/>
  </r>
  <r>
    <n v="964"/>
    <s v="Middle Aged"/>
    <x v="0"/>
    <s v="Own Home"/>
    <s v="Married"/>
    <n v="1"/>
    <n v="96500"/>
    <n v="0"/>
    <s v="High Spending"/>
    <n v="24"/>
    <s v="South"/>
    <x v="4"/>
    <s v="Dallas"/>
    <d v="2011-11-10T00:00:00"/>
    <n v="3779.9319999999998"/>
  </r>
  <r>
    <n v="65"/>
    <s v="Middle Aged"/>
    <x v="0"/>
    <s v="Renting"/>
    <s v="Married"/>
    <n v="1"/>
    <n v="117700"/>
    <n v="1"/>
    <s v="High Spending"/>
    <n v="12"/>
    <s v="West"/>
    <x v="5"/>
    <s v="Denver"/>
    <d v="2009-05-24T00:00:00"/>
    <n v="2103.8409999999999"/>
  </r>
  <r>
    <n v="85"/>
    <s v="Middle Aged"/>
    <x v="1"/>
    <s v="Own Home"/>
    <s v="No"/>
    <n v="1"/>
    <n v="43900"/>
    <n v="2"/>
    <s v="Low Spending"/>
    <n v="6"/>
    <s v="West"/>
    <x v="5"/>
    <s v="Denver"/>
    <d v="2011-04-14T00:00:00"/>
    <n v="357.50400000000002"/>
  </r>
  <r>
    <n v="118"/>
    <s v="Middle Aged"/>
    <x v="0"/>
    <s v="Own Home"/>
    <s v="Married"/>
    <n v="0"/>
    <n v="120000"/>
    <n v="3"/>
    <s v="High Spending"/>
    <n v="18"/>
    <s v="West"/>
    <x v="5"/>
    <s v="Denver"/>
    <d v="2012-06-01T00:00:00"/>
    <n v="1925.519"/>
  </r>
  <r>
    <n v="122"/>
    <s v="Old"/>
    <x v="1"/>
    <s v="Own Home"/>
    <s v="Married"/>
    <n v="1"/>
    <n v="54700"/>
    <n v="0"/>
    <s v="Medium Spending"/>
    <n v="24"/>
    <s v="West"/>
    <x v="5"/>
    <s v="Denver"/>
    <d v="2009-07-21T00:00:00"/>
    <n v="1403.8309999999999"/>
  </r>
  <r>
    <n v="123"/>
    <s v="Old"/>
    <x v="0"/>
    <s v="Own Home"/>
    <s v="Married"/>
    <n v="0"/>
    <n v="41300"/>
    <n v="0"/>
    <s v="High Spending"/>
    <n v="24"/>
    <s v="West"/>
    <x v="5"/>
    <s v="Denver"/>
    <d v="2013-08-23T00:00:00"/>
    <n v="1985.325"/>
  </r>
  <r>
    <n v="128"/>
    <s v="Middle Aged"/>
    <x v="0"/>
    <s v="Own Home"/>
    <s v="No"/>
    <n v="1"/>
    <n v="55900"/>
    <n v="1"/>
    <s v="NA"/>
    <n v="24"/>
    <s v="West"/>
    <x v="5"/>
    <s v="Denver"/>
    <d v="2015-04-10T00:00:00"/>
    <n v="2555.4499999999998"/>
  </r>
  <r>
    <n v="135"/>
    <s v="Middle Aged"/>
    <x v="0"/>
    <s v="Renting"/>
    <s v="Married"/>
    <n v="1"/>
    <n v="76200"/>
    <n v="1"/>
    <s v="NA"/>
    <n v="24"/>
    <s v="West"/>
    <x v="5"/>
    <s v="Denver"/>
    <d v="2015-04-06T00:00:00"/>
    <n v="2436.88"/>
  </r>
  <r>
    <n v="226"/>
    <s v="Middle Aged"/>
    <x v="1"/>
    <s v="Renting"/>
    <s v="No"/>
    <n v="1"/>
    <n v="42000"/>
    <n v="3"/>
    <s v="Low Spending"/>
    <n v="18"/>
    <s v="West"/>
    <x v="5"/>
    <s v="Denver"/>
    <d v="2014-11-11T00:00:00"/>
    <n v="232.107"/>
  </r>
  <r>
    <n v="234"/>
    <s v="Young"/>
    <x v="0"/>
    <s v="Renting"/>
    <s v="Married"/>
    <n v="1"/>
    <n v="53600"/>
    <n v="1"/>
    <s v="Medium Spending"/>
    <n v="24"/>
    <s v="West"/>
    <x v="5"/>
    <s v="Denver"/>
    <d v="2014-08-03T00:00:00"/>
    <n v="972.92899999999997"/>
  </r>
  <r>
    <n v="261"/>
    <s v="Middle Aged"/>
    <x v="1"/>
    <s v="Own Home"/>
    <s v="Married"/>
    <n v="1"/>
    <n v="44100"/>
    <n v="1"/>
    <s v="Medium Spending"/>
    <n v="24"/>
    <s v="West"/>
    <x v="5"/>
    <s v="Denver"/>
    <d v="2010-12-09T00:00:00"/>
    <n v="703.58600000000001"/>
  </r>
  <r>
    <n v="282"/>
    <s v="Young"/>
    <x v="0"/>
    <s v="Renting"/>
    <s v="No"/>
    <n v="1"/>
    <n v="25000"/>
    <n v="0"/>
    <s v="Low Spending"/>
    <n v="6"/>
    <s v="West"/>
    <x v="5"/>
    <s v="Denver"/>
    <d v="2013-04-25T00:00:00"/>
    <n v="263.99700000000001"/>
  </r>
  <r>
    <n v="315"/>
    <s v="Middle Aged"/>
    <x v="1"/>
    <s v="Own Home"/>
    <s v="No"/>
    <n v="0"/>
    <n v="56200"/>
    <n v="0"/>
    <s v="High Spending"/>
    <n v="18"/>
    <s v="West"/>
    <x v="5"/>
    <s v="Denver"/>
    <d v="2009-08-29T00:00:00"/>
    <n v="1546.386"/>
  </r>
  <r>
    <n v="329"/>
    <s v="Middle Aged"/>
    <x v="0"/>
    <s v="Own Home"/>
    <s v="Married"/>
    <n v="1"/>
    <n v="105300"/>
    <n v="1"/>
    <s v="NA"/>
    <n v="18"/>
    <s v="West"/>
    <x v="5"/>
    <s v="Denver"/>
    <d v="2015-02-14T00:00:00"/>
    <n v="3504.72"/>
  </r>
  <r>
    <n v="341"/>
    <s v="Middle Aged"/>
    <x v="1"/>
    <s v="Own Home"/>
    <s v="No"/>
    <n v="1"/>
    <n v="51900"/>
    <n v="2"/>
    <s v="NA"/>
    <n v="12"/>
    <s v="West"/>
    <x v="5"/>
    <s v="Denver"/>
    <d v="2015-06-13T00:00:00"/>
    <n v="1161.7760000000001"/>
  </r>
  <r>
    <n v="417"/>
    <s v="Young"/>
    <x v="1"/>
    <s v="Renting"/>
    <s v="No"/>
    <n v="0"/>
    <n v="20000"/>
    <n v="3"/>
    <s v="Low Spending"/>
    <n v="6"/>
    <s v="West"/>
    <x v="5"/>
    <s v="Denver"/>
    <d v="2009-09-21T00:00:00"/>
    <n v="182.43199999999999"/>
  </r>
  <r>
    <n v="524"/>
    <s v="Old"/>
    <x v="1"/>
    <s v="Renting"/>
    <s v="Married"/>
    <n v="0"/>
    <n v="81500"/>
    <n v="0"/>
    <s v="High Spending"/>
    <n v="18"/>
    <s v="West"/>
    <x v="5"/>
    <s v="Denver"/>
    <d v="2012-05-01T00:00:00"/>
    <n v="3655.4"/>
  </r>
  <r>
    <n v="561"/>
    <s v="Old"/>
    <x v="1"/>
    <s v="Own Home"/>
    <s v="Married"/>
    <n v="1"/>
    <n v="110700"/>
    <n v="0"/>
    <s v="High Spending"/>
    <n v="12"/>
    <s v="West"/>
    <x v="5"/>
    <s v="Denver"/>
    <d v="2013-12-13T00:00:00"/>
    <n v="2457.674"/>
  </r>
  <r>
    <n v="600"/>
    <s v="Middle Aged"/>
    <x v="1"/>
    <s v="Renting"/>
    <s v="No"/>
    <n v="0"/>
    <n v="44100"/>
    <n v="1"/>
    <s v="Medium Spending"/>
    <n v="18"/>
    <s v="West"/>
    <x v="5"/>
    <s v="Denver"/>
    <d v="2013-12-09T00:00:00"/>
    <n v="1659.402"/>
  </r>
  <r>
    <n v="616"/>
    <s v="Middle Aged"/>
    <x v="0"/>
    <s v="Own Home"/>
    <s v="No"/>
    <n v="1"/>
    <n v="48800"/>
    <n v="1"/>
    <s v="Medium Spending"/>
    <n v="24"/>
    <s v="West"/>
    <x v="5"/>
    <s v="Denver"/>
    <d v="2015-06-05T00:00:00"/>
    <n v="1271.0440000000001"/>
  </r>
  <r>
    <n v="629"/>
    <s v="Middle Aged"/>
    <x v="0"/>
    <s v="Own Home"/>
    <s v="Married"/>
    <n v="1"/>
    <n v="84100"/>
    <n v="3"/>
    <s v="NA"/>
    <n v="6"/>
    <s v="West"/>
    <x v="5"/>
    <s v="Denver"/>
    <d v="2015-02-02T00:00:00"/>
    <n v="1351.9480000000001"/>
  </r>
  <r>
    <n v="634"/>
    <s v="Middle Aged"/>
    <x v="1"/>
    <s v="Own Home"/>
    <s v="Married"/>
    <n v="1"/>
    <n v="100800"/>
    <n v="1"/>
    <s v="High Spending"/>
    <n v="24"/>
    <s v="West"/>
    <x v="5"/>
    <s v="Denver"/>
    <d v="2009-11-24T00:00:00"/>
    <n v="1788.6949999999999"/>
  </r>
  <r>
    <n v="650"/>
    <s v="Old"/>
    <x v="1"/>
    <s v="Own Home"/>
    <s v="Married"/>
    <n v="1"/>
    <n v="103300"/>
    <n v="0"/>
    <s v="High Spending"/>
    <n v="24"/>
    <s v="West"/>
    <x v="5"/>
    <s v="Denver"/>
    <d v="2010-11-11T00:00:00"/>
    <n v="3378.482"/>
  </r>
  <r>
    <n v="651"/>
    <s v="Middle Aged"/>
    <x v="0"/>
    <s v="Own Home"/>
    <s v="Married"/>
    <n v="0"/>
    <n v="113800"/>
    <n v="0"/>
    <s v="NA"/>
    <n v="12"/>
    <s v="West"/>
    <x v="5"/>
    <s v="Denver"/>
    <d v="2015-02-07T00:00:00"/>
    <n v="3272.6529999999998"/>
  </r>
  <r>
    <n v="654"/>
    <s v="Young"/>
    <x v="1"/>
    <s v="Renting"/>
    <s v="No"/>
    <n v="1"/>
    <n v="18900"/>
    <n v="1"/>
    <s v="Low Spending"/>
    <n v="6"/>
    <s v="West"/>
    <x v="5"/>
    <s v="Denver"/>
    <d v="2013-11-15T00:00:00"/>
    <n v="183.68899999999999"/>
  </r>
  <r>
    <n v="679"/>
    <s v="Old"/>
    <x v="1"/>
    <s v="Own Home"/>
    <s v="Married"/>
    <n v="1"/>
    <n v="118800"/>
    <n v="0"/>
    <s v="High Spending"/>
    <n v="18"/>
    <s v="West"/>
    <x v="5"/>
    <s v="Denver"/>
    <d v="2015-05-21T00:00:00"/>
    <n v="2175.9690000000001"/>
  </r>
  <r>
    <n v="695"/>
    <s v="Middle Aged"/>
    <x v="0"/>
    <s v="Own Home"/>
    <s v="No"/>
    <n v="1"/>
    <n v="62900"/>
    <n v="0"/>
    <s v="NA"/>
    <n v="24"/>
    <s v="West"/>
    <x v="5"/>
    <s v="Denver"/>
    <d v="2015-06-06T00:00:00"/>
    <n v="2561.114"/>
  </r>
  <r>
    <n v="708"/>
    <s v="Young"/>
    <x v="1"/>
    <s v="Renting"/>
    <s v="No"/>
    <n v="1"/>
    <n v="14500"/>
    <n v="1"/>
    <s v="Low Spending"/>
    <n v="6"/>
    <s v="West"/>
    <x v="5"/>
    <s v="Denver"/>
    <d v="2011-03-27T00:00:00"/>
    <n v="182.62799999999999"/>
  </r>
  <r>
    <n v="846"/>
    <s v="Middle Aged"/>
    <x v="0"/>
    <s v="Renting"/>
    <s v="No"/>
    <n v="0"/>
    <n v="36700"/>
    <n v="1"/>
    <s v="Medium Spending"/>
    <n v="24"/>
    <s v="West"/>
    <x v="5"/>
    <s v="Denver"/>
    <d v="2013-02-22T00:00:00"/>
    <n v="1218.01"/>
  </r>
  <r>
    <n v="855"/>
    <s v="Middle Aged"/>
    <x v="0"/>
    <s v="Renting"/>
    <s v="No"/>
    <n v="0"/>
    <n v="52200"/>
    <n v="0"/>
    <s v="High Spending"/>
    <n v="24"/>
    <s v="West"/>
    <x v="5"/>
    <s v="Denver"/>
    <d v="2014-04-12T00:00:00"/>
    <n v="1908.8679999999999"/>
  </r>
  <r>
    <n v="885"/>
    <s v="Middle Aged"/>
    <x v="1"/>
    <s v="Own Home"/>
    <s v="Married"/>
    <n v="1"/>
    <n v="86900"/>
    <n v="0"/>
    <s v="High Spending"/>
    <n v="18"/>
    <s v="West"/>
    <x v="5"/>
    <s v="Denver"/>
    <d v="2014-09-25T00:00:00"/>
    <n v="2229.7489999999998"/>
  </r>
  <r>
    <n v="924"/>
    <s v="Middle Aged"/>
    <x v="0"/>
    <s v="Own Home"/>
    <s v="Married"/>
    <n v="1"/>
    <n v="118600"/>
    <n v="1"/>
    <s v="NA"/>
    <n v="12"/>
    <s v="West"/>
    <x v="5"/>
    <s v="Denver"/>
    <d v="2015-02-07T00:00:00"/>
    <n v="1553.3710000000001"/>
  </r>
  <r>
    <n v="967"/>
    <s v="Young"/>
    <x v="1"/>
    <s v="Renting"/>
    <s v="No"/>
    <n v="1"/>
    <n v="21700"/>
    <n v="2"/>
    <s v="NA"/>
    <n v="6"/>
    <s v="West"/>
    <x v="5"/>
    <s v="Denver"/>
    <d v="2015-04-01T00:00:00"/>
    <n v="386.87700000000001"/>
  </r>
  <r>
    <n v="22"/>
    <s v="Middle Aged"/>
    <x v="0"/>
    <s v="Own Home"/>
    <s v="No"/>
    <n v="0"/>
    <n v="53900"/>
    <n v="0"/>
    <s v="NA"/>
    <n v="12"/>
    <s v="South"/>
    <x v="4"/>
    <s v="Houston"/>
    <d v="2015-01-30T00:00:00"/>
    <n v="1186.123"/>
  </r>
  <r>
    <n v="38"/>
    <s v="Middle Aged"/>
    <x v="0"/>
    <s v="Own Home"/>
    <s v="No"/>
    <n v="1"/>
    <n v="73700"/>
    <n v="1"/>
    <s v="Medium Spending"/>
    <n v="12"/>
    <s v="South"/>
    <x v="4"/>
    <s v="Houston"/>
    <d v="2013-08-15T00:00:00"/>
    <n v="1273.7729999999999"/>
  </r>
  <r>
    <n v="57"/>
    <s v="Middle Aged"/>
    <x v="0"/>
    <s v="Own Home"/>
    <s v="No"/>
    <n v="1"/>
    <n v="57600"/>
    <n v="1"/>
    <s v="NA"/>
    <n v="6"/>
    <s v="South"/>
    <x v="4"/>
    <s v="Houston"/>
    <d v="2015-05-19T00:00:00"/>
    <n v="1005.577"/>
  </r>
  <r>
    <n v="59"/>
    <s v="Middle Aged"/>
    <x v="1"/>
    <s v="Own Home"/>
    <s v="Married"/>
    <n v="1"/>
    <n v="63300"/>
    <n v="2"/>
    <s v="Medium Spending"/>
    <n v="24"/>
    <s v="South"/>
    <x v="4"/>
    <s v="Houston"/>
    <d v="2009-05-20T00:00:00"/>
    <n v="678.88900000000001"/>
  </r>
  <r>
    <n v="83"/>
    <s v="Middle Aged"/>
    <x v="0"/>
    <s v="Renting"/>
    <s v="No"/>
    <n v="0"/>
    <n v="45100"/>
    <n v="1"/>
    <s v="Medium Spending"/>
    <n v="12"/>
    <s v="South"/>
    <x v="4"/>
    <s v="Houston"/>
    <d v="2015-03-30T00:00:00"/>
    <n v="793.74"/>
  </r>
  <r>
    <n v="106"/>
    <s v="Middle Aged"/>
    <x v="0"/>
    <s v="Renting"/>
    <s v="No"/>
    <n v="1"/>
    <n v="43100"/>
    <n v="1"/>
    <s v="NA"/>
    <n v="12"/>
    <s v="South"/>
    <x v="4"/>
    <s v="Houston"/>
    <d v="2015-03-26T00:00:00"/>
    <n v="1224.433"/>
  </r>
  <r>
    <n v="140"/>
    <s v="Middle Aged"/>
    <x v="0"/>
    <s v="Renting"/>
    <s v="No"/>
    <n v="1"/>
    <n v="55100"/>
    <n v="2"/>
    <s v="NA"/>
    <n v="6"/>
    <s v="South"/>
    <x v="4"/>
    <s v="Houston"/>
    <d v="2015-02-08T00:00:00"/>
    <n v="825.66600000000005"/>
  </r>
  <r>
    <n v="164"/>
    <s v="Young"/>
    <x v="1"/>
    <s v="Renting"/>
    <s v="No"/>
    <n v="1"/>
    <n v="26600"/>
    <n v="2"/>
    <s v="Low Spending"/>
    <n v="24"/>
    <s v="South"/>
    <x v="4"/>
    <s v="Houston"/>
    <d v="2012-08-17T00:00:00"/>
    <n v="245.21299999999999"/>
  </r>
  <r>
    <n v="190"/>
    <s v="Young"/>
    <x v="1"/>
    <s v="Renting"/>
    <s v="No"/>
    <n v="1"/>
    <n v="22200"/>
    <n v="2"/>
    <s v="Low Spending"/>
    <n v="18"/>
    <s v="South"/>
    <x v="4"/>
    <s v="Houston"/>
    <d v="2014-02-08T00:00:00"/>
    <n v="274.80399999999997"/>
  </r>
  <r>
    <n v="193"/>
    <s v="Old"/>
    <x v="0"/>
    <s v="Own Home"/>
    <s v="Married"/>
    <n v="1"/>
    <n v="95900"/>
    <n v="0"/>
    <s v="High Spending"/>
    <n v="24"/>
    <s v="South"/>
    <x v="4"/>
    <s v="Houston"/>
    <d v="2010-08-23T00:00:00"/>
    <n v="2585.087"/>
  </r>
  <r>
    <n v="254"/>
    <s v="Middle Aged"/>
    <x v="0"/>
    <s v="Own Home"/>
    <s v="Married"/>
    <n v="0"/>
    <n v="95800"/>
    <n v="3"/>
    <s v="NA"/>
    <n v="12"/>
    <s v="South"/>
    <x v="4"/>
    <s v="Houston"/>
    <d v="2015-03-19T00:00:00"/>
    <n v="2581.4259999999999"/>
  </r>
  <r>
    <n v="257"/>
    <s v="Middle Aged"/>
    <x v="0"/>
    <s v="Renting"/>
    <s v="Married"/>
    <n v="0"/>
    <n v="48800"/>
    <n v="2"/>
    <s v="NA"/>
    <n v="12"/>
    <s v="South"/>
    <x v="4"/>
    <s v="Houston"/>
    <d v="2015-05-24T00:00:00"/>
    <n v="1646.8889999999999"/>
  </r>
  <r>
    <n v="267"/>
    <s v="Old"/>
    <x v="1"/>
    <s v="Renting"/>
    <s v="No"/>
    <n v="0"/>
    <n v="22600"/>
    <n v="0"/>
    <s v="NA"/>
    <n v="12"/>
    <s v="South"/>
    <x v="4"/>
    <s v="Houston"/>
    <d v="2015-07-09T00:00:00"/>
    <n v="864.56399999999996"/>
  </r>
  <r>
    <n v="298"/>
    <s v="Middle Aged"/>
    <x v="1"/>
    <s v="Renting"/>
    <s v="Married"/>
    <n v="0"/>
    <n v="92400"/>
    <n v="1"/>
    <s v="NA"/>
    <n v="6"/>
    <s v="South"/>
    <x v="4"/>
    <s v="Houston"/>
    <d v="2015-06-27T00:00:00"/>
    <n v="2190.5590000000002"/>
  </r>
  <r>
    <n v="322"/>
    <s v="Young"/>
    <x v="0"/>
    <s v="Renting"/>
    <s v="Married"/>
    <n v="1"/>
    <n v="34300"/>
    <n v="3"/>
    <s v="NA"/>
    <n v="12"/>
    <s v="South"/>
    <x v="4"/>
    <s v="Houston"/>
    <d v="2015-08-28T00:00:00"/>
    <n v="1296.595"/>
  </r>
  <r>
    <n v="324"/>
    <s v="Young"/>
    <x v="1"/>
    <s v="Renting"/>
    <s v="No"/>
    <n v="0"/>
    <n v="11400"/>
    <n v="3"/>
    <s v="NA"/>
    <n v="12"/>
    <s v="South"/>
    <x v="4"/>
    <s v="Houston"/>
    <d v="2015-01-23T00:00:00"/>
    <n v="312.18599999999998"/>
  </r>
  <r>
    <n v="328"/>
    <s v="Young"/>
    <x v="1"/>
    <s v="Renting"/>
    <s v="Married"/>
    <n v="1"/>
    <n v="60600"/>
    <n v="3"/>
    <s v="Low Spending"/>
    <n v="12"/>
    <s v="South"/>
    <x v="4"/>
    <s v="Houston"/>
    <d v="2013-09-27T00:00:00"/>
    <n v="307.495"/>
  </r>
  <r>
    <n v="333"/>
    <s v="Young"/>
    <x v="1"/>
    <s v="Renting"/>
    <s v="No"/>
    <n v="1"/>
    <n v="15900"/>
    <n v="0"/>
    <s v="Low Spending"/>
    <n v="18"/>
    <s v="South"/>
    <x v="4"/>
    <s v="Houston"/>
    <d v="2011-03-06T00:00:00"/>
    <n v="502.72"/>
  </r>
  <r>
    <n v="335"/>
    <s v="Middle Aged"/>
    <x v="0"/>
    <s v="Renting"/>
    <s v="No"/>
    <n v="0"/>
    <n v="42500"/>
    <n v="1"/>
    <s v="NA"/>
    <n v="6"/>
    <s v="South"/>
    <x v="4"/>
    <s v="Houston"/>
    <d v="2015-07-03T00:00:00"/>
    <n v="797.92200000000003"/>
  </r>
  <r>
    <n v="373"/>
    <s v="Middle Aged"/>
    <x v="0"/>
    <s v="Own Home"/>
    <s v="Married"/>
    <n v="1"/>
    <n v="85600"/>
    <n v="1"/>
    <s v="High Spending"/>
    <n v="18"/>
    <s v="South"/>
    <x v="4"/>
    <s v="Houston"/>
    <d v="2013-02-23T00:00:00"/>
    <n v="2435.6660000000002"/>
  </r>
  <r>
    <n v="375"/>
    <s v="Old"/>
    <x v="1"/>
    <s v="Own Home"/>
    <s v="Married"/>
    <n v="1"/>
    <n v="62600"/>
    <n v="0"/>
    <s v="High Spending"/>
    <n v="6"/>
    <s v="South"/>
    <x v="4"/>
    <s v="Houston"/>
    <d v="2015-07-11T00:00:00"/>
    <n v="565.26499999999999"/>
  </r>
  <r>
    <n v="394"/>
    <s v="Middle Aged"/>
    <x v="1"/>
    <s v="Own Home"/>
    <s v="No"/>
    <n v="1"/>
    <n v="35200"/>
    <n v="2"/>
    <s v="Low Spending"/>
    <n v="6"/>
    <s v="South"/>
    <x v="4"/>
    <s v="Houston"/>
    <d v="2010-12-23T00:00:00"/>
    <n v="232.88200000000001"/>
  </r>
  <r>
    <n v="402"/>
    <s v="Middle Aged"/>
    <x v="0"/>
    <s v="Own Home"/>
    <s v="Married"/>
    <n v="0"/>
    <n v="103700"/>
    <n v="1"/>
    <s v="High Spending"/>
    <n v="24"/>
    <s v="South"/>
    <x v="4"/>
    <s v="Houston"/>
    <d v="2014-10-14T00:00:00"/>
    <n v="2338.933"/>
  </r>
  <r>
    <n v="446"/>
    <s v="Old"/>
    <x v="1"/>
    <s v="Own Home"/>
    <s v="No"/>
    <n v="1"/>
    <n v="20600"/>
    <n v="0"/>
    <s v="Low Spending"/>
    <n v="6"/>
    <s v="South"/>
    <x v="4"/>
    <s v="Houston"/>
    <d v="2013-02-02T00:00:00"/>
    <n v="201.00200000000001"/>
  </r>
  <r>
    <n v="453"/>
    <s v="Middle Aged"/>
    <x v="0"/>
    <s v="Own Home"/>
    <s v="Married"/>
    <n v="1"/>
    <n v="97600"/>
    <n v="2"/>
    <s v="Medium Spending"/>
    <n v="12"/>
    <s v="South"/>
    <x v="4"/>
    <s v="Houston"/>
    <d v="2014-12-03T00:00:00"/>
    <n v="1162.0440000000001"/>
  </r>
  <r>
    <n v="477"/>
    <s v="Middle Aged"/>
    <x v="0"/>
    <s v="Own Home"/>
    <s v="Married"/>
    <n v="1"/>
    <n v="102400"/>
    <n v="1"/>
    <s v="High Spending"/>
    <n v="18"/>
    <s v="South"/>
    <x v="4"/>
    <s v="Houston"/>
    <d v="2011-08-22T00:00:00"/>
    <n v="1237.354"/>
  </r>
  <r>
    <n v="497"/>
    <s v="Middle Aged"/>
    <x v="0"/>
    <s v="Own Home"/>
    <s v="Married"/>
    <n v="1"/>
    <n v="76400"/>
    <n v="2"/>
    <s v="Medium Spending"/>
    <n v="18"/>
    <s v="South"/>
    <x v="4"/>
    <s v="Houston"/>
    <d v="2009-02-01T00:00:00"/>
    <n v="880.63699999999994"/>
  </r>
  <r>
    <n v="567"/>
    <s v="Old"/>
    <x v="0"/>
    <s v="Renting"/>
    <s v="Married"/>
    <n v="1"/>
    <n v="69800"/>
    <n v="0"/>
    <s v="High Spending"/>
    <n v="24"/>
    <s v="South"/>
    <x v="4"/>
    <s v="Houston"/>
    <d v="2011-11-02T00:00:00"/>
    <n v="2763.596"/>
  </r>
  <r>
    <n v="570"/>
    <s v="Young"/>
    <x v="1"/>
    <s v="Own Home"/>
    <s v="No"/>
    <n v="0"/>
    <n v="32000"/>
    <n v="1"/>
    <s v="NA"/>
    <n v="24"/>
    <s v="South"/>
    <x v="4"/>
    <s v="Houston"/>
    <d v="2015-07-11T00:00:00"/>
    <n v="1319.7"/>
  </r>
  <r>
    <n v="572"/>
    <s v="Young"/>
    <x v="1"/>
    <s v="Own Home"/>
    <s v="No"/>
    <n v="1"/>
    <n v="21600"/>
    <n v="2"/>
    <s v="NA"/>
    <n v="12"/>
    <s v="South"/>
    <x v="4"/>
    <s v="Houston"/>
    <d v="2015-02-09T00:00:00"/>
    <n v="490.97399999999999"/>
  </r>
  <r>
    <n v="573"/>
    <s v="Middle Aged"/>
    <x v="1"/>
    <s v="Renting"/>
    <s v="No"/>
    <n v="0"/>
    <n v="38200"/>
    <n v="0"/>
    <s v="Medium Spending"/>
    <n v="24"/>
    <s v="South"/>
    <x v="4"/>
    <s v="Houston"/>
    <d v="2014-04-25T00:00:00"/>
    <n v="1475.806"/>
  </r>
  <r>
    <n v="612"/>
    <s v="Old"/>
    <x v="1"/>
    <s v="Own Home"/>
    <s v="Married"/>
    <n v="1"/>
    <n v="42800"/>
    <n v="0"/>
    <s v="Medium Spending"/>
    <n v="6"/>
    <s v="South"/>
    <x v="4"/>
    <s v="Houston"/>
    <d v="2013-08-03T00:00:00"/>
    <n v="685.04200000000003"/>
  </r>
  <r>
    <n v="614"/>
    <s v="Old"/>
    <x v="1"/>
    <s v="Own Home"/>
    <s v="Married"/>
    <n v="0"/>
    <n v="74900"/>
    <n v="0"/>
    <s v="NA"/>
    <n v="12"/>
    <s v="South"/>
    <x v="4"/>
    <s v="Houston"/>
    <d v="2015-06-10T00:00:00"/>
    <n v="1804.404"/>
  </r>
  <r>
    <n v="647"/>
    <s v="Middle Aged"/>
    <x v="1"/>
    <s v="Renting"/>
    <s v="Married"/>
    <n v="1"/>
    <n v="114100"/>
    <n v="1"/>
    <s v="NA"/>
    <n v="24"/>
    <s v="South"/>
    <x v="4"/>
    <s v="Houston"/>
    <d v="2015-02-09T00:00:00"/>
    <n v="1975.884"/>
  </r>
  <r>
    <n v="681"/>
    <s v="Middle Aged"/>
    <x v="0"/>
    <s v="Own Home"/>
    <s v="Married"/>
    <n v="0"/>
    <n v="88700"/>
    <n v="2"/>
    <s v="High Spending"/>
    <n v="24"/>
    <s v="South"/>
    <x v="4"/>
    <s v="Houston"/>
    <d v="2011-06-23T00:00:00"/>
    <n v="2693.4409999999998"/>
  </r>
  <r>
    <n v="717"/>
    <s v="Old"/>
    <x v="1"/>
    <s v="Own Home"/>
    <s v="Married"/>
    <n v="0"/>
    <n v="81400"/>
    <n v="0"/>
    <s v="High Spending"/>
    <n v="24"/>
    <s v="South"/>
    <x v="4"/>
    <s v="Houston"/>
    <d v="2012-09-01T00:00:00"/>
    <n v="3000.6179999999999"/>
  </r>
  <r>
    <n v="754"/>
    <s v="Middle Aged"/>
    <x v="1"/>
    <s v="Renting"/>
    <s v="No"/>
    <n v="0"/>
    <n v="45500"/>
    <n v="1"/>
    <s v="NA"/>
    <n v="18"/>
    <s v="South"/>
    <x v="4"/>
    <s v="Houston"/>
    <d v="2015-04-28T00:00:00"/>
    <n v="1623.712"/>
  </r>
  <r>
    <n v="767"/>
    <s v="Middle Aged"/>
    <x v="1"/>
    <s v="Own Home"/>
    <s v="Married"/>
    <n v="1"/>
    <n v="59100"/>
    <n v="1"/>
    <s v="NA"/>
    <n v="6"/>
    <s v="South"/>
    <x v="4"/>
    <s v="Houston"/>
    <d v="2015-02-24T00:00:00"/>
    <n v="1425.7809999999999"/>
  </r>
  <r>
    <n v="806"/>
    <s v="Middle Aged"/>
    <x v="0"/>
    <s v="Own Home"/>
    <s v="Married"/>
    <n v="1"/>
    <n v="98500"/>
    <n v="0"/>
    <s v="High Spending"/>
    <n v="18"/>
    <s v="South"/>
    <x v="4"/>
    <s v="Houston"/>
    <d v="2009-01-30T00:00:00"/>
    <n v="2033.9570000000001"/>
  </r>
  <r>
    <n v="817"/>
    <s v="Middle Aged"/>
    <x v="0"/>
    <s v="Own Home"/>
    <s v="No"/>
    <n v="1"/>
    <n v="45800"/>
    <n v="0"/>
    <s v="NA"/>
    <n v="6"/>
    <s v="South"/>
    <x v="4"/>
    <s v="Houston"/>
    <d v="2015-07-22T00:00:00"/>
    <n v="711.90800000000002"/>
  </r>
  <r>
    <n v="863"/>
    <s v="Young"/>
    <x v="1"/>
    <s v="Renting"/>
    <s v="Married"/>
    <n v="0"/>
    <n v="32700"/>
    <n v="1"/>
    <s v="NA"/>
    <n v="18"/>
    <s v="South"/>
    <x v="4"/>
    <s v="Houston"/>
    <d v="2015-06-24T00:00:00"/>
    <n v="1276.2529999999999"/>
  </r>
  <r>
    <n v="871"/>
    <s v="Middle Aged"/>
    <x v="1"/>
    <s v="Renting"/>
    <s v="Married"/>
    <n v="1"/>
    <n v="96700"/>
    <n v="2"/>
    <s v="Medium Spending"/>
    <n v="12"/>
    <s v="South"/>
    <x v="4"/>
    <s v="Houston"/>
    <d v="2010-05-05T00:00:00"/>
    <n v="1231.328"/>
  </r>
  <r>
    <n v="878"/>
    <s v="Middle Aged"/>
    <x v="1"/>
    <s v="Renting"/>
    <s v="No"/>
    <n v="1"/>
    <n v="27200"/>
    <n v="3"/>
    <s v="Low Spending"/>
    <n v="24"/>
    <s v="South"/>
    <x v="4"/>
    <s v="Houston"/>
    <d v="2009-03-27T00:00:00"/>
    <n v="243.38499999999999"/>
  </r>
  <r>
    <n v="882"/>
    <s v="Young"/>
    <x v="1"/>
    <s v="Renting"/>
    <s v="Married"/>
    <n v="1"/>
    <n v="47300"/>
    <n v="0"/>
    <s v="NA"/>
    <n v="6"/>
    <s v="South"/>
    <x v="4"/>
    <s v="Houston"/>
    <d v="2015-06-10T00:00:00"/>
    <n v="639.60900000000004"/>
  </r>
  <r>
    <n v="965"/>
    <s v="Old"/>
    <x v="1"/>
    <s v="Renting"/>
    <s v="No"/>
    <n v="1"/>
    <n v="11000"/>
    <n v="0"/>
    <s v="NA"/>
    <n v="24"/>
    <s v="South"/>
    <x v="4"/>
    <s v="Houston"/>
    <d v="2015-05-22T00:00:00"/>
    <n v="195.23099999999999"/>
  </r>
  <r>
    <n v="980"/>
    <s v="Young"/>
    <x v="1"/>
    <s v="Renting"/>
    <s v="No"/>
    <n v="0"/>
    <n v="13200"/>
    <n v="0"/>
    <s v="NA"/>
    <n v="24"/>
    <s v="South"/>
    <x v="4"/>
    <s v="Houston"/>
    <d v="2015-03-22T00:00:00"/>
    <n v="357.56400000000002"/>
  </r>
  <r>
    <n v="60"/>
    <s v="Old"/>
    <x v="1"/>
    <s v="Renting"/>
    <s v="Married"/>
    <n v="1"/>
    <n v="38200"/>
    <n v="0"/>
    <s v="Medium Spending"/>
    <n v="6"/>
    <s v="Midwest"/>
    <x v="6"/>
    <s v="Indianapolis"/>
    <d v="2013-12-30T00:00:00"/>
    <n v="526.34299999999996"/>
  </r>
  <r>
    <n v="155"/>
    <s v="Young"/>
    <x v="1"/>
    <s v="Renting"/>
    <s v="No"/>
    <n v="1"/>
    <n v="10200"/>
    <n v="3"/>
    <s v="NA"/>
    <n v="6"/>
    <s v="Midwest"/>
    <x v="6"/>
    <s v="Indianapolis"/>
    <d v="2015-04-06T00:00:00"/>
    <n v="198.50800000000001"/>
  </r>
  <r>
    <n v="161"/>
    <s v="Old"/>
    <x v="1"/>
    <s v="Renting"/>
    <s v="Married"/>
    <n v="1"/>
    <n v="84800"/>
    <n v="0"/>
    <s v="High Spending"/>
    <n v="18"/>
    <s v="Midwest"/>
    <x v="6"/>
    <s v="Indianapolis"/>
    <d v="2010-03-26T00:00:00"/>
    <n v="2623.6680000000001"/>
  </r>
  <r>
    <n v="162"/>
    <s v="Middle Aged"/>
    <x v="1"/>
    <s v="Own Home"/>
    <s v="Married"/>
    <n v="1"/>
    <n v="62200"/>
    <n v="3"/>
    <s v="NA"/>
    <n v="24"/>
    <s v="Midwest"/>
    <x v="6"/>
    <s v="Indianapolis"/>
    <d v="2011-06-07T00:00:00"/>
    <n v="2119.13"/>
  </r>
  <r>
    <n v="198"/>
    <s v="Old"/>
    <x v="0"/>
    <s v="Own Home"/>
    <s v="Married"/>
    <n v="1"/>
    <n v="23400"/>
    <n v="0"/>
    <s v="Low Spending"/>
    <n v="6"/>
    <s v="Midwest"/>
    <x v="6"/>
    <s v="Indianapolis"/>
    <d v="2011-12-14T00:00:00"/>
    <n v="347.54500000000002"/>
  </r>
  <r>
    <n v="204"/>
    <s v="Middle Aged"/>
    <x v="1"/>
    <s v="Renting"/>
    <s v="No"/>
    <n v="1"/>
    <n v="26200"/>
    <n v="1"/>
    <s v="Low Spending"/>
    <n v="12"/>
    <s v="Midwest"/>
    <x v="6"/>
    <s v="Indianapolis"/>
    <d v="2010-01-08T00:00:00"/>
    <n v="380.96800000000002"/>
  </r>
  <r>
    <n v="222"/>
    <s v="Young"/>
    <x v="0"/>
    <s v="Renting"/>
    <s v="Married"/>
    <n v="1"/>
    <n v="39700"/>
    <n v="0"/>
    <s v="Medium Spending"/>
    <n v="18"/>
    <s v="Midwest"/>
    <x v="6"/>
    <s v="Indianapolis"/>
    <d v="2014-10-12T00:00:00"/>
    <n v="1011.061"/>
  </r>
  <r>
    <n v="233"/>
    <s v="Middle Aged"/>
    <x v="0"/>
    <s v="Own Home"/>
    <s v="No"/>
    <n v="1"/>
    <n v="52900"/>
    <n v="1"/>
    <s v="NA"/>
    <n v="24"/>
    <s v="Midwest"/>
    <x v="6"/>
    <s v="Indianapolis"/>
    <d v="2015-02-06T00:00:00"/>
    <n v="2316.442"/>
  </r>
  <r>
    <n v="244"/>
    <s v="Middle Aged"/>
    <x v="0"/>
    <s v="Own Home"/>
    <s v="Married"/>
    <n v="0"/>
    <n v="82400"/>
    <n v="2"/>
    <s v="High Spending"/>
    <n v="24"/>
    <s v="Midwest"/>
    <x v="6"/>
    <s v="Indianapolis"/>
    <d v="2014-03-25T00:00:00"/>
    <n v="2035.4929999999999"/>
  </r>
  <r>
    <n v="246"/>
    <s v="Middle Aged"/>
    <x v="0"/>
    <s v="Renting"/>
    <s v="No"/>
    <n v="1"/>
    <n v="54700"/>
    <n v="0"/>
    <s v="Medium Spending"/>
    <n v="24"/>
    <s v="Midwest"/>
    <x v="6"/>
    <s v="Indianapolis"/>
    <d v="2009-09-19T00:00:00"/>
    <n v="1355.395"/>
  </r>
  <r>
    <n v="262"/>
    <s v="Middle Aged"/>
    <x v="1"/>
    <s v="Renting"/>
    <s v="Married"/>
    <n v="0"/>
    <n v="72900"/>
    <n v="0"/>
    <s v="High Spending"/>
    <n v="18"/>
    <s v="Midwest"/>
    <x v="6"/>
    <s v="Indianapolis"/>
    <d v="2012-06-23T00:00:00"/>
    <n v="2074.61"/>
  </r>
  <r>
    <n v="271"/>
    <s v="Middle Aged"/>
    <x v="0"/>
    <s v="Renting"/>
    <s v="Married"/>
    <n v="1"/>
    <n v="87400"/>
    <n v="2"/>
    <s v="NA"/>
    <n v="18"/>
    <s v="Midwest"/>
    <x v="6"/>
    <s v="Indianapolis"/>
    <d v="2015-05-13T00:00:00"/>
    <n v="2728.5619999999999"/>
  </r>
  <r>
    <n v="300"/>
    <s v="Old"/>
    <x v="1"/>
    <s v="Renting"/>
    <s v="Married"/>
    <n v="1"/>
    <n v="50500"/>
    <n v="0"/>
    <s v="Medium Spending"/>
    <n v="12"/>
    <s v="Midwest"/>
    <x v="6"/>
    <s v="Indianapolis"/>
    <d v="2013-10-29T00:00:00"/>
    <n v="642.04200000000003"/>
  </r>
  <r>
    <n v="302"/>
    <s v="Middle Aged"/>
    <x v="1"/>
    <s v="Own Home"/>
    <s v="Married"/>
    <n v="0"/>
    <n v="83100"/>
    <n v="1"/>
    <s v="NA"/>
    <n v="12"/>
    <s v="Midwest"/>
    <x v="6"/>
    <s v="Indianapolis"/>
    <d v="2015-08-24T00:00:00"/>
    <n v="2765.5889999999999"/>
  </r>
  <r>
    <n v="313"/>
    <s v="Middle Aged"/>
    <x v="1"/>
    <s v="Renting"/>
    <s v="No"/>
    <n v="1"/>
    <n v="44600"/>
    <n v="0"/>
    <s v="Medium Spending"/>
    <n v="18"/>
    <s v="Midwest"/>
    <x v="6"/>
    <s v="Indianapolis"/>
    <d v="2015-06-16T00:00:00"/>
    <n v="965.72400000000005"/>
  </r>
  <r>
    <n v="332"/>
    <s v="Middle Aged"/>
    <x v="0"/>
    <s v="Renting"/>
    <s v="No"/>
    <n v="0"/>
    <n v="56900"/>
    <n v="0"/>
    <s v="High Spending"/>
    <n v="24"/>
    <s v="Midwest"/>
    <x v="6"/>
    <s v="Indianapolis"/>
    <d v="2015-07-28T00:00:00"/>
    <n v="1856.6389999999999"/>
  </r>
  <r>
    <n v="345"/>
    <s v="Middle Aged"/>
    <x v="1"/>
    <s v="Own Home"/>
    <s v="No"/>
    <n v="0"/>
    <n v="64400"/>
    <n v="3"/>
    <s v="Medium Spending"/>
    <n v="24"/>
    <s v="Midwest"/>
    <x v="6"/>
    <s v="Indianapolis"/>
    <d v="2009-11-01T00:00:00"/>
    <n v="1913.32"/>
  </r>
  <r>
    <n v="368"/>
    <s v="Middle Aged"/>
    <x v="0"/>
    <s v="Renting"/>
    <s v="Married"/>
    <n v="1"/>
    <n v="63500"/>
    <n v="2"/>
    <s v="NA"/>
    <n v="24"/>
    <s v="Midwest"/>
    <x v="6"/>
    <s v="Indianapolis"/>
    <d v="2015-01-13T00:00:00"/>
    <n v="2321.2440000000001"/>
  </r>
  <r>
    <n v="382"/>
    <s v="Old"/>
    <x v="0"/>
    <s v="Own Home"/>
    <s v="Married"/>
    <n v="1"/>
    <n v="84500"/>
    <n v="0"/>
    <s v="NA"/>
    <n v="12"/>
    <s v="Midwest"/>
    <x v="6"/>
    <s v="Indianapolis"/>
    <d v="2015-08-10T00:00:00"/>
    <n v="1557.0250000000001"/>
  </r>
  <r>
    <n v="413"/>
    <s v="Middle Aged"/>
    <x v="0"/>
    <s v="Renting"/>
    <s v="No"/>
    <n v="1"/>
    <n v="35100"/>
    <n v="1"/>
    <s v="Low Spending"/>
    <n v="6"/>
    <s v="Midwest"/>
    <x v="6"/>
    <s v="Indianapolis"/>
    <d v="2009-05-16T00:00:00"/>
    <n v="421.024"/>
  </r>
  <r>
    <n v="414"/>
    <s v="Old"/>
    <x v="0"/>
    <s v="Own Home"/>
    <s v="No"/>
    <n v="1"/>
    <n v="53400"/>
    <n v="1"/>
    <s v="Medium Spending"/>
    <n v="12"/>
    <s v="Midwest"/>
    <x v="6"/>
    <s v="Indianapolis"/>
    <d v="2010-12-09T00:00:00"/>
    <n v="885.89700000000005"/>
  </r>
  <r>
    <n v="415"/>
    <s v="Middle Aged"/>
    <x v="0"/>
    <s v="Own Home"/>
    <s v="No"/>
    <n v="1"/>
    <n v="61600"/>
    <n v="0"/>
    <s v="NA"/>
    <n v="18"/>
    <s v="Midwest"/>
    <x v="6"/>
    <s v="Indianapolis"/>
    <d v="2015-02-22T00:00:00"/>
    <n v="1666.471"/>
  </r>
  <r>
    <n v="425"/>
    <s v="Middle Aged"/>
    <x v="1"/>
    <s v="Own Home"/>
    <s v="No"/>
    <n v="1"/>
    <n v="49600"/>
    <n v="1"/>
    <s v="Medium Spending"/>
    <n v="12"/>
    <s v="Midwest"/>
    <x v="6"/>
    <s v="Indianapolis"/>
    <d v="2015-08-16T00:00:00"/>
    <n v="844.452"/>
  </r>
  <r>
    <n v="435"/>
    <s v="Old"/>
    <x v="1"/>
    <s v="Own Home"/>
    <s v="Married"/>
    <n v="1"/>
    <n v="114800"/>
    <n v="0"/>
    <s v="High Spending"/>
    <n v="18"/>
    <s v="Midwest"/>
    <x v="6"/>
    <s v="Indianapolis"/>
    <d v="2011-09-03T00:00:00"/>
    <n v="3596.4960000000001"/>
  </r>
  <r>
    <n v="445"/>
    <s v="Old"/>
    <x v="1"/>
    <s v="Own Home"/>
    <s v="No"/>
    <n v="1"/>
    <n v="25500"/>
    <n v="0"/>
    <s v="Low Spending"/>
    <n v="18"/>
    <s v="Midwest"/>
    <x v="6"/>
    <s v="Indianapolis"/>
    <d v="2012-11-22T00:00:00"/>
    <n v="635.81299999999999"/>
  </r>
  <r>
    <n v="489"/>
    <s v="Middle Aged"/>
    <x v="1"/>
    <s v="Own Home"/>
    <s v="Married"/>
    <n v="1"/>
    <n v="51900"/>
    <n v="3"/>
    <s v="Low Spending"/>
    <n v="6"/>
    <s v="Midwest"/>
    <x v="6"/>
    <s v="Indianapolis"/>
    <d v="2014-08-05T00:00:00"/>
    <n v="157.53100000000001"/>
  </r>
  <r>
    <n v="512"/>
    <s v="Middle Aged"/>
    <x v="0"/>
    <s v="Renting"/>
    <s v="No"/>
    <n v="1"/>
    <n v="72000"/>
    <n v="0"/>
    <s v="High Spending"/>
    <n v="12"/>
    <s v="Midwest"/>
    <x v="6"/>
    <s v="Indianapolis"/>
    <d v="2012-05-29T00:00:00"/>
    <n v="1474.787"/>
  </r>
  <r>
    <n v="528"/>
    <s v="Young"/>
    <x v="0"/>
    <s v="Renting"/>
    <s v="Married"/>
    <n v="0"/>
    <n v="25100"/>
    <n v="0"/>
    <s v="Medium Spending"/>
    <n v="12"/>
    <s v="Midwest"/>
    <x v="6"/>
    <s v="Indianapolis"/>
    <d v="2011-05-24T00:00:00"/>
    <n v="592.072"/>
  </r>
  <r>
    <n v="537"/>
    <s v="Young"/>
    <x v="1"/>
    <s v="Renting"/>
    <s v="No"/>
    <n v="0"/>
    <n v="23100"/>
    <n v="2"/>
    <s v="Low Spending"/>
    <n v="12"/>
    <s v="Midwest"/>
    <x v="6"/>
    <s v="Indianapolis"/>
    <d v="2015-02-04T00:00:00"/>
    <n v="457.00599999999997"/>
  </r>
  <r>
    <n v="547"/>
    <s v="Young"/>
    <x v="0"/>
    <s v="Renting"/>
    <s v="Married"/>
    <n v="1"/>
    <n v="43700"/>
    <n v="1"/>
    <s v="NA"/>
    <n v="12"/>
    <s v="Midwest"/>
    <x v="6"/>
    <s v="Indianapolis"/>
    <d v="2015-08-19T00:00:00"/>
    <n v="926.71299999999997"/>
  </r>
  <r>
    <n v="556"/>
    <s v="Old"/>
    <x v="1"/>
    <s v="Own Home"/>
    <s v="Married"/>
    <n v="0"/>
    <n v="67900"/>
    <n v="0"/>
    <s v="High Spending"/>
    <n v="24"/>
    <s v="Midwest"/>
    <x v="6"/>
    <s v="Indianapolis"/>
    <d v="2009-01-04T00:00:00"/>
    <n v="2924.53"/>
  </r>
  <r>
    <n v="569"/>
    <s v="Middle Aged"/>
    <x v="0"/>
    <s v="Own Home"/>
    <s v="Married"/>
    <n v="1"/>
    <n v="70400"/>
    <n v="2"/>
    <s v="NA"/>
    <n v="12"/>
    <s v="Midwest"/>
    <x v="6"/>
    <s v="Indianapolis"/>
    <d v="2010-04-12T00:00:00"/>
    <n v="1127.365"/>
  </r>
  <r>
    <n v="635"/>
    <s v="Young"/>
    <x v="0"/>
    <s v="Renting"/>
    <s v="No"/>
    <n v="0"/>
    <n v="25700"/>
    <n v="0"/>
    <s v="Medium Spending"/>
    <n v="18"/>
    <s v="Midwest"/>
    <x v="6"/>
    <s v="Indianapolis"/>
    <d v="2013-09-10T00:00:00"/>
    <n v="906.51499999999999"/>
  </r>
  <r>
    <n v="638"/>
    <s v="Middle Aged"/>
    <x v="1"/>
    <s v="Renting"/>
    <s v="No"/>
    <n v="0"/>
    <n v="37800"/>
    <n v="2"/>
    <s v="NA"/>
    <n v="12"/>
    <s v="Midwest"/>
    <x v="6"/>
    <s v="Indianapolis"/>
    <d v="2015-02-12T00:00:00"/>
    <n v="1185.0909999999999"/>
  </r>
  <r>
    <n v="640"/>
    <s v="Young"/>
    <x v="0"/>
    <s v="Renting"/>
    <s v="No"/>
    <n v="0"/>
    <n v="14800"/>
    <n v="1"/>
    <s v="NA"/>
    <n v="12"/>
    <s v="Midwest"/>
    <x v="6"/>
    <s v="Indianapolis"/>
    <d v="2015-08-18T00:00:00"/>
    <n v="375.61399999999998"/>
  </r>
  <r>
    <n v="693"/>
    <s v="Middle Aged"/>
    <x v="0"/>
    <s v="Own Home"/>
    <s v="Married"/>
    <n v="0"/>
    <n v="86100"/>
    <n v="1"/>
    <s v="NA"/>
    <n v="12"/>
    <s v="Midwest"/>
    <x v="6"/>
    <s v="Indianapolis"/>
    <d v="2015-05-20T00:00:00"/>
    <n v="1255.373"/>
  </r>
  <r>
    <n v="723"/>
    <s v="Young"/>
    <x v="0"/>
    <s v="Renting"/>
    <s v="No"/>
    <n v="1"/>
    <n v="21200"/>
    <n v="0"/>
    <s v="NA"/>
    <n v="12"/>
    <s v="Midwest"/>
    <x v="6"/>
    <s v="Indianapolis"/>
    <d v="2015-05-14T00:00:00"/>
    <n v="416.51100000000002"/>
  </r>
  <r>
    <n v="732"/>
    <s v="Young"/>
    <x v="1"/>
    <s v="Renting"/>
    <s v="Married"/>
    <n v="1"/>
    <n v="37100"/>
    <n v="2"/>
    <s v="Low Spending"/>
    <n v="24"/>
    <s v="Midwest"/>
    <x v="6"/>
    <s v="Indianapolis"/>
    <d v="2009-12-06T00:00:00"/>
    <n v="652.57500000000005"/>
  </r>
  <r>
    <n v="741"/>
    <s v="Middle Aged"/>
    <x v="0"/>
    <s v="Own Home"/>
    <s v="No"/>
    <n v="1"/>
    <n v="61500"/>
    <n v="2"/>
    <s v="Medium Spending"/>
    <n v="24"/>
    <s v="Midwest"/>
    <x v="6"/>
    <s v="Indianapolis"/>
    <d v="2011-10-01T00:00:00"/>
    <n v="967.80499999999995"/>
  </r>
  <r>
    <n v="760"/>
    <s v="Middle Aged"/>
    <x v="1"/>
    <s v="Own Home"/>
    <s v="No"/>
    <n v="1"/>
    <n v="47900"/>
    <n v="0"/>
    <s v="NA"/>
    <n v="12"/>
    <s v="Midwest"/>
    <x v="6"/>
    <s v="Indianapolis"/>
    <d v="2015-02-12T00:00:00"/>
    <n v="1090.085"/>
  </r>
  <r>
    <n v="789"/>
    <s v="Middle Aged"/>
    <x v="0"/>
    <s v="Own Home"/>
    <s v="Married"/>
    <n v="1"/>
    <n v="74500"/>
    <n v="2"/>
    <s v="Medium Spending"/>
    <n v="12"/>
    <s v="Midwest"/>
    <x v="6"/>
    <s v="Indianapolis"/>
    <d v="2015-03-07T00:00:00"/>
    <n v="823.58199999999999"/>
  </r>
  <r>
    <n v="793"/>
    <s v="Middle Aged"/>
    <x v="0"/>
    <s v="Renting"/>
    <s v="No"/>
    <n v="0"/>
    <n v="53800"/>
    <n v="0"/>
    <s v="High Spending"/>
    <n v="12"/>
    <s v="Midwest"/>
    <x v="6"/>
    <s v="Indianapolis"/>
    <d v="2013-04-28T00:00:00"/>
    <n v="1803.115"/>
  </r>
  <r>
    <n v="794"/>
    <s v="Middle Aged"/>
    <x v="0"/>
    <s v="Own Home"/>
    <s v="Married"/>
    <n v="1"/>
    <n v="98400"/>
    <n v="0"/>
    <s v="High Spending"/>
    <n v="12"/>
    <s v="Midwest"/>
    <x v="6"/>
    <s v="Indianapolis"/>
    <d v="2014-12-27T00:00:00"/>
    <n v="1413.7339999999999"/>
  </r>
  <r>
    <n v="804"/>
    <s v="Middle Aged"/>
    <x v="1"/>
    <s v="Renting"/>
    <s v="Married"/>
    <n v="1"/>
    <n v="79900"/>
    <n v="1"/>
    <s v="Medium Spending"/>
    <n v="12"/>
    <s v="Midwest"/>
    <x v="6"/>
    <s v="Indianapolis"/>
    <d v="2010-02-28T00:00:00"/>
    <n v="1041.4090000000001"/>
  </r>
  <r>
    <n v="829"/>
    <s v="Young"/>
    <x v="1"/>
    <s v="Renting"/>
    <s v="No"/>
    <n v="0"/>
    <n v="20700"/>
    <n v="1"/>
    <s v="Low Spending"/>
    <n v="12"/>
    <s v="Midwest"/>
    <x v="6"/>
    <s v="Indianapolis"/>
    <d v="2010-11-27T00:00:00"/>
    <n v="549.53700000000003"/>
  </r>
  <r>
    <n v="835"/>
    <s v="Young"/>
    <x v="0"/>
    <s v="Renting"/>
    <s v="No"/>
    <n v="1"/>
    <n v="17900"/>
    <n v="0"/>
    <s v="NA"/>
    <n v="18"/>
    <s v="Midwest"/>
    <x v="6"/>
    <s v="Indianapolis"/>
    <d v="2015-01-01T00:00:00"/>
    <n v="395.15699999999998"/>
  </r>
  <r>
    <n v="850"/>
    <s v="Middle Aged"/>
    <x v="0"/>
    <s v="Own Home"/>
    <s v="Married"/>
    <n v="1"/>
    <n v="77100"/>
    <n v="2"/>
    <s v="Medium Spending"/>
    <n v="6"/>
    <s v="Midwest"/>
    <x v="6"/>
    <s v="Indianapolis"/>
    <d v="2015-06-17T00:00:00"/>
    <n v="567.75099999999998"/>
  </r>
  <r>
    <n v="887"/>
    <s v="Young"/>
    <x v="0"/>
    <s v="Renting"/>
    <s v="No"/>
    <n v="1"/>
    <n v="17600"/>
    <n v="0"/>
    <s v="NA"/>
    <n v="6"/>
    <s v="Midwest"/>
    <x v="6"/>
    <s v="Indianapolis"/>
    <d v="2015-06-03T00:00:00"/>
    <n v="245.00800000000001"/>
  </r>
  <r>
    <n v="888"/>
    <s v="Middle Aged"/>
    <x v="0"/>
    <s v="Own Home"/>
    <s v="No"/>
    <n v="0"/>
    <n v="50100"/>
    <n v="1"/>
    <s v="High Spending"/>
    <n v="18"/>
    <s v="Midwest"/>
    <x v="6"/>
    <s v="Indianapolis"/>
    <d v="2011-07-18T00:00:00"/>
    <n v="1070.54"/>
  </r>
  <r>
    <n v="889"/>
    <s v="Middle Aged"/>
    <x v="1"/>
    <s v="Renting"/>
    <s v="No"/>
    <n v="1"/>
    <n v="42700"/>
    <n v="0"/>
    <s v="Medium Spending"/>
    <n v="12"/>
    <s v="Midwest"/>
    <x v="6"/>
    <s v="Indianapolis"/>
    <d v="2011-09-02T00:00:00"/>
    <n v="826.84799999999996"/>
  </r>
  <r>
    <n v="903"/>
    <s v="Young"/>
    <x v="0"/>
    <s v="Renting"/>
    <s v="No"/>
    <n v="1"/>
    <n v="10400"/>
    <n v="0"/>
    <s v="NA"/>
    <n v="18"/>
    <s v="Midwest"/>
    <x v="6"/>
    <s v="Indianapolis"/>
    <d v="2015-06-21T00:00:00"/>
    <n v="188.97800000000001"/>
  </r>
  <r>
    <n v="925"/>
    <s v="Young"/>
    <x v="0"/>
    <s v="Renting"/>
    <s v="Married"/>
    <n v="1"/>
    <n v="56900"/>
    <n v="2"/>
    <s v="Low Spending"/>
    <n v="12"/>
    <s v="Midwest"/>
    <x v="6"/>
    <s v="Indianapolis"/>
    <d v="2013-09-06T00:00:00"/>
    <n v="687.09400000000005"/>
  </r>
  <r>
    <n v="935"/>
    <s v="Young"/>
    <x v="0"/>
    <s v="Renting"/>
    <s v="No"/>
    <n v="0"/>
    <n v="17500"/>
    <n v="0"/>
    <s v="Low Spending"/>
    <n v="18"/>
    <s v="Midwest"/>
    <x v="6"/>
    <s v="Indianapolis"/>
    <d v="2015-07-12T00:00:00"/>
    <n v="471.78500000000003"/>
  </r>
  <r>
    <n v="973"/>
    <s v="Middle Aged"/>
    <x v="0"/>
    <s v="Own Home"/>
    <s v="No"/>
    <n v="0"/>
    <n v="72300"/>
    <n v="0"/>
    <s v="High Spending"/>
    <n v="24"/>
    <s v="Midwest"/>
    <x v="6"/>
    <s v="Indianapolis"/>
    <d v="2012-02-21T00:00:00"/>
    <n v="4181.768"/>
  </r>
  <r>
    <n v="7"/>
    <s v="Middle Aged"/>
    <x v="1"/>
    <s v="Renting"/>
    <s v="No"/>
    <n v="1"/>
    <n v="34700"/>
    <n v="0"/>
    <s v="NA"/>
    <n v="18"/>
    <s v="Midwest"/>
    <x v="7"/>
    <s v="Kansas City"/>
    <d v="2015-06-11T00:00:00"/>
    <n v="1614.5119999999999"/>
  </r>
  <r>
    <n v="41"/>
    <s v="Old"/>
    <x v="0"/>
    <s v="Own Home"/>
    <s v="Married"/>
    <n v="1"/>
    <n v="51200"/>
    <n v="0"/>
    <s v="Medium Spending"/>
    <n v="12"/>
    <s v="Midwest"/>
    <x v="7"/>
    <s v="Kansas City"/>
    <d v="2011-12-29T00:00:00"/>
    <n v="1293.43"/>
  </r>
  <r>
    <n v="47"/>
    <s v="Young"/>
    <x v="1"/>
    <s v="Renting"/>
    <s v="Married"/>
    <n v="1"/>
    <n v="60100"/>
    <n v="0"/>
    <s v="NA"/>
    <n v="18"/>
    <s v="Midwest"/>
    <x v="7"/>
    <s v="Kansas City"/>
    <d v="2015-07-03T00:00:00"/>
    <n v="1593.683"/>
  </r>
  <r>
    <n v="63"/>
    <s v="Middle Aged"/>
    <x v="1"/>
    <s v="Own Home"/>
    <s v="No"/>
    <n v="1"/>
    <n v="47600"/>
    <n v="1"/>
    <s v="Medium Spending"/>
    <n v="12"/>
    <s v="Midwest"/>
    <x v="7"/>
    <s v="Kansas City"/>
    <d v="2011-10-29T00:00:00"/>
    <n v="800.60500000000002"/>
  </r>
  <r>
    <n v="110"/>
    <s v="Young"/>
    <x v="0"/>
    <s v="Renting"/>
    <s v="No"/>
    <n v="1"/>
    <n v="13400"/>
    <n v="0"/>
    <s v="Low Spending"/>
    <n v="18"/>
    <s v="Midwest"/>
    <x v="7"/>
    <s v="Kansas City"/>
    <d v="2013-08-20T00:00:00"/>
    <n v="424.07400000000001"/>
  </r>
  <r>
    <n v="116"/>
    <s v="Middle Aged"/>
    <x v="1"/>
    <s v="Renting"/>
    <s v="Married"/>
    <n v="1"/>
    <n v="95900"/>
    <n v="0"/>
    <s v="NA"/>
    <n v="24"/>
    <s v="Midwest"/>
    <x v="7"/>
    <s v="Kansas City"/>
    <d v="2015-02-27T00:00:00"/>
    <n v="3168.2649999999999"/>
  </r>
  <r>
    <n v="134"/>
    <s v="Middle Aged"/>
    <x v="1"/>
    <s v="Own Home"/>
    <s v="No"/>
    <n v="0"/>
    <n v="47500"/>
    <n v="0"/>
    <s v="High Spending"/>
    <n v="6"/>
    <s v="Midwest"/>
    <x v="7"/>
    <s v="Kansas City"/>
    <d v="2014-12-20T00:00:00"/>
    <n v="847.46900000000005"/>
  </r>
  <r>
    <n v="203"/>
    <s v="Young"/>
    <x v="0"/>
    <s v="Renting"/>
    <s v="No"/>
    <n v="1"/>
    <n v="17000"/>
    <n v="0"/>
    <s v="NA"/>
    <n v="18"/>
    <s v="Midwest"/>
    <x v="7"/>
    <s v="Kansas City"/>
    <d v="2015-07-30T00:00:00"/>
    <n v="581.22400000000005"/>
  </r>
  <r>
    <n v="225"/>
    <s v="Middle Aged"/>
    <x v="1"/>
    <s v="Own Home"/>
    <s v="Married"/>
    <n v="1"/>
    <n v="64100"/>
    <n v="1"/>
    <s v="Medium Spending"/>
    <n v="18"/>
    <s v="Midwest"/>
    <x v="7"/>
    <s v="Kansas City"/>
    <d v="2013-09-15T00:00:00"/>
    <n v="1332.173"/>
  </r>
  <r>
    <n v="241"/>
    <s v="Middle Aged"/>
    <x v="0"/>
    <s v="Own Home"/>
    <s v="No"/>
    <n v="0"/>
    <n v="48100"/>
    <n v="2"/>
    <s v="Medium Spending"/>
    <n v="18"/>
    <s v="Midwest"/>
    <x v="7"/>
    <s v="Kansas City"/>
    <d v="2012-05-30T00:00:00"/>
    <n v="961.005"/>
  </r>
  <r>
    <n v="251"/>
    <s v="Young"/>
    <x v="1"/>
    <s v="Renting"/>
    <s v="No"/>
    <n v="0"/>
    <n v="10800"/>
    <n v="3"/>
    <s v="Low Spending"/>
    <n v="6"/>
    <s v="Midwest"/>
    <x v="7"/>
    <s v="Kansas City"/>
    <d v="2011-12-02T00:00:00"/>
    <n v="123.07"/>
  </r>
  <r>
    <n v="284"/>
    <s v="Young"/>
    <x v="0"/>
    <s v="Renting"/>
    <s v="No"/>
    <n v="0"/>
    <n v="21900"/>
    <n v="2"/>
    <s v="NA"/>
    <n v="6"/>
    <s v="Midwest"/>
    <x v="7"/>
    <s v="Kansas City"/>
    <d v="2015-03-29T00:00:00"/>
    <n v="192.10400000000001"/>
  </r>
  <r>
    <n v="306"/>
    <s v="Young"/>
    <x v="1"/>
    <s v="Renting"/>
    <s v="Married"/>
    <n v="1"/>
    <n v="41700"/>
    <n v="1"/>
    <s v="NA"/>
    <n v="6"/>
    <s v="Midwest"/>
    <x v="7"/>
    <s v="Kansas City"/>
    <d v="2015-08-04T00:00:00"/>
    <n v="520.71400000000006"/>
  </r>
  <r>
    <n v="321"/>
    <s v="Old"/>
    <x v="0"/>
    <s v="Own Home"/>
    <s v="Married"/>
    <n v="1"/>
    <n v="74800"/>
    <n v="0"/>
    <s v="High Spending"/>
    <n v="18"/>
    <s v="Midwest"/>
    <x v="7"/>
    <s v="Kansas City"/>
    <d v="2009-12-25T00:00:00"/>
    <n v="1967.9179999999999"/>
  </r>
  <r>
    <n v="343"/>
    <s v="Young"/>
    <x v="1"/>
    <s v="Renting"/>
    <s v="Married"/>
    <n v="0"/>
    <n v="51900"/>
    <n v="0"/>
    <s v="NA"/>
    <n v="6"/>
    <s v="Midwest"/>
    <x v="7"/>
    <s v="Kansas City"/>
    <d v="2015-07-05T00:00:00"/>
    <n v="779.51700000000005"/>
  </r>
  <r>
    <n v="353"/>
    <s v="Middle Aged"/>
    <x v="0"/>
    <s v="Own Home"/>
    <s v="Married"/>
    <n v="1"/>
    <n v="122700"/>
    <n v="1"/>
    <s v="NA"/>
    <n v="18"/>
    <s v="Midwest"/>
    <x v="7"/>
    <s v="Kansas City"/>
    <d v="2015-01-27T00:00:00"/>
    <n v="4983.7759999999998"/>
  </r>
  <r>
    <n v="388"/>
    <s v="Middle Aged"/>
    <x v="0"/>
    <s v="Own Home"/>
    <s v="Married"/>
    <n v="1"/>
    <n v="90100"/>
    <n v="0"/>
    <s v="High Spending"/>
    <n v="18"/>
    <s v="Midwest"/>
    <x v="7"/>
    <s v="Kansas City"/>
    <d v="2014-02-17T00:00:00"/>
    <n v="1956.2809999999999"/>
  </r>
  <r>
    <n v="431"/>
    <s v="Middle Aged"/>
    <x v="0"/>
    <s v="Renting"/>
    <s v="Married"/>
    <n v="1"/>
    <n v="88500"/>
    <n v="2"/>
    <s v="Medium Spending"/>
    <n v="24"/>
    <s v="Midwest"/>
    <x v="7"/>
    <s v="Kansas City"/>
    <d v="2014-06-16T00:00:00"/>
    <n v="1103.825"/>
  </r>
  <r>
    <n v="462"/>
    <s v="Old"/>
    <x v="1"/>
    <s v="Renting"/>
    <s v="Married"/>
    <n v="0"/>
    <n v="60200"/>
    <n v="0"/>
    <s v="High Spending"/>
    <n v="18"/>
    <s v="Midwest"/>
    <x v="7"/>
    <s v="Kansas City"/>
    <d v="2013-03-14T00:00:00"/>
    <n v="2328.4389999999999"/>
  </r>
  <r>
    <n v="467"/>
    <s v="Young"/>
    <x v="0"/>
    <s v="Renting"/>
    <s v="No"/>
    <n v="1"/>
    <n v="15400"/>
    <n v="0"/>
    <s v="Low Spending"/>
    <n v="6"/>
    <s v="Midwest"/>
    <x v="7"/>
    <s v="Kansas City"/>
    <d v="2010-02-18T00:00:00"/>
    <n v="171.607"/>
  </r>
  <r>
    <n v="475"/>
    <s v="Young"/>
    <x v="1"/>
    <s v="Renting"/>
    <s v="No"/>
    <n v="1"/>
    <n v="13600"/>
    <n v="1"/>
    <s v="Low Spending"/>
    <n v="6"/>
    <s v="Midwest"/>
    <x v="7"/>
    <s v="Kansas City"/>
    <d v="2014-04-05T00:00:00"/>
    <n v="183.43700000000001"/>
  </r>
  <r>
    <n v="480"/>
    <s v="Middle Aged"/>
    <x v="0"/>
    <s v="Own Home"/>
    <s v="Married"/>
    <n v="1"/>
    <n v="123800"/>
    <n v="2"/>
    <s v="NA"/>
    <n v="18"/>
    <s v="Midwest"/>
    <x v="7"/>
    <s v="Kansas City"/>
    <d v="2015-04-17T00:00:00"/>
    <n v="3536.9119999999998"/>
  </r>
  <r>
    <n v="499"/>
    <s v="Middle Aged"/>
    <x v="0"/>
    <s v="Own Home"/>
    <s v="Married"/>
    <n v="1"/>
    <n v="119800"/>
    <n v="2"/>
    <s v="Medium Spending"/>
    <n v="24"/>
    <s v="Midwest"/>
    <x v="7"/>
    <s v="Kansas City"/>
    <d v="2013-07-21T00:00:00"/>
    <n v="2089.6170000000002"/>
  </r>
  <r>
    <n v="504"/>
    <s v="Young"/>
    <x v="0"/>
    <s v="Renting"/>
    <s v="No"/>
    <n v="1"/>
    <n v="17700"/>
    <n v="1"/>
    <s v="Low Spending"/>
    <n v="12"/>
    <s v="Midwest"/>
    <x v="7"/>
    <s v="Kansas City"/>
    <d v="2014-12-17T00:00:00"/>
    <n v="268.20800000000003"/>
  </r>
  <r>
    <n v="527"/>
    <s v="Middle Aged"/>
    <x v="1"/>
    <s v="Own Home"/>
    <s v="Married"/>
    <n v="1"/>
    <n v="75600"/>
    <n v="0"/>
    <s v="NA"/>
    <n v="12"/>
    <s v="Midwest"/>
    <x v="7"/>
    <s v="Kansas City"/>
    <d v="2015-06-15T00:00:00"/>
    <n v="1540.8920000000001"/>
  </r>
  <r>
    <n v="546"/>
    <s v="Young"/>
    <x v="1"/>
    <s v="Own Home"/>
    <s v="No"/>
    <n v="1"/>
    <n v="15100"/>
    <n v="0"/>
    <s v="Low Spending"/>
    <n v="6"/>
    <s v="Midwest"/>
    <x v="7"/>
    <s v="Kansas City"/>
    <d v="2015-06-04T00:00:00"/>
    <n v="273.83499999999998"/>
  </r>
  <r>
    <n v="574"/>
    <s v="Middle Aged"/>
    <x v="1"/>
    <s v="Renting"/>
    <s v="Married"/>
    <n v="1"/>
    <n v="91000"/>
    <n v="2"/>
    <s v="Medium Spending"/>
    <n v="6"/>
    <s v="Midwest"/>
    <x v="7"/>
    <s v="Kansas City"/>
    <d v="2011-04-25T00:00:00"/>
    <n v="708.24699999999996"/>
  </r>
  <r>
    <n v="575"/>
    <s v="Young"/>
    <x v="1"/>
    <s v="Renting"/>
    <s v="No"/>
    <n v="0"/>
    <n v="12000"/>
    <n v="0"/>
    <s v="Low Spending"/>
    <n v="6"/>
    <s v="Midwest"/>
    <x v="7"/>
    <s v="Kansas City"/>
    <d v="2015-03-29T00:00:00"/>
    <n v="263.66399999999999"/>
  </r>
  <r>
    <n v="577"/>
    <s v="Middle Aged"/>
    <x v="1"/>
    <s v="Renting"/>
    <s v="Married"/>
    <n v="1"/>
    <n v="72100"/>
    <n v="0"/>
    <s v="High Spending"/>
    <n v="24"/>
    <s v="Midwest"/>
    <x v="7"/>
    <s v="Kansas City"/>
    <d v="2014-10-17T00:00:00"/>
    <n v="3052.4319999999998"/>
  </r>
  <r>
    <n v="604"/>
    <s v="Old"/>
    <x v="1"/>
    <s v="Renting"/>
    <s v="No"/>
    <n v="0"/>
    <n v="17900"/>
    <n v="0"/>
    <s v="Low Spending"/>
    <n v="6"/>
    <s v="Midwest"/>
    <x v="7"/>
    <s v="Kansas City"/>
    <d v="2010-02-21T00:00:00"/>
    <n v="445.98899999999998"/>
  </r>
  <r>
    <n v="606"/>
    <s v="Middle Aged"/>
    <x v="1"/>
    <s v="Own Home"/>
    <s v="No"/>
    <n v="1"/>
    <n v="46300"/>
    <n v="3"/>
    <s v="NA"/>
    <n v="6"/>
    <s v="Midwest"/>
    <x v="7"/>
    <s v="Kansas City"/>
    <d v="2015-08-20T00:00:00"/>
    <n v="1138.4849999999999"/>
  </r>
  <r>
    <n v="630"/>
    <s v="Middle Aged"/>
    <x v="1"/>
    <s v="Own Home"/>
    <s v="No"/>
    <n v="1"/>
    <n v="48700"/>
    <n v="2"/>
    <s v="Low Spending"/>
    <n v="12"/>
    <s v="Midwest"/>
    <x v="7"/>
    <s v="Kansas City"/>
    <d v="2013-06-17T00:00:00"/>
    <n v="527.53099999999995"/>
  </r>
  <r>
    <n v="644"/>
    <s v="Middle Aged"/>
    <x v="1"/>
    <s v="Renting"/>
    <s v="Married"/>
    <n v="1"/>
    <n v="135700"/>
    <n v="1"/>
    <s v="High Spending"/>
    <n v="24"/>
    <s v="Midwest"/>
    <x v="7"/>
    <s v="Kansas City"/>
    <d v="2012-09-21T00:00:00"/>
    <n v="2745.7550000000001"/>
  </r>
  <r>
    <n v="728"/>
    <s v="Young"/>
    <x v="0"/>
    <s v="Renting"/>
    <s v="No"/>
    <n v="1"/>
    <n v="26100"/>
    <n v="1"/>
    <s v="NA"/>
    <n v="6"/>
    <s v="Midwest"/>
    <x v="7"/>
    <s v="Kansas City"/>
    <d v="2015-03-05T00:00:00"/>
    <n v="494.38499999999999"/>
  </r>
  <r>
    <n v="743"/>
    <s v="Middle Aged"/>
    <x v="0"/>
    <s v="Own Home"/>
    <s v="No"/>
    <n v="0"/>
    <n v="70200"/>
    <n v="0"/>
    <s v="High Spending"/>
    <n v="12"/>
    <s v="Midwest"/>
    <x v="7"/>
    <s v="Kansas City"/>
    <d v="2010-02-17T00:00:00"/>
    <n v="1702.4380000000001"/>
  </r>
  <r>
    <n v="781"/>
    <s v="Young"/>
    <x v="1"/>
    <s v="Renting"/>
    <s v="No"/>
    <n v="1"/>
    <n v="11500"/>
    <n v="3"/>
    <s v="NA"/>
    <n v="6"/>
    <s v="Midwest"/>
    <x v="7"/>
    <s v="Kansas City"/>
    <d v="2015-02-15T00:00:00"/>
    <n v="156.56700000000001"/>
  </r>
  <r>
    <n v="790"/>
    <s v="Young"/>
    <x v="0"/>
    <s v="Renting"/>
    <s v="Married"/>
    <n v="0"/>
    <n v="55000"/>
    <n v="0"/>
    <s v="NA"/>
    <n v="12"/>
    <s v="Midwest"/>
    <x v="7"/>
    <s v="Kansas City"/>
    <d v="2015-08-06T00:00:00"/>
    <n v="1161.8689999999999"/>
  </r>
  <r>
    <n v="816"/>
    <s v="Middle Aged"/>
    <x v="0"/>
    <s v="Renting"/>
    <s v="No"/>
    <n v="1"/>
    <n v="53900"/>
    <n v="0"/>
    <s v="Medium Spending"/>
    <n v="12"/>
    <s v="Midwest"/>
    <x v="7"/>
    <s v="Kansas City"/>
    <d v="2013-09-23T00:00:00"/>
    <n v="1060.307"/>
  </r>
  <r>
    <n v="827"/>
    <s v="Young"/>
    <x v="1"/>
    <s v="Renting"/>
    <s v="No"/>
    <n v="0"/>
    <n v="17300"/>
    <n v="0"/>
    <s v="Low Spending"/>
    <n v="6"/>
    <s v="Midwest"/>
    <x v="7"/>
    <s v="Kansas City"/>
    <d v="2012-03-29T00:00:00"/>
    <n v="410.64499999999998"/>
  </r>
  <r>
    <n v="842"/>
    <s v="Middle Aged"/>
    <x v="1"/>
    <s v="Own Home"/>
    <s v="Married"/>
    <n v="1"/>
    <n v="131500"/>
    <n v="3"/>
    <s v="NA"/>
    <n v="6"/>
    <s v="Midwest"/>
    <x v="7"/>
    <s v="Kansas City"/>
    <d v="2015-06-16T00:00:00"/>
    <n v="2840.2179999999998"/>
  </r>
  <r>
    <n v="856"/>
    <s v="Middle Aged"/>
    <x v="0"/>
    <s v="Own Home"/>
    <s v="Married"/>
    <n v="0"/>
    <n v="108000"/>
    <n v="3"/>
    <s v="High Spending"/>
    <n v="24"/>
    <s v="Midwest"/>
    <x v="7"/>
    <s v="Kansas City"/>
    <d v="2012-03-23T00:00:00"/>
    <n v="1849.49"/>
  </r>
  <r>
    <n v="872"/>
    <s v="Young"/>
    <x v="1"/>
    <s v="Renting"/>
    <s v="No"/>
    <n v="1"/>
    <n v="16900"/>
    <n v="1"/>
    <s v="Low Spending"/>
    <n v="6"/>
    <s v="Midwest"/>
    <x v="7"/>
    <s v="Kansas City"/>
    <d v="2011-07-19T00:00:00"/>
    <n v="247.334"/>
  </r>
  <r>
    <n v="972"/>
    <s v="Middle Aged"/>
    <x v="0"/>
    <s v="Own Home"/>
    <s v="Married"/>
    <n v="1"/>
    <n v="92300"/>
    <n v="1"/>
    <s v="NA"/>
    <n v="24"/>
    <s v="Midwest"/>
    <x v="7"/>
    <s v="Kansas City"/>
    <d v="2015-04-24T00:00:00"/>
    <n v="2140.549"/>
  </r>
  <r>
    <n v="983"/>
    <s v="Young"/>
    <x v="1"/>
    <s v="Own Home"/>
    <s v="No"/>
    <n v="0"/>
    <n v="41000"/>
    <n v="1"/>
    <s v="Medium Spending"/>
    <n v="12"/>
    <s v="Midwest"/>
    <x v="7"/>
    <s v="Kansas City"/>
    <d v="2013-04-13T00:00:00"/>
    <n v="767.721"/>
  </r>
  <r>
    <n v="988"/>
    <s v="Middle Aged"/>
    <x v="0"/>
    <s v="Own Home"/>
    <s v="Married"/>
    <n v="0"/>
    <n v="81200"/>
    <n v="0"/>
    <s v="High Spending"/>
    <n v="12"/>
    <s v="Midwest"/>
    <x v="7"/>
    <s v="Kansas City"/>
    <d v="2010-11-30T00:00:00"/>
    <n v="2692.5430000000001"/>
  </r>
  <r>
    <n v="992"/>
    <s v="Middle Aged"/>
    <x v="0"/>
    <s v="Own Home"/>
    <s v="Married"/>
    <n v="1"/>
    <n v="65900"/>
    <n v="1"/>
    <s v="Medium Spending"/>
    <n v="12"/>
    <s v="Midwest"/>
    <x v="7"/>
    <s v="Kansas City"/>
    <d v="2011-12-26T00:00:00"/>
    <n v="1081.05"/>
  </r>
  <r>
    <n v="15"/>
    <s v="Middle Aged"/>
    <x v="1"/>
    <s v="Own Home"/>
    <s v="Married"/>
    <n v="1"/>
    <n v="82200"/>
    <n v="1"/>
    <s v="NA"/>
    <n v="12"/>
    <s v="West"/>
    <x v="8"/>
    <s v="Los Angeles"/>
    <d v="2015-04-15T00:00:00"/>
    <n v="1517.4069999999999"/>
  </r>
  <r>
    <n v="27"/>
    <s v="Middle Aged"/>
    <x v="1"/>
    <s v="Own Home"/>
    <s v="No"/>
    <n v="1"/>
    <n v="51300"/>
    <n v="0"/>
    <s v="Medium Spending"/>
    <n v="24"/>
    <s v="West"/>
    <x v="8"/>
    <s v="Los Angeles"/>
    <d v="2014-12-26T00:00:00"/>
    <n v="1423.5889999999999"/>
  </r>
  <r>
    <n v="58"/>
    <s v="Old"/>
    <x v="0"/>
    <s v="Own Home"/>
    <s v="No"/>
    <n v="1"/>
    <n v="65300"/>
    <n v="0"/>
    <s v="High Spending"/>
    <n v="18"/>
    <s v="West"/>
    <x v="8"/>
    <s v="Los Angeles"/>
    <d v="2012-02-09T00:00:00"/>
    <n v="1443.44"/>
  </r>
  <r>
    <n v="70"/>
    <s v="Middle Aged"/>
    <x v="0"/>
    <s v="Own Home"/>
    <s v="Married"/>
    <n v="0"/>
    <n v="75500"/>
    <n v="0"/>
    <s v="NA"/>
    <n v="18"/>
    <s v="West"/>
    <x v="8"/>
    <s v="Los Angeles"/>
    <d v="2015-07-02T00:00:00"/>
    <n v="2449.6579999999999"/>
  </r>
  <r>
    <n v="79"/>
    <s v="Middle Aged"/>
    <x v="1"/>
    <s v="Own Home"/>
    <s v="Married"/>
    <n v="1"/>
    <n v="82000"/>
    <n v="0"/>
    <s v="High Spending"/>
    <n v="18"/>
    <s v="West"/>
    <x v="8"/>
    <s v="Los Angeles"/>
    <d v="2013-06-24T00:00:00"/>
    <n v="1799.7629999999999"/>
  </r>
  <r>
    <n v="80"/>
    <s v="Middle Aged"/>
    <x v="1"/>
    <s v="Renting"/>
    <s v="Married"/>
    <n v="1"/>
    <n v="63500"/>
    <n v="1"/>
    <s v="Medium Spending"/>
    <n v="18"/>
    <s v="West"/>
    <x v="8"/>
    <s v="Los Angeles"/>
    <d v="2011-08-17T00:00:00"/>
    <n v="1023.379"/>
  </r>
  <r>
    <n v="125"/>
    <s v="Old"/>
    <x v="1"/>
    <s v="Renting"/>
    <s v="Married"/>
    <n v="1"/>
    <n v="39500"/>
    <n v="0"/>
    <s v="Medium Spending"/>
    <n v="12"/>
    <s v="West"/>
    <x v="8"/>
    <s v="Los Angeles"/>
    <d v="2015-03-12T00:00:00"/>
    <n v="1006.258"/>
  </r>
  <r>
    <n v="130"/>
    <s v="Middle Aged"/>
    <x v="0"/>
    <s v="Renting"/>
    <s v="No"/>
    <n v="1"/>
    <n v="57800"/>
    <n v="0"/>
    <s v="Medium Spending"/>
    <n v="24"/>
    <s v="West"/>
    <x v="8"/>
    <s v="Los Angeles"/>
    <d v="2012-07-21T00:00:00"/>
    <n v="1148.6099999999999"/>
  </r>
  <r>
    <n v="173"/>
    <s v="Middle Aged"/>
    <x v="0"/>
    <s v="Own Home"/>
    <s v="Married"/>
    <n v="1"/>
    <n v="87200"/>
    <n v="0"/>
    <s v="High Spending"/>
    <n v="18"/>
    <s v="West"/>
    <x v="8"/>
    <s v="Los Angeles"/>
    <d v="2012-07-02T00:00:00"/>
    <n v="1273.7570000000001"/>
  </r>
  <r>
    <n v="178"/>
    <s v="Middle Aged"/>
    <x v="1"/>
    <s v="Own Home"/>
    <s v="No"/>
    <n v="1"/>
    <n v="35200"/>
    <n v="0"/>
    <s v="Medium Spending"/>
    <n v="12"/>
    <s v="West"/>
    <x v="8"/>
    <s v="Los Angeles"/>
    <d v="2012-07-05T00:00:00"/>
    <n v="606.50699999999995"/>
  </r>
  <r>
    <n v="205"/>
    <s v="Old"/>
    <x v="0"/>
    <s v="Own Home"/>
    <s v="Married"/>
    <n v="1"/>
    <n v="108900"/>
    <n v="0"/>
    <s v="High Spending"/>
    <n v="12"/>
    <s v="West"/>
    <x v="8"/>
    <s v="Los Angeles"/>
    <d v="2014-10-29T00:00:00"/>
    <n v="1841.405"/>
  </r>
  <r>
    <n v="228"/>
    <s v="Old"/>
    <x v="1"/>
    <s v="Renting"/>
    <s v="Married"/>
    <n v="1"/>
    <n v="68600"/>
    <n v="0"/>
    <s v="High Spending"/>
    <n v="18"/>
    <s v="West"/>
    <x v="8"/>
    <s v="Los Angeles"/>
    <d v="2014-11-02T00:00:00"/>
    <n v="1341.8689999999999"/>
  </r>
  <r>
    <n v="289"/>
    <s v="Young"/>
    <x v="1"/>
    <s v="Own Home"/>
    <s v="No"/>
    <n v="1"/>
    <n v="20300"/>
    <n v="1"/>
    <s v="Low Spending"/>
    <n v="12"/>
    <s v="West"/>
    <x v="8"/>
    <s v="Los Angeles"/>
    <d v="2010-09-09T00:00:00"/>
    <n v="304.464"/>
  </r>
  <r>
    <n v="364"/>
    <s v="Old"/>
    <x v="0"/>
    <s v="Own Home"/>
    <s v="Married"/>
    <n v="0"/>
    <n v="33000"/>
    <n v="0"/>
    <s v="Medium Spending"/>
    <n v="12"/>
    <s v="West"/>
    <x v="8"/>
    <s v="Los Angeles"/>
    <d v="2013-02-27T00:00:00"/>
    <n v="978.798"/>
  </r>
  <r>
    <n v="386"/>
    <s v="Young"/>
    <x v="0"/>
    <s v="Renting"/>
    <s v="No"/>
    <n v="1"/>
    <n v="23500"/>
    <n v="0"/>
    <s v="Low Spending"/>
    <n v="12"/>
    <s v="West"/>
    <x v="8"/>
    <s v="Los Angeles"/>
    <d v="2013-02-18T00:00:00"/>
    <n v="371.30500000000001"/>
  </r>
  <r>
    <n v="392"/>
    <s v="Middle Aged"/>
    <x v="0"/>
    <s v="Own Home"/>
    <s v="Married"/>
    <n v="1"/>
    <n v="53700"/>
    <n v="1"/>
    <s v="NA"/>
    <n v="12"/>
    <s v="West"/>
    <x v="8"/>
    <s v="Los Angeles"/>
    <d v="2015-03-14T00:00:00"/>
    <n v="1080.982"/>
  </r>
  <r>
    <n v="393"/>
    <s v="Middle Aged"/>
    <x v="0"/>
    <s v="Renting"/>
    <s v="No"/>
    <n v="0"/>
    <n v="38700"/>
    <n v="1"/>
    <s v="Medium Spending"/>
    <n v="18"/>
    <s v="West"/>
    <x v="8"/>
    <s v="Los Angeles"/>
    <d v="2010-06-03T00:00:00"/>
    <n v="1009.45"/>
  </r>
  <r>
    <n v="400"/>
    <s v="Young"/>
    <x v="1"/>
    <s v="Renting"/>
    <s v="No"/>
    <n v="1"/>
    <n v="16700"/>
    <n v="2"/>
    <s v="Low Spending"/>
    <n v="12"/>
    <s v="West"/>
    <x v="8"/>
    <s v="Los Angeles"/>
    <d v="2009-07-15T00:00:00"/>
    <n v="108.051"/>
  </r>
  <r>
    <n v="416"/>
    <s v="Young"/>
    <x v="1"/>
    <s v="Own Home"/>
    <s v="No"/>
    <n v="0"/>
    <n v="21400"/>
    <n v="3"/>
    <s v="NA"/>
    <n v="6"/>
    <s v="West"/>
    <x v="8"/>
    <s v="Los Angeles"/>
    <d v="2015-04-08T00:00:00"/>
    <n v="326.3"/>
  </r>
  <r>
    <n v="433"/>
    <s v="Young"/>
    <x v="1"/>
    <s v="Renting"/>
    <s v="No"/>
    <n v="1"/>
    <n v="22000"/>
    <n v="1"/>
    <s v="Low Spending"/>
    <n v="12"/>
    <s v="West"/>
    <x v="8"/>
    <s v="Los Angeles"/>
    <d v="2012-03-11T00:00:00"/>
    <n v="471.72500000000002"/>
  </r>
  <r>
    <n v="460"/>
    <s v="Young"/>
    <x v="1"/>
    <s v="Renting"/>
    <s v="No"/>
    <n v="1"/>
    <n v="15600"/>
    <n v="0"/>
    <s v="NA"/>
    <n v="12"/>
    <s v="West"/>
    <x v="8"/>
    <s v="Los Angeles"/>
    <d v="2015-02-22T00:00:00"/>
    <n v="468.32900000000001"/>
  </r>
  <r>
    <n v="510"/>
    <s v="Middle Aged"/>
    <x v="1"/>
    <s v="Renting"/>
    <s v="No"/>
    <n v="0"/>
    <n v="35600"/>
    <n v="3"/>
    <s v="Low Spending"/>
    <n v="18"/>
    <s v="West"/>
    <x v="8"/>
    <s v="Los Angeles"/>
    <d v="2014-10-17T00:00:00"/>
    <n v="865.08500000000004"/>
  </r>
  <r>
    <n v="615"/>
    <s v="Young"/>
    <x v="1"/>
    <s v="Renting"/>
    <s v="No"/>
    <n v="1"/>
    <n v="19100"/>
    <n v="1"/>
    <s v="Low Spending"/>
    <n v="18"/>
    <s v="West"/>
    <x v="8"/>
    <s v="Los Angeles"/>
    <d v="2010-02-19T00:00:00"/>
    <n v="403.47399999999999"/>
  </r>
  <r>
    <n v="620"/>
    <s v="Young"/>
    <x v="1"/>
    <s v="Renting"/>
    <s v="No"/>
    <n v="1"/>
    <n v="17900"/>
    <n v="3"/>
    <s v="Low Spending"/>
    <n v="6"/>
    <s v="West"/>
    <x v="8"/>
    <s v="Los Angeles"/>
    <d v="2011-07-03T00:00:00"/>
    <n v="62.119"/>
  </r>
  <r>
    <n v="672"/>
    <s v="Young"/>
    <x v="1"/>
    <s v="Renting"/>
    <s v="Married"/>
    <n v="1"/>
    <n v="69700"/>
    <n v="2"/>
    <s v="Medium Spending"/>
    <n v="6"/>
    <s v="West"/>
    <x v="8"/>
    <s v="Los Angeles"/>
    <d v="2010-07-08T00:00:00"/>
    <n v="584.11900000000003"/>
  </r>
  <r>
    <n v="680"/>
    <s v="Young"/>
    <x v="0"/>
    <s v="Renting"/>
    <s v="No"/>
    <n v="1"/>
    <n v="17600"/>
    <n v="0"/>
    <s v="NA"/>
    <n v="6"/>
    <s v="West"/>
    <x v="8"/>
    <s v="Los Angeles"/>
    <d v="2015-05-10T00:00:00"/>
    <n v="273.072"/>
  </r>
  <r>
    <n v="738"/>
    <s v="Old"/>
    <x v="1"/>
    <s v="Own Home"/>
    <s v="No"/>
    <n v="0"/>
    <n v="16300"/>
    <n v="0"/>
    <s v="Low Spending"/>
    <n v="6"/>
    <s v="West"/>
    <x v="8"/>
    <s v="Los Angeles"/>
    <d v="2011-09-19T00:00:00"/>
    <n v="316.86"/>
  </r>
  <r>
    <n v="739"/>
    <s v="Middle Aged"/>
    <x v="1"/>
    <s v="Renting"/>
    <s v="No"/>
    <n v="0"/>
    <n v="45600"/>
    <n v="0"/>
    <s v="High Spending"/>
    <n v="12"/>
    <s v="West"/>
    <x v="8"/>
    <s v="Los Angeles"/>
    <d v="2012-09-23T00:00:00"/>
    <n v="1321.529"/>
  </r>
  <r>
    <n v="745"/>
    <s v="Middle Aged"/>
    <x v="0"/>
    <s v="Renting"/>
    <s v="Married"/>
    <n v="1"/>
    <n v="118800"/>
    <n v="0"/>
    <s v="High Spending"/>
    <n v="12"/>
    <s v="West"/>
    <x v="8"/>
    <s v="Los Angeles"/>
    <d v="2015-05-01T00:00:00"/>
    <n v="2630.9369999999999"/>
  </r>
  <r>
    <n v="799"/>
    <s v="Middle Aged"/>
    <x v="0"/>
    <s v="Own Home"/>
    <s v="Married"/>
    <n v="0"/>
    <n v="111800"/>
    <n v="3"/>
    <s v="High Spending"/>
    <n v="18"/>
    <s v="West"/>
    <x v="8"/>
    <s v="Los Angeles"/>
    <d v="2012-12-04T00:00:00"/>
    <n v="2065.4650000000001"/>
  </r>
  <r>
    <n v="818"/>
    <s v="Young"/>
    <x v="0"/>
    <s v="Renting"/>
    <s v="No"/>
    <n v="0"/>
    <n v="19000"/>
    <n v="0"/>
    <s v="NA"/>
    <n v="12"/>
    <s v="West"/>
    <x v="8"/>
    <s v="Los Angeles"/>
    <d v="2015-05-02T00:00:00"/>
    <n v="427.68299999999999"/>
  </r>
  <r>
    <n v="848"/>
    <s v="Old"/>
    <x v="1"/>
    <s v="Own Home"/>
    <s v="Married"/>
    <n v="0"/>
    <n v="78900"/>
    <n v="0"/>
    <s v="High Spending"/>
    <n v="18"/>
    <s v="West"/>
    <x v="8"/>
    <s v="Los Angeles"/>
    <d v="2011-09-04T00:00:00"/>
    <n v="2233.0770000000002"/>
  </r>
  <r>
    <n v="858"/>
    <s v="Old"/>
    <x v="0"/>
    <s v="Own Home"/>
    <s v="No"/>
    <n v="1"/>
    <n v="69100"/>
    <n v="0"/>
    <s v="High Spending"/>
    <n v="12"/>
    <s v="West"/>
    <x v="8"/>
    <s v="Los Angeles"/>
    <d v="2014-07-28T00:00:00"/>
    <n v="1477.1410000000001"/>
  </r>
  <r>
    <n v="875"/>
    <s v="Old"/>
    <x v="1"/>
    <s v="Own Home"/>
    <s v="Married"/>
    <n v="1"/>
    <n v="26700"/>
    <n v="0"/>
    <s v="Low Spending"/>
    <n v="24"/>
    <s v="West"/>
    <x v="8"/>
    <s v="Los Angeles"/>
    <d v="2009-07-11T00:00:00"/>
    <n v="1119.8019999999999"/>
  </r>
  <r>
    <n v="893"/>
    <s v="Young"/>
    <x v="0"/>
    <s v="Renting"/>
    <s v="No"/>
    <n v="1"/>
    <n v="10200"/>
    <n v="0"/>
    <s v="NA"/>
    <n v="24"/>
    <s v="West"/>
    <x v="8"/>
    <s v="Los Angeles"/>
    <d v="2015-04-04T00:00:00"/>
    <n v="361.78899999999999"/>
  </r>
  <r>
    <n v="894"/>
    <s v="Middle Aged"/>
    <x v="0"/>
    <s v="Renting"/>
    <s v="No"/>
    <n v="0"/>
    <n v="49000"/>
    <n v="0"/>
    <s v="High Spending"/>
    <n v="18"/>
    <s v="West"/>
    <x v="8"/>
    <s v="Los Angeles"/>
    <d v="2011-06-10T00:00:00"/>
    <n v="1523.3789999999999"/>
  </r>
  <r>
    <n v="919"/>
    <s v="Old"/>
    <x v="1"/>
    <s v="Renting"/>
    <s v="No"/>
    <n v="1"/>
    <n v="14600"/>
    <n v="1"/>
    <s v="Low Spending"/>
    <n v="24"/>
    <s v="West"/>
    <x v="8"/>
    <s v="Los Angeles"/>
    <d v="2015-07-05T00:00:00"/>
    <n v="384.94600000000003"/>
  </r>
  <r>
    <n v="977"/>
    <s v="Young"/>
    <x v="0"/>
    <s v="Own Home"/>
    <s v="Married"/>
    <n v="1"/>
    <n v="73000"/>
    <n v="0"/>
    <s v="NA"/>
    <n v="6"/>
    <s v="West"/>
    <x v="8"/>
    <s v="Los Angeles"/>
    <d v="2015-04-02T00:00:00"/>
    <n v="1534.3979999999999"/>
  </r>
  <r>
    <n v="53"/>
    <s v="Young"/>
    <x v="1"/>
    <s v="Renting"/>
    <s v="No"/>
    <n v="0"/>
    <n v="12600"/>
    <n v="0"/>
    <s v="Low Spending"/>
    <n v="6"/>
    <s v="Midwest"/>
    <x v="9"/>
    <s v="Louisville"/>
    <d v="2011-10-14T00:00:00"/>
    <n v="241.113"/>
  </r>
  <r>
    <n v="104"/>
    <s v="Young"/>
    <x v="1"/>
    <s v="Renting"/>
    <s v="No"/>
    <n v="1"/>
    <n v="13700"/>
    <n v="1"/>
    <s v="NA"/>
    <n v="6"/>
    <s v="Midwest"/>
    <x v="9"/>
    <s v="Louisville"/>
    <d v="2015-05-19T00:00:00"/>
    <n v="162.971"/>
  </r>
  <r>
    <n v="107"/>
    <s v="Old"/>
    <x v="1"/>
    <s v="Own Home"/>
    <s v="Married"/>
    <n v="0"/>
    <n v="128700"/>
    <n v="0"/>
    <s v="High Spending"/>
    <n v="24"/>
    <s v="Midwest"/>
    <x v="9"/>
    <s v="Louisville"/>
    <d v="2014-02-08T00:00:00"/>
    <n v="3995.0120000000002"/>
  </r>
  <r>
    <n v="154"/>
    <s v="Middle Aged"/>
    <x v="1"/>
    <s v="Own Home"/>
    <s v="Married"/>
    <n v="0"/>
    <n v="96800"/>
    <n v="3"/>
    <s v="NA"/>
    <n v="24"/>
    <s v="Midwest"/>
    <x v="9"/>
    <s v="Louisville"/>
    <d v="2015-04-28T00:00:00"/>
    <n v="3081.5630000000001"/>
  </r>
  <r>
    <n v="182"/>
    <s v="Middle Aged"/>
    <x v="1"/>
    <s v="Own Home"/>
    <s v="Married"/>
    <n v="1"/>
    <n v="49700"/>
    <n v="2"/>
    <s v="Low Spending"/>
    <n v="18"/>
    <s v="Midwest"/>
    <x v="9"/>
    <s v="Louisville"/>
    <d v="2013-11-18T00:00:00"/>
    <n v="613.09699999999998"/>
  </r>
  <r>
    <n v="202"/>
    <s v="Old"/>
    <x v="1"/>
    <s v="Own Home"/>
    <s v="Married"/>
    <n v="0"/>
    <n v="70400"/>
    <n v="0"/>
    <s v="High Spending"/>
    <n v="18"/>
    <s v="Midwest"/>
    <x v="9"/>
    <s v="Louisville"/>
    <d v="2011-04-11T00:00:00"/>
    <n v="2609.7919999999999"/>
  </r>
  <r>
    <n v="224"/>
    <s v="Middle Aged"/>
    <x v="1"/>
    <s v="Renting"/>
    <s v="Married"/>
    <n v="1"/>
    <n v="40500"/>
    <n v="2"/>
    <s v="Low Spending"/>
    <n v="18"/>
    <s v="Midwest"/>
    <x v="9"/>
    <s v="Louisville"/>
    <d v="2011-10-01T00:00:00"/>
    <n v="622.01800000000003"/>
  </r>
  <r>
    <n v="229"/>
    <s v="Middle Aged"/>
    <x v="0"/>
    <s v="Renting"/>
    <s v="No"/>
    <n v="1"/>
    <n v="60400"/>
    <n v="1"/>
    <s v="Medium Spending"/>
    <n v="6"/>
    <s v="Midwest"/>
    <x v="9"/>
    <s v="Louisville"/>
    <d v="2013-04-13T00:00:00"/>
    <n v="791.23599999999999"/>
  </r>
  <r>
    <n v="230"/>
    <s v="Middle Aged"/>
    <x v="0"/>
    <s v="Own Home"/>
    <s v="Married"/>
    <n v="0"/>
    <n v="130600"/>
    <n v="0"/>
    <s v="High Spending"/>
    <n v="18"/>
    <s v="Midwest"/>
    <x v="9"/>
    <s v="Louisville"/>
    <d v="2014-10-16T00:00:00"/>
    <n v="3441.549"/>
  </r>
  <r>
    <n v="232"/>
    <s v="Old"/>
    <x v="1"/>
    <s v="Own Home"/>
    <s v="No"/>
    <n v="1"/>
    <n v="23800"/>
    <n v="0"/>
    <s v="Low Spending"/>
    <n v="6"/>
    <s v="Midwest"/>
    <x v="9"/>
    <s v="Louisville"/>
    <d v="2010-02-14T00:00:00"/>
    <n v="438.49599999999998"/>
  </r>
  <r>
    <n v="245"/>
    <s v="Middle Aged"/>
    <x v="0"/>
    <s v="Own Home"/>
    <s v="No"/>
    <n v="0"/>
    <n v="55600"/>
    <n v="0"/>
    <s v="High Spending"/>
    <n v="18"/>
    <s v="Midwest"/>
    <x v="9"/>
    <s v="Louisville"/>
    <d v="2009-10-17T00:00:00"/>
    <n v="1786.4970000000001"/>
  </r>
  <r>
    <n v="256"/>
    <s v="Old"/>
    <x v="1"/>
    <s v="Own Home"/>
    <s v="Married"/>
    <n v="1"/>
    <n v="49200"/>
    <n v="0"/>
    <s v="Medium Spending"/>
    <n v="12"/>
    <s v="Midwest"/>
    <x v="9"/>
    <s v="Louisville"/>
    <d v="2014-09-14T00:00:00"/>
    <n v="1077.723"/>
  </r>
  <r>
    <n v="258"/>
    <s v="Young"/>
    <x v="1"/>
    <s v="Renting"/>
    <s v="No"/>
    <n v="1"/>
    <n v="14000"/>
    <n v="0"/>
    <s v="Low Spending"/>
    <n v="12"/>
    <s v="Midwest"/>
    <x v="9"/>
    <s v="Louisville"/>
    <d v="2010-12-14T00:00:00"/>
    <n v="229.20099999999999"/>
  </r>
  <r>
    <n v="270"/>
    <s v="Young"/>
    <x v="0"/>
    <s v="Renting"/>
    <s v="Married"/>
    <n v="0"/>
    <n v="63300"/>
    <n v="3"/>
    <s v="NA"/>
    <n v="6"/>
    <s v="Midwest"/>
    <x v="9"/>
    <s v="Louisville"/>
    <d v="2015-08-25T00:00:00"/>
    <n v="1408.105"/>
  </r>
  <r>
    <n v="283"/>
    <s v="Middle Aged"/>
    <x v="1"/>
    <s v="Own Home"/>
    <s v="No"/>
    <n v="1"/>
    <n v="46600"/>
    <n v="3"/>
    <s v="Low Spending"/>
    <n v="6"/>
    <s v="Midwest"/>
    <x v="9"/>
    <s v="Louisville"/>
    <d v="2011-03-12T00:00:00"/>
    <n v="157.917"/>
  </r>
  <r>
    <n v="299"/>
    <s v="Middle Aged"/>
    <x v="1"/>
    <s v="Renting"/>
    <s v="No"/>
    <n v="0"/>
    <n v="44800"/>
    <n v="1"/>
    <s v="Medium Spending"/>
    <n v="6"/>
    <s v="Midwest"/>
    <x v="9"/>
    <s v="Louisville"/>
    <d v="2012-08-29T00:00:00"/>
    <n v="666.46400000000006"/>
  </r>
  <r>
    <n v="369"/>
    <s v="Middle Aged"/>
    <x v="0"/>
    <s v="Own Home"/>
    <s v="Married"/>
    <n v="0"/>
    <n v="113400"/>
    <n v="3"/>
    <s v="High Spending"/>
    <n v="18"/>
    <s v="Midwest"/>
    <x v="9"/>
    <s v="Louisville"/>
    <d v="2014-11-25T00:00:00"/>
    <n v="1790.4010000000001"/>
  </r>
  <r>
    <n v="372"/>
    <s v="Middle Aged"/>
    <x v="0"/>
    <s v="Own Home"/>
    <s v="Married"/>
    <n v="1"/>
    <n v="82500"/>
    <n v="0"/>
    <s v="High Spending"/>
    <n v="6"/>
    <s v="Midwest"/>
    <x v="9"/>
    <s v="Louisville"/>
    <d v="2015-06-17T00:00:00"/>
    <n v="859.42600000000004"/>
  </r>
  <r>
    <n v="399"/>
    <s v="Young"/>
    <x v="1"/>
    <s v="Renting"/>
    <s v="No"/>
    <n v="1"/>
    <n v="12000"/>
    <n v="0"/>
    <s v="Low Spending"/>
    <n v="24"/>
    <s v="Midwest"/>
    <x v="9"/>
    <s v="Louisville"/>
    <d v="2012-08-14T00:00:00"/>
    <n v="343.80399999999997"/>
  </r>
  <r>
    <n v="429"/>
    <s v="Middle Aged"/>
    <x v="0"/>
    <s v="Own Home"/>
    <s v="Married"/>
    <n v="1"/>
    <n v="113000"/>
    <n v="2"/>
    <s v="Medium Spending"/>
    <n v="18"/>
    <s v="Midwest"/>
    <x v="9"/>
    <s v="Louisville"/>
    <d v="2014-06-15T00:00:00"/>
    <n v="1554.1210000000001"/>
  </r>
  <r>
    <n v="463"/>
    <s v="Young"/>
    <x v="1"/>
    <s v="Renting"/>
    <s v="No"/>
    <n v="1"/>
    <n v="17300"/>
    <n v="0"/>
    <s v="Low Spending"/>
    <n v="12"/>
    <s v="Midwest"/>
    <x v="9"/>
    <s v="Louisville"/>
    <d v="2013-03-24T00:00:00"/>
    <n v="345.34800000000001"/>
  </r>
  <r>
    <n v="517"/>
    <s v="Old"/>
    <x v="1"/>
    <s v="Own Home"/>
    <s v="Married"/>
    <n v="1"/>
    <n v="61000"/>
    <n v="0"/>
    <s v="NA"/>
    <n v="18"/>
    <s v="Midwest"/>
    <x v="9"/>
    <s v="Louisville"/>
    <d v="2015-01-06T00:00:00"/>
    <n v="1849.538"/>
  </r>
  <r>
    <n v="540"/>
    <s v="Young"/>
    <x v="1"/>
    <s v="Own Home"/>
    <s v="Married"/>
    <n v="1"/>
    <n v="42400"/>
    <n v="1"/>
    <s v="NA"/>
    <n v="18"/>
    <s v="Midwest"/>
    <x v="9"/>
    <s v="Louisville"/>
    <d v="2015-08-27T00:00:00"/>
    <n v="1165.6089999999999"/>
  </r>
  <r>
    <n v="553"/>
    <s v="Old"/>
    <x v="1"/>
    <s v="Own Home"/>
    <s v="Married"/>
    <n v="0"/>
    <n v="40100"/>
    <n v="0"/>
    <s v="Medium Spending"/>
    <n v="12"/>
    <s v="Midwest"/>
    <x v="9"/>
    <s v="Louisville"/>
    <d v="2011-06-03T00:00:00"/>
    <n v="1383.8789999999999"/>
  </r>
  <r>
    <n v="583"/>
    <s v="Middle Aged"/>
    <x v="1"/>
    <s v="Own Home"/>
    <s v="Married"/>
    <n v="0"/>
    <n v="52300"/>
    <n v="1"/>
    <s v="High Spending"/>
    <n v="18"/>
    <s v="Midwest"/>
    <x v="9"/>
    <s v="Louisville"/>
    <d v="2010-06-07T00:00:00"/>
    <n v="2034.4639999999999"/>
  </r>
  <r>
    <n v="596"/>
    <s v="Middle Aged"/>
    <x v="0"/>
    <s v="Own Home"/>
    <s v="Married"/>
    <n v="1"/>
    <n v="102300"/>
    <n v="0"/>
    <s v="High Spending"/>
    <n v="24"/>
    <s v="Midwest"/>
    <x v="9"/>
    <s v="Louisville"/>
    <d v="2011-08-09T00:00:00"/>
    <n v="2437.808"/>
  </r>
  <r>
    <n v="613"/>
    <s v="Old"/>
    <x v="0"/>
    <s v="Own Home"/>
    <s v="Married"/>
    <n v="1"/>
    <n v="106600"/>
    <n v="0"/>
    <s v="High Spending"/>
    <n v="12"/>
    <s v="Midwest"/>
    <x v="9"/>
    <s v="Louisville"/>
    <d v="2013-05-22T00:00:00"/>
    <n v="1876.7570000000001"/>
  </r>
  <r>
    <n v="624"/>
    <s v="Old"/>
    <x v="1"/>
    <s v="Own Home"/>
    <s v="Married"/>
    <n v="1"/>
    <n v="65900"/>
    <n v="0"/>
    <s v="High Spending"/>
    <n v="24"/>
    <s v="Midwest"/>
    <x v="9"/>
    <s v="Louisville"/>
    <d v="2012-08-30T00:00:00"/>
    <n v="1436.43"/>
  </r>
  <r>
    <n v="627"/>
    <s v="Old"/>
    <x v="1"/>
    <s v="Own Home"/>
    <s v="Married"/>
    <n v="0"/>
    <n v="33600"/>
    <n v="2"/>
    <s v="Medium Spending"/>
    <n v="12"/>
    <s v="Midwest"/>
    <x v="9"/>
    <s v="Louisville"/>
    <d v="2010-07-24T00:00:00"/>
    <n v="805.24"/>
  </r>
  <r>
    <n v="636"/>
    <s v="Young"/>
    <x v="1"/>
    <s v="Renting"/>
    <s v="No"/>
    <n v="1"/>
    <n v="27000"/>
    <n v="1"/>
    <s v="NA"/>
    <n v="24"/>
    <s v="Midwest"/>
    <x v="9"/>
    <s v="Louisville"/>
    <d v="2015-07-27T00:00:00"/>
    <n v="1011.587"/>
  </r>
  <r>
    <n v="671"/>
    <s v="Middle Aged"/>
    <x v="1"/>
    <s v="Renting"/>
    <s v="No"/>
    <n v="1"/>
    <n v="40200"/>
    <n v="1"/>
    <s v="NA"/>
    <n v="12"/>
    <s v="Midwest"/>
    <x v="9"/>
    <s v="Louisville"/>
    <d v="2015-07-23T00:00:00"/>
    <n v="880.59500000000003"/>
  </r>
  <r>
    <n v="690"/>
    <s v="Young"/>
    <x v="1"/>
    <s v="Own Home"/>
    <s v="No"/>
    <n v="1"/>
    <n v="44700"/>
    <n v="1"/>
    <s v="Medium Spending"/>
    <n v="6"/>
    <s v="Midwest"/>
    <x v="9"/>
    <s v="Louisville"/>
    <d v="2014-01-30T00:00:00"/>
    <n v="501.66"/>
  </r>
  <r>
    <n v="763"/>
    <s v="Middle Aged"/>
    <x v="1"/>
    <s v="Own Home"/>
    <s v="Married"/>
    <n v="1"/>
    <n v="85500"/>
    <n v="2"/>
    <s v="Medium Spending"/>
    <n v="18"/>
    <s v="Midwest"/>
    <x v="9"/>
    <s v="Louisville"/>
    <d v="2014-07-03T00:00:00"/>
    <n v="894.66800000000001"/>
  </r>
  <r>
    <n v="792"/>
    <s v="Middle Aged"/>
    <x v="0"/>
    <s v="Own Home"/>
    <s v="Married"/>
    <n v="1"/>
    <n v="102400"/>
    <n v="1"/>
    <s v="NA"/>
    <n v="12"/>
    <s v="Midwest"/>
    <x v="9"/>
    <s v="Louisville"/>
    <d v="2015-07-13T00:00:00"/>
    <n v="2465.7530000000002"/>
  </r>
  <r>
    <n v="801"/>
    <s v="Middle Aged"/>
    <x v="0"/>
    <s v="Own Home"/>
    <s v="No"/>
    <n v="1"/>
    <n v="64200"/>
    <n v="0"/>
    <s v="High Spending"/>
    <n v="18"/>
    <s v="Midwest"/>
    <x v="9"/>
    <s v="Louisville"/>
    <d v="2014-06-06T00:00:00"/>
    <n v="1641.8589999999999"/>
  </r>
  <r>
    <n v="803"/>
    <s v="Middle Aged"/>
    <x v="1"/>
    <s v="Own Home"/>
    <s v="Married"/>
    <n v="1"/>
    <n v="72200"/>
    <n v="2"/>
    <s v="Medium Spending"/>
    <n v="18"/>
    <s v="Midwest"/>
    <x v="9"/>
    <s v="Louisville"/>
    <d v="2014-05-29T00:00:00"/>
    <n v="714.55499999999995"/>
  </r>
  <r>
    <n v="837"/>
    <s v="Middle Aged"/>
    <x v="0"/>
    <s v="Own Home"/>
    <s v="No"/>
    <n v="1"/>
    <n v="62700"/>
    <n v="2"/>
    <s v="Medium Spending"/>
    <n v="12"/>
    <s v="Midwest"/>
    <x v="9"/>
    <s v="Louisville"/>
    <d v="2015-03-03T00:00:00"/>
    <n v="703.95500000000004"/>
  </r>
  <r>
    <n v="839"/>
    <s v="Young"/>
    <x v="1"/>
    <s v="Renting"/>
    <s v="No"/>
    <n v="0"/>
    <n v="13600"/>
    <n v="1"/>
    <s v="NA"/>
    <n v="18"/>
    <s v="Midwest"/>
    <x v="9"/>
    <s v="Louisville"/>
    <d v="2015-06-10T00:00:00"/>
    <n v="349.137"/>
  </r>
  <r>
    <n v="921"/>
    <s v="Middle Aged"/>
    <x v="0"/>
    <s v="Renting"/>
    <s v="Married"/>
    <n v="0"/>
    <n v="72200"/>
    <n v="1"/>
    <s v="High Spending"/>
    <n v="12"/>
    <s v="Midwest"/>
    <x v="9"/>
    <s v="Louisville"/>
    <d v="2014-10-13T00:00:00"/>
    <n v="2081.7939999999999"/>
  </r>
  <r>
    <n v="928"/>
    <s v="Middle Aged"/>
    <x v="1"/>
    <s v="Renting"/>
    <s v="Married"/>
    <n v="0"/>
    <n v="61500"/>
    <n v="3"/>
    <s v="Medium Spending"/>
    <n v="24"/>
    <s v="Midwest"/>
    <x v="9"/>
    <s v="Louisville"/>
    <d v="2013-10-13T00:00:00"/>
    <n v="1161.732"/>
  </r>
  <r>
    <n v="936"/>
    <s v="Old"/>
    <x v="1"/>
    <s v="Own Home"/>
    <s v="No"/>
    <n v="1"/>
    <n v="64600"/>
    <n v="0"/>
    <s v="NA"/>
    <n v="6"/>
    <s v="Midwest"/>
    <x v="9"/>
    <s v="Louisville"/>
    <d v="2015-05-19T00:00:00"/>
    <n v="1297.7739999999999"/>
  </r>
  <r>
    <n v="941"/>
    <s v="Middle Aged"/>
    <x v="1"/>
    <s v="Own Home"/>
    <s v="Married"/>
    <n v="1"/>
    <n v="96500"/>
    <n v="1"/>
    <s v="High Spending"/>
    <n v="18"/>
    <s v="Midwest"/>
    <x v="9"/>
    <s v="Louisville"/>
    <d v="2013-09-06T00:00:00"/>
    <n v="1364.0719999999999"/>
  </r>
  <r>
    <n v="994"/>
    <s v="Young"/>
    <x v="0"/>
    <s v="Renting"/>
    <s v="No"/>
    <n v="1"/>
    <n v="17800"/>
    <n v="0"/>
    <s v="Low Spending"/>
    <n v="18"/>
    <s v="Midwest"/>
    <x v="9"/>
    <s v="Louisville"/>
    <d v="2012-01-31T00:00:00"/>
    <n v="292.197"/>
  </r>
  <r>
    <n v="17"/>
    <s v="Middle Aged"/>
    <x v="1"/>
    <s v="Own Home"/>
    <s v="Married"/>
    <n v="1"/>
    <n v="79400"/>
    <n v="3"/>
    <s v="Low Spending"/>
    <n v="6"/>
    <s v="South"/>
    <x v="10"/>
    <s v="Memphis"/>
    <d v="2015-03-01T00:00:00"/>
    <n v="199.64699999999999"/>
  </r>
  <r>
    <n v="23"/>
    <s v="Old"/>
    <x v="1"/>
    <s v="Renting"/>
    <s v="No"/>
    <n v="1"/>
    <n v="28900"/>
    <n v="0"/>
    <s v="Low Spending"/>
    <n v="12"/>
    <s v="South"/>
    <x v="10"/>
    <s v="Memphis"/>
    <d v="2011-01-09T00:00:00"/>
    <n v="830.23299999999995"/>
  </r>
  <r>
    <n v="46"/>
    <s v="Old"/>
    <x v="0"/>
    <s v="Own Home"/>
    <s v="Married"/>
    <n v="0"/>
    <n v="15400"/>
    <n v="0"/>
    <s v="Low Spending"/>
    <n v="6"/>
    <s v="South"/>
    <x v="10"/>
    <s v="Memphis"/>
    <d v="2009-10-25T00:00:00"/>
    <n v="297.29700000000003"/>
  </r>
  <r>
    <n v="84"/>
    <s v="Old"/>
    <x v="0"/>
    <s v="Own Home"/>
    <s v="Married"/>
    <n v="1"/>
    <n v="45900"/>
    <n v="0"/>
    <s v="Medium Spending"/>
    <n v="24"/>
    <s v="South"/>
    <x v="10"/>
    <s v="Memphis"/>
    <d v="2011-01-26T00:00:00"/>
    <n v="1645.453"/>
  </r>
  <r>
    <n v="88"/>
    <s v="Middle Aged"/>
    <x v="0"/>
    <s v="Renting"/>
    <s v="No"/>
    <n v="1"/>
    <n v="61800"/>
    <n v="0"/>
    <s v="High Spending"/>
    <n v="24"/>
    <s v="South"/>
    <x v="10"/>
    <s v="Memphis"/>
    <d v="2014-12-17T00:00:00"/>
    <n v="1155.684"/>
  </r>
  <r>
    <n v="102"/>
    <s v="Old"/>
    <x v="1"/>
    <s v="Own Home"/>
    <s v="No"/>
    <n v="1"/>
    <n v="30300"/>
    <n v="0"/>
    <s v="Low Spending"/>
    <n v="18"/>
    <s v="South"/>
    <x v="10"/>
    <s v="Memphis"/>
    <d v="2012-11-18T00:00:00"/>
    <n v="1061.9000000000001"/>
  </r>
  <r>
    <n v="141"/>
    <s v="Young"/>
    <x v="1"/>
    <s v="Renting"/>
    <s v="No"/>
    <n v="1"/>
    <n v="10600"/>
    <n v="2"/>
    <s v="Low Spending"/>
    <n v="12"/>
    <s v="South"/>
    <x v="10"/>
    <s v="Memphis"/>
    <d v="2013-08-19T00:00:00"/>
    <n v="114.02800000000001"/>
  </r>
  <r>
    <n v="150"/>
    <s v="Middle Aged"/>
    <x v="0"/>
    <s v="Renting"/>
    <s v="No"/>
    <n v="1"/>
    <n v="39500"/>
    <n v="1"/>
    <s v="NA"/>
    <n v="6"/>
    <s v="South"/>
    <x v="10"/>
    <s v="Memphis"/>
    <d v="2015-05-08T00:00:00"/>
    <n v="411.964"/>
  </r>
  <r>
    <n v="157"/>
    <s v="Middle Aged"/>
    <x v="1"/>
    <s v="Own Home"/>
    <s v="Married"/>
    <n v="1"/>
    <n v="72600"/>
    <n v="1"/>
    <s v="NA"/>
    <n v="18"/>
    <s v="South"/>
    <x v="10"/>
    <s v="Memphis"/>
    <d v="2015-08-25T00:00:00"/>
    <n v="1999.115"/>
  </r>
  <r>
    <n v="212"/>
    <s v="Old"/>
    <x v="0"/>
    <s v="Renting"/>
    <s v="Married"/>
    <n v="0"/>
    <n v="66200"/>
    <n v="0"/>
    <s v="High Spending"/>
    <n v="24"/>
    <s v="South"/>
    <x v="10"/>
    <s v="Memphis"/>
    <d v="2012-03-10T00:00:00"/>
    <n v="2057.1799999999998"/>
  </r>
  <r>
    <n v="221"/>
    <s v="Middle Aged"/>
    <x v="0"/>
    <s v="Renting"/>
    <s v="Married"/>
    <n v="1"/>
    <n v="65800"/>
    <n v="2"/>
    <s v="Medium Spending"/>
    <n v="18"/>
    <s v="South"/>
    <x v="10"/>
    <s v="Memphis"/>
    <d v="2013-10-09T00:00:00"/>
    <n v="577.53599999999994"/>
  </r>
  <r>
    <n v="238"/>
    <s v="Middle Aged"/>
    <x v="0"/>
    <s v="Renting"/>
    <s v="Married"/>
    <n v="0"/>
    <n v="64600"/>
    <n v="2"/>
    <s v="NA"/>
    <n v="24"/>
    <s v="South"/>
    <x v="10"/>
    <s v="Memphis"/>
    <d v="2015-08-19T00:00:00"/>
    <n v="2934.8760000000002"/>
  </r>
  <r>
    <n v="268"/>
    <s v="Middle Aged"/>
    <x v="1"/>
    <s v="Own Home"/>
    <s v="No"/>
    <n v="1"/>
    <n v="54400"/>
    <n v="3"/>
    <s v="Low Spending"/>
    <n v="18"/>
    <s v="South"/>
    <x v="10"/>
    <s v="Memphis"/>
    <d v="2013-12-24T00:00:00"/>
    <n v="342.452"/>
  </r>
  <r>
    <n v="274"/>
    <s v="Middle Aged"/>
    <x v="1"/>
    <s v="Renting"/>
    <s v="Married"/>
    <n v="1"/>
    <n v="104900"/>
    <n v="3"/>
    <s v="Low Spending"/>
    <n v="6"/>
    <s v="South"/>
    <x v="10"/>
    <s v="Memphis"/>
    <d v="2012-10-11T00:00:00"/>
    <n v="449.58800000000002"/>
  </r>
  <r>
    <n v="291"/>
    <s v="Young"/>
    <x v="1"/>
    <s v="Renting"/>
    <s v="No"/>
    <n v="1"/>
    <n v="17000"/>
    <n v="0"/>
    <s v="Low Spending"/>
    <n v="18"/>
    <s v="South"/>
    <x v="10"/>
    <s v="Memphis"/>
    <d v="2011-01-11T00:00:00"/>
    <n v="658.83699999999999"/>
  </r>
  <r>
    <n v="312"/>
    <s v="Old"/>
    <x v="0"/>
    <s v="Own Home"/>
    <s v="Married"/>
    <n v="1"/>
    <n v="123000"/>
    <n v="0"/>
    <s v="High Spending"/>
    <n v="24"/>
    <s v="South"/>
    <x v="10"/>
    <s v="Memphis"/>
    <d v="2010-06-15T00:00:00"/>
    <n v="3670.8690000000001"/>
  </r>
  <r>
    <n v="360"/>
    <s v="Middle Aged"/>
    <x v="0"/>
    <s v="Own Home"/>
    <s v="No"/>
    <n v="0"/>
    <n v="80800"/>
    <n v="2"/>
    <s v="High Spending"/>
    <n v="18"/>
    <s v="South"/>
    <x v="10"/>
    <s v="Memphis"/>
    <d v="2012-04-19T00:00:00"/>
    <n v="2444.4490000000001"/>
  </r>
  <r>
    <n v="365"/>
    <s v="Old"/>
    <x v="0"/>
    <s v="Renting"/>
    <s v="Married"/>
    <n v="0"/>
    <n v="66300"/>
    <n v="0"/>
    <s v="NA"/>
    <n v="18"/>
    <s v="South"/>
    <x v="10"/>
    <s v="Memphis"/>
    <d v="2015-02-10T00:00:00"/>
    <n v="2243.0479999999998"/>
  </r>
  <r>
    <n v="367"/>
    <s v="Middle Aged"/>
    <x v="0"/>
    <s v="Renting"/>
    <s v="No"/>
    <n v="0"/>
    <n v="55800"/>
    <n v="1"/>
    <s v="NA"/>
    <n v="6"/>
    <s v="South"/>
    <x v="10"/>
    <s v="Memphis"/>
    <d v="2015-08-27T00:00:00"/>
    <n v="820.97199999999998"/>
  </r>
  <r>
    <n v="380"/>
    <s v="Middle Aged"/>
    <x v="0"/>
    <s v="Own Home"/>
    <s v="No"/>
    <n v="1"/>
    <n v="67900"/>
    <n v="0"/>
    <s v="High Spending"/>
    <n v="18"/>
    <s v="South"/>
    <x v="10"/>
    <s v="Memphis"/>
    <d v="2015-06-24T00:00:00"/>
    <n v="1418.346"/>
  </r>
  <r>
    <n v="511"/>
    <s v="Old"/>
    <x v="0"/>
    <s v="Renting"/>
    <s v="No"/>
    <n v="1"/>
    <n v="42800"/>
    <n v="0"/>
    <s v="Medium Spending"/>
    <n v="12"/>
    <s v="South"/>
    <x v="10"/>
    <s v="Memphis"/>
    <d v="2014-12-21T00:00:00"/>
    <n v="922.04700000000003"/>
  </r>
  <r>
    <n v="545"/>
    <s v="Old"/>
    <x v="1"/>
    <s v="Own Home"/>
    <s v="Married"/>
    <n v="1"/>
    <n v="96200"/>
    <n v="0"/>
    <s v="High Spending"/>
    <n v="12"/>
    <s v="South"/>
    <x v="10"/>
    <s v="Memphis"/>
    <d v="2009-04-06T00:00:00"/>
    <n v="1457.0329999999999"/>
  </r>
  <r>
    <n v="565"/>
    <s v="Middle Aged"/>
    <x v="1"/>
    <s v="Own Home"/>
    <s v="No"/>
    <n v="0"/>
    <n v="62500"/>
    <n v="3"/>
    <s v="NA"/>
    <n v="6"/>
    <s v="South"/>
    <x v="10"/>
    <s v="Memphis"/>
    <d v="2015-06-20T00:00:00"/>
    <n v="921.45799999999997"/>
  </r>
  <r>
    <n v="576"/>
    <s v="Young"/>
    <x v="1"/>
    <s v="Renting"/>
    <s v="No"/>
    <n v="0"/>
    <n v="18200"/>
    <n v="2"/>
    <s v="Low Spending"/>
    <n v="12"/>
    <s v="South"/>
    <x v="10"/>
    <s v="Memphis"/>
    <d v="2012-04-13T00:00:00"/>
    <n v="322.46899999999999"/>
  </r>
  <r>
    <n v="579"/>
    <s v="Middle Aged"/>
    <x v="0"/>
    <s v="Own Home"/>
    <s v="Married"/>
    <n v="0"/>
    <n v="79700"/>
    <n v="1"/>
    <s v="High Spending"/>
    <n v="24"/>
    <s v="South"/>
    <x v="10"/>
    <s v="Memphis"/>
    <d v="2010-12-07T00:00:00"/>
    <n v="3383.6460000000002"/>
  </r>
  <r>
    <n v="580"/>
    <s v="Young"/>
    <x v="0"/>
    <s v="Renting"/>
    <s v="No"/>
    <n v="0"/>
    <n v="17700"/>
    <n v="0"/>
    <s v="Low Spending"/>
    <n v="18"/>
    <s v="South"/>
    <x v="10"/>
    <s v="Memphis"/>
    <d v="2010-11-15T00:00:00"/>
    <n v="741.59799999999996"/>
  </r>
  <r>
    <n v="590"/>
    <s v="Old"/>
    <x v="0"/>
    <s v="Own Home"/>
    <s v="Married"/>
    <n v="1"/>
    <n v="85300"/>
    <n v="0"/>
    <s v="NA"/>
    <n v="12"/>
    <s v="South"/>
    <x v="10"/>
    <s v="Memphis"/>
    <d v="2015-06-27T00:00:00"/>
    <n v="2522.953"/>
  </r>
  <r>
    <n v="601"/>
    <s v="Young"/>
    <x v="1"/>
    <s v="Own Home"/>
    <s v="Married"/>
    <n v="0"/>
    <n v="33700"/>
    <n v="0"/>
    <s v="NA"/>
    <n v="6"/>
    <s v="South"/>
    <x v="10"/>
    <s v="Memphis"/>
    <d v="2015-02-25T00:00:00"/>
    <n v="613.99199999999996"/>
  </r>
  <r>
    <n v="659"/>
    <s v="Young"/>
    <x v="1"/>
    <s v="Renting"/>
    <s v="No"/>
    <n v="1"/>
    <n v="12500"/>
    <n v="3"/>
    <s v="NA"/>
    <n v="12"/>
    <s v="South"/>
    <x v="10"/>
    <s v="Memphis"/>
    <d v="2015-07-23T00:00:00"/>
    <n v="206.36600000000001"/>
  </r>
  <r>
    <n v="673"/>
    <s v="Middle Aged"/>
    <x v="0"/>
    <s v="Renting"/>
    <s v="No"/>
    <n v="1"/>
    <n v="53300"/>
    <n v="0"/>
    <s v="Medium Spending"/>
    <n v="18"/>
    <s v="South"/>
    <x v="10"/>
    <s v="Memphis"/>
    <d v="2010-08-16T00:00:00"/>
    <n v="1720.018"/>
  </r>
  <r>
    <n v="686"/>
    <s v="Young"/>
    <x v="1"/>
    <s v="Renting"/>
    <s v="No"/>
    <n v="1"/>
    <n v="17600"/>
    <n v="2"/>
    <s v="Low Spending"/>
    <n v="18"/>
    <s v="South"/>
    <x v="10"/>
    <s v="Memphis"/>
    <d v="2014-02-23T00:00:00"/>
    <n v="163.084"/>
  </r>
  <r>
    <n v="692"/>
    <s v="Young"/>
    <x v="1"/>
    <s v="Renting"/>
    <s v="Married"/>
    <n v="1"/>
    <n v="63200"/>
    <n v="0"/>
    <s v="High Spending"/>
    <n v="24"/>
    <s v="South"/>
    <x v="10"/>
    <s v="Memphis"/>
    <d v="2014-08-18T00:00:00"/>
    <n v="1511.777"/>
  </r>
  <r>
    <n v="747"/>
    <s v="Middle Aged"/>
    <x v="0"/>
    <s v="Own Home"/>
    <s v="Married"/>
    <n v="1"/>
    <n v="140700"/>
    <n v="3"/>
    <s v="Medium Spending"/>
    <n v="12"/>
    <s v="South"/>
    <x v="10"/>
    <s v="Memphis"/>
    <d v="2014-06-25T00:00:00"/>
    <n v="1001.207"/>
  </r>
  <r>
    <n v="762"/>
    <s v="Middle Aged"/>
    <x v="1"/>
    <s v="Own Home"/>
    <s v="Married"/>
    <n v="0"/>
    <n v="118300"/>
    <n v="1"/>
    <s v="High Spending"/>
    <n v="12"/>
    <s v="South"/>
    <x v="10"/>
    <s v="Memphis"/>
    <d v="2010-05-10T00:00:00"/>
    <n v="2502.3490000000002"/>
  </r>
  <r>
    <n v="780"/>
    <s v="Middle Aged"/>
    <x v="1"/>
    <s v="Own Home"/>
    <s v="Married"/>
    <n v="1"/>
    <n v="86400"/>
    <n v="1"/>
    <s v="High Spending"/>
    <n v="12"/>
    <s v="South"/>
    <x v="10"/>
    <s v="Memphis"/>
    <d v="2013-05-28T00:00:00"/>
    <n v="1713.0730000000001"/>
  </r>
  <r>
    <n v="800"/>
    <s v="Old"/>
    <x v="1"/>
    <s v="Own Home"/>
    <s v="No"/>
    <n v="1"/>
    <n v="39600"/>
    <n v="0"/>
    <s v="Medium Spending"/>
    <n v="12"/>
    <s v="South"/>
    <x v="10"/>
    <s v="Memphis"/>
    <d v="2014-02-04T00:00:00"/>
    <n v="609.62400000000002"/>
  </r>
  <r>
    <n v="830"/>
    <s v="Young"/>
    <x v="1"/>
    <s v="Renting"/>
    <s v="No"/>
    <n v="1"/>
    <n v="13100"/>
    <n v="0"/>
    <s v="NA"/>
    <n v="18"/>
    <s v="South"/>
    <x v="10"/>
    <s v="Memphis"/>
    <d v="2015-04-28T00:00:00"/>
    <n v="314.02800000000002"/>
  </r>
  <r>
    <n v="834"/>
    <s v="Old"/>
    <x v="1"/>
    <s v="Renting"/>
    <s v="No"/>
    <n v="0"/>
    <n v="19700"/>
    <n v="0"/>
    <s v="Low Spending"/>
    <n v="6"/>
    <s v="South"/>
    <x v="10"/>
    <s v="Memphis"/>
    <d v="2014-10-15T00:00:00"/>
    <n v="535.46299999999997"/>
  </r>
  <r>
    <n v="840"/>
    <s v="Middle Aged"/>
    <x v="1"/>
    <s v="Own Home"/>
    <s v="Married"/>
    <n v="1"/>
    <n v="97500"/>
    <n v="1"/>
    <s v="High Spending"/>
    <n v="12"/>
    <s v="South"/>
    <x v="10"/>
    <s v="Memphis"/>
    <d v="2013-11-01T00:00:00"/>
    <n v="1279.9490000000001"/>
  </r>
  <r>
    <n v="853"/>
    <s v="Young"/>
    <x v="1"/>
    <s v="Renting"/>
    <s v="No"/>
    <n v="0"/>
    <n v="18400"/>
    <n v="1"/>
    <s v="Low Spending"/>
    <n v="6"/>
    <s v="South"/>
    <x v="10"/>
    <s v="Memphis"/>
    <d v="2010-01-03T00:00:00"/>
    <n v="303.45400000000001"/>
  </r>
  <r>
    <n v="873"/>
    <s v="Middle Aged"/>
    <x v="0"/>
    <s v="Renting"/>
    <s v="Married"/>
    <n v="0"/>
    <n v="52800"/>
    <n v="2"/>
    <s v="Medium Spending"/>
    <n v="12"/>
    <s v="South"/>
    <x v="10"/>
    <s v="Memphis"/>
    <d v="2014-09-23T00:00:00"/>
    <n v="926.47900000000004"/>
  </r>
  <r>
    <n v="978"/>
    <s v="Middle Aged"/>
    <x v="1"/>
    <s v="Own Home"/>
    <s v="No"/>
    <n v="1"/>
    <n v="36900"/>
    <n v="2"/>
    <s v="Low Spending"/>
    <n v="24"/>
    <s v="South"/>
    <x v="10"/>
    <s v="Memphis"/>
    <d v="2013-06-03T00:00:00"/>
    <n v="513.90800000000002"/>
  </r>
  <r>
    <n v="991"/>
    <s v="Young"/>
    <x v="1"/>
    <s v="Renting"/>
    <s v="No"/>
    <n v="1"/>
    <n v="14100"/>
    <n v="3"/>
    <s v="NA"/>
    <n v="6"/>
    <s v="South"/>
    <x v="10"/>
    <s v="Memphis"/>
    <d v="2015-08-08T00:00:00"/>
    <n v="153.37799999999999"/>
  </r>
  <r>
    <n v="19"/>
    <s v="Young"/>
    <x v="1"/>
    <s v="Renting"/>
    <s v="No"/>
    <n v="1"/>
    <n v="12400"/>
    <n v="1"/>
    <s v="NA"/>
    <n v="12"/>
    <s v="South"/>
    <x v="11"/>
    <s v="Miami"/>
    <d v="2015-04-23T00:00:00"/>
    <n v="228.99600000000001"/>
  </r>
  <r>
    <n v="26"/>
    <s v="Young"/>
    <x v="0"/>
    <s v="Renting"/>
    <s v="No"/>
    <n v="0"/>
    <n v="17800"/>
    <n v="1"/>
    <s v="NA"/>
    <n v="18"/>
    <s v="South"/>
    <x v="11"/>
    <s v="Miami"/>
    <d v="2015-05-19T00:00:00"/>
    <n v="588.625"/>
  </r>
  <r>
    <n v="29"/>
    <s v="Middle Aged"/>
    <x v="1"/>
    <s v="Own Home"/>
    <s v="Married"/>
    <n v="1"/>
    <n v="88200"/>
    <n v="0"/>
    <s v="NA"/>
    <n v="24"/>
    <s v="South"/>
    <x v="11"/>
    <s v="Miami"/>
    <d v="2015-03-10T00:00:00"/>
    <n v="2748.8110000000001"/>
  </r>
  <r>
    <n v="44"/>
    <s v="Middle Aged"/>
    <x v="0"/>
    <s v="Own Home"/>
    <s v="Married"/>
    <n v="0"/>
    <n v="90700"/>
    <n v="3"/>
    <s v="High Spending"/>
    <n v="24"/>
    <s v="South"/>
    <x v="11"/>
    <s v="Miami"/>
    <d v="2011-05-12T00:00:00"/>
    <n v="2265.2979999999998"/>
  </r>
  <r>
    <n v="49"/>
    <s v="Old"/>
    <x v="1"/>
    <s v="Own Home"/>
    <s v="No"/>
    <n v="1"/>
    <n v="36100"/>
    <n v="0"/>
    <s v="Medium Spending"/>
    <n v="12"/>
    <s v="South"/>
    <x v="11"/>
    <s v="Miami"/>
    <d v="2010-01-22T00:00:00"/>
    <n v="437.774"/>
  </r>
  <r>
    <n v="68"/>
    <s v="Middle Aged"/>
    <x v="0"/>
    <s v="Own Home"/>
    <s v="No"/>
    <n v="1"/>
    <n v="63200"/>
    <n v="0"/>
    <s v="High Spending"/>
    <n v="24"/>
    <s v="South"/>
    <x v="11"/>
    <s v="Miami"/>
    <d v="2009-01-19T00:00:00"/>
    <n v="1932.4469999999999"/>
  </r>
  <r>
    <n v="74"/>
    <s v="Middle Aged"/>
    <x v="1"/>
    <s v="Renting"/>
    <s v="Married"/>
    <n v="1"/>
    <n v="73000"/>
    <n v="1"/>
    <s v="Medium Spending"/>
    <n v="6"/>
    <s v="South"/>
    <x v="11"/>
    <s v="Miami"/>
    <d v="2010-03-19T00:00:00"/>
    <n v="489.92899999999997"/>
  </r>
  <r>
    <n v="97"/>
    <s v="Middle Aged"/>
    <x v="0"/>
    <s v="Own Home"/>
    <s v="Married"/>
    <n v="1"/>
    <n v="96100"/>
    <n v="0"/>
    <s v="High Spending"/>
    <n v="6"/>
    <s v="South"/>
    <x v="11"/>
    <s v="Miami"/>
    <d v="2014-06-01T00:00:00"/>
    <n v="1588.377"/>
  </r>
  <r>
    <n v="99"/>
    <s v="Middle Aged"/>
    <x v="0"/>
    <s v="Renting"/>
    <s v="No"/>
    <n v="1"/>
    <n v="54200"/>
    <n v="0"/>
    <s v="NA"/>
    <n v="18"/>
    <s v="South"/>
    <x v="11"/>
    <s v="Miami"/>
    <d v="2015-03-23T00:00:00"/>
    <n v="1405.1890000000001"/>
  </r>
  <r>
    <n v="124"/>
    <s v="Middle Aged"/>
    <x v="1"/>
    <s v="Own Home"/>
    <s v="Married"/>
    <n v="1"/>
    <n v="130700"/>
    <n v="3"/>
    <s v="NA"/>
    <n v="6"/>
    <s v="South"/>
    <x v="11"/>
    <s v="Miami"/>
    <d v="2015-08-25T00:00:00"/>
    <n v="2070.2570000000001"/>
  </r>
  <r>
    <n v="151"/>
    <s v="Old"/>
    <x v="0"/>
    <s v="Own Home"/>
    <s v="Married"/>
    <n v="1"/>
    <n v="55500"/>
    <n v="0"/>
    <s v="Medium Spending"/>
    <n v="18"/>
    <s v="South"/>
    <x v="11"/>
    <s v="Miami"/>
    <d v="2009-05-12T00:00:00"/>
    <n v="857.976"/>
  </r>
  <r>
    <n v="163"/>
    <s v="Middle Aged"/>
    <x v="0"/>
    <s v="Renting"/>
    <s v="Married"/>
    <n v="0"/>
    <n v="84100"/>
    <n v="1"/>
    <s v="High Spending"/>
    <n v="24"/>
    <s v="South"/>
    <x v="11"/>
    <s v="Miami"/>
    <d v="2013-10-14T00:00:00"/>
    <n v="2362.0300000000002"/>
  </r>
  <r>
    <n v="171"/>
    <s v="Young"/>
    <x v="1"/>
    <s v="Renting"/>
    <s v="No"/>
    <n v="1"/>
    <n v="10600"/>
    <n v="2"/>
    <s v="NA"/>
    <n v="24"/>
    <s v="South"/>
    <x v="11"/>
    <s v="Miami"/>
    <d v="2015-04-18T00:00:00"/>
    <n v="516.68700000000001"/>
  </r>
  <r>
    <n v="192"/>
    <s v="Old"/>
    <x v="1"/>
    <s v="Own Home"/>
    <s v="Married"/>
    <n v="1"/>
    <n v="112800"/>
    <n v="0"/>
    <s v="High Spending"/>
    <n v="12"/>
    <s v="South"/>
    <x v="11"/>
    <s v="Miami"/>
    <d v="2010-03-28T00:00:00"/>
    <n v="1861.434"/>
  </r>
  <r>
    <n v="197"/>
    <s v="Young"/>
    <x v="0"/>
    <s v="Renting"/>
    <s v="No"/>
    <n v="0"/>
    <n v="20800"/>
    <n v="0"/>
    <s v="NA"/>
    <n v="6"/>
    <s v="South"/>
    <x v="11"/>
    <s v="Miami"/>
    <d v="2015-08-05T00:00:00"/>
    <n v="259.81799999999998"/>
  </r>
  <r>
    <n v="218"/>
    <s v="Young"/>
    <x v="0"/>
    <s v="Renting"/>
    <s v="No"/>
    <n v="1"/>
    <n v="31600"/>
    <n v="1"/>
    <s v="NA"/>
    <n v="12"/>
    <s v="South"/>
    <x v="11"/>
    <s v="Miami"/>
    <d v="2015-07-14T00:00:00"/>
    <n v="475.60500000000002"/>
  </r>
  <r>
    <n v="227"/>
    <s v="Old"/>
    <x v="1"/>
    <s v="Own Home"/>
    <s v="No"/>
    <n v="1"/>
    <n v="32500"/>
    <n v="0"/>
    <s v="Medium Spending"/>
    <n v="24"/>
    <s v="South"/>
    <x v="11"/>
    <s v="Miami"/>
    <d v="2011-11-04T00:00:00"/>
    <n v="882.86199999999997"/>
  </r>
  <r>
    <n v="280"/>
    <s v="Young"/>
    <x v="0"/>
    <s v="Renting"/>
    <s v="Married"/>
    <n v="1"/>
    <n v="80700"/>
    <n v="3"/>
    <s v="Low Spending"/>
    <n v="6"/>
    <s v="South"/>
    <x v="11"/>
    <s v="Miami"/>
    <d v="2012-11-13T00:00:00"/>
    <n v="202.18100000000001"/>
  </r>
  <r>
    <n v="288"/>
    <s v="Young"/>
    <x v="1"/>
    <s v="Renting"/>
    <s v="Married"/>
    <n v="1"/>
    <n v="76400"/>
    <n v="0"/>
    <s v="NA"/>
    <n v="12"/>
    <s v="South"/>
    <x v="11"/>
    <s v="Miami"/>
    <d v="2015-02-26T00:00:00"/>
    <n v="2216.4749999999999"/>
  </r>
  <r>
    <n v="301"/>
    <s v="Middle Aged"/>
    <x v="0"/>
    <s v="Own Home"/>
    <s v="Married"/>
    <n v="0"/>
    <n v="65400"/>
    <n v="3"/>
    <s v="NA"/>
    <n v="6"/>
    <s v="South"/>
    <x v="11"/>
    <s v="Miami"/>
    <d v="2015-03-05T00:00:00"/>
    <n v="835.85299999999995"/>
  </r>
  <r>
    <n v="320"/>
    <s v="Young"/>
    <x v="1"/>
    <s v="Renting"/>
    <s v="No"/>
    <n v="1"/>
    <n v="19300"/>
    <n v="1"/>
    <s v="Low Spending"/>
    <n v="24"/>
    <s v="South"/>
    <x v="11"/>
    <s v="Miami"/>
    <d v="2013-03-28T00:00:00"/>
    <n v="308.41699999999997"/>
  </r>
  <r>
    <n v="330"/>
    <s v="Middle Aged"/>
    <x v="0"/>
    <s v="Own Home"/>
    <s v="No"/>
    <n v="1"/>
    <n v="63700"/>
    <n v="0"/>
    <s v="NA"/>
    <n v="6"/>
    <s v="South"/>
    <x v="11"/>
    <s v="Miami"/>
    <d v="2015-08-26T00:00:00"/>
    <n v="1350.6489999999999"/>
  </r>
  <r>
    <n v="339"/>
    <s v="Middle Aged"/>
    <x v="0"/>
    <s v="Renting"/>
    <s v="Married"/>
    <n v="1"/>
    <n v="74600"/>
    <n v="2"/>
    <s v="Medium Spending"/>
    <n v="18"/>
    <s v="South"/>
    <x v="11"/>
    <s v="Miami"/>
    <d v="2014-02-24T00:00:00"/>
    <n v="705.04399999999998"/>
  </r>
  <r>
    <n v="438"/>
    <s v="Old"/>
    <x v="1"/>
    <s v="Own Home"/>
    <s v="Married"/>
    <n v="0"/>
    <n v="78800"/>
    <n v="0"/>
    <s v="High Spending"/>
    <n v="18"/>
    <s v="South"/>
    <x v="11"/>
    <s v="Miami"/>
    <d v="2014-01-26T00:00:00"/>
    <n v="3397.7919999999999"/>
  </r>
  <r>
    <n v="439"/>
    <s v="Middle Aged"/>
    <x v="0"/>
    <s v="Renting"/>
    <s v="Married"/>
    <n v="0"/>
    <n v="124800"/>
    <n v="3"/>
    <s v="High Spending"/>
    <n v="18"/>
    <s v="South"/>
    <x v="11"/>
    <s v="Miami"/>
    <d v="2010-04-18T00:00:00"/>
    <n v="2536.6849999999999"/>
  </r>
  <r>
    <n v="443"/>
    <s v="Young"/>
    <x v="0"/>
    <s v="Own Home"/>
    <s v="No"/>
    <n v="1"/>
    <n v="20900"/>
    <n v="0"/>
    <s v="Low Spending"/>
    <n v="24"/>
    <s v="South"/>
    <x v="11"/>
    <s v="Miami"/>
    <d v="2012-01-15T00:00:00"/>
    <n v="550.07299999999998"/>
  </r>
  <r>
    <n v="452"/>
    <s v="Middle Aged"/>
    <x v="0"/>
    <s v="Renting"/>
    <s v="No"/>
    <n v="1"/>
    <n v="52400"/>
    <n v="0"/>
    <s v="NA"/>
    <n v="18"/>
    <s v="South"/>
    <x v="11"/>
    <s v="Miami"/>
    <d v="2015-07-20T00:00:00"/>
    <n v="856.726"/>
  </r>
  <r>
    <n v="470"/>
    <s v="Young"/>
    <x v="0"/>
    <s v="Own Home"/>
    <s v="Married"/>
    <n v="1"/>
    <n v="62200"/>
    <n v="0"/>
    <s v="High Spending"/>
    <n v="24"/>
    <s v="South"/>
    <x v="11"/>
    <s v="Miami"/>
    <d v="2010-02-16T00:00:00"/>
    <n v="1347.527"/>
  </r>
  <r>
    <n v="472"/>
    <s v="Young"/>
    <x v="0"/>
    <s v="Renting"/>
    <s v="No"/>
    <n v="1"/>
    <n v="21000"/>
    <n v="0"/>
    <s v="Low Spending"/>
    <n v="24"/>
    <s v="South"/>
    <x v="11"/>
    <s v="Miami"/>
    <d v="2010-01-31T00:00:00"/>
    <n v="645.87300000000005"/>
  </r>
  <r>
    <n v="549"/>
    <s v="Middle Aged"/>
    <x v="1"/>
    <s v="Own Home"/>
    <s v="No"/>
    <n v="1"/>
    <n v="36700"/>
    <n v="1"/>
    <s v="NA"/>
    <n v="6"/>
    <s v="South"/>
    <x v="11"/>
    <s v="Miami"/>
    <d v="2015-08-21T00:00:00"/>
    <n v="529.34699999999998"/>
  </r>
  <r>
    <n v="587"/>
    <s v="Middle Aged"/>
    <x v="0"/>
    <s v="Own Home"/>
    <s v="Married"/>
    <n v="0"/>
    <n v="102700"/>
    <n v="1"/>
    <s v="High Spending"/>
    <n v="18"/>
    <s v="South"/>
    <x v="11"/>
    <s v="Miami"/>
    <d v="2010-04-08T00:00:00"/>
    <n v="3785.4250000000002"/>
  </r>
  <r>
    <n v="588"/>
    <s v="Middle Aged"/>
    <x v="1"/>
    <s v="Own Home"/>
    <s v="Married"/>
    <n v="1"/>
    <n v="90500"/>
    <n v="1"/>
    <s v="High Spending"/>
    <n v="6"/>
    <s v="South"/>
    <x v="11"/>
    <s v="Miami"/>
    <d v="2014-02-18T00:00:00"/>
    <n v="1116.002"/>
  </r>
  <r>
    <n v="593"/>
    <s v="Young"/>
    <x v="0"/>
    <s v="Renting"/>
    <s v="Married"/>
    <n v="0"/>
    <n v="46300"/>
    <n v="1"/>
    <s v="Medium Spending"/>
    <n v="18"/>
    <s v="South"/>
    <x v="11"/>
    <s v="Miami"/>
    <d v="2010-07-24T00:00:00"/>
    <n v="1357.421"/>
  </r>
  <r>
    <n v="609"/>
    <s v="Middle Aged"/>
    <x v="0"/>
    <s v="Own Home"/>
    <s v="Married"/>
    <n v="0"/>
    <n v="100100"/>
    <n v="1"/>
    <s v="High Spending"/>
    <n v="24"/>
    <s v="South"/>
    <x v="11"/>
    <s v="Miami"/>
    <d v="2012-11-05T00:00:00"/>
    <n v="3490.9940000000001"/>
  </r>
  <r>
    <n v="618"/>
    <s v="Old"/>
    <x v="0"/>
    <s v="Own Home"/>
    <s v="Married"/>
    <n v="1"/>
    <n v="90600"/>
    <n v="0"/>
    <s v="High Spending"/>
    <n v="24"/>
    <s v="South"/>
    <x v="11"/>
    <s v="Miami"/>
    <d v="2012-10-29T00:00:00"/>
    <n v="3167.1709999999998"/>
  </r>
  <r>
    <n v="678"/>
    <s v="Young"/>
    <x v="1"/>
    <s v="Renting"/>
    <s v="No"/>
    <n v="1"/>
    <n v="20300"/>
    <n v="2"/>
    <s v="Low Spending"/>
    <n v="12"/>
    <s v="South"/>
    <x v="11"/>
    <s v="Miami"/>
    <d v="2013-01-08T00:00:00"/>
    <n v="180.47200000000001"/>
  </r>
  <r>
    <n v="683"/>
    <s v="Middle Aged"/>
    <x v="0"/>
    <s v="Own Home"/>
    <s v="Married"/>
    <n v="0"/>
    <n v="89500"/>
    <n v="0"/>
    <s v="High Spending"/>
    <n v="24"/>
    <s v="South"/>
    <x v="11"/>
    <s v="Miami"/>
    <d v="2015-06-19T00:00:00"/>
    <n v="5208.7179999999998"/>
  </r>
  <r>
    <n v="709"/>
    <s v="Young"/>
    <x v="1"/>
    <s v="Renting"/>
    <s v="No"/>
    <n v="0"/>
    <n v="19700"/>
    <n v="2"/>
    <s v="Low Spending"/>
    <n v="6"/>
    <s v="South"/>
    <x v="11"/>
    <s v="Miami"/>
    <d v="2010-08-12T00:00:00"/>
    <n v="330.21800000000002"/>
  </r>
  <r>
    <n v="719"/>
    <s v="Young"/>
    <x v="1"/>
    <s v="Renting"/>
    <s v="No"/>
    <n v="1"/>
    <n v="12000"/>
    <n v="0"/>
    <s v="Low Spending"/>
    <n v="6"/>
    <s v="South"/>
    <x v="11"/>
    <s v="Miami"/>
    <d v="2012-05-06T00:00:00"/>
    <n v="140.29900000000001"/>
  </r>
  <r>
    <n v="720"/>
    <s v="Middle Aged"/>
    <x v="0"/>
    <s v="Renting"/>
    <s v="Married"/>
    <n v="1"/>
    <n v="79500"/>
    <n v="0"/>
    <s v="High Spending"/>
    <n v="18"/>
    <s v="South"/>
    <x v="11"/>
    <s v="Miami"/>
    <d v="2013-09-22T00:00:00"/>
    <n v="1763.296"/>
  </r>
  <r>
    <n v="758"/>
    <s v="Middle Aged"/>
    <x v="1"/>
    <s v="Own Home"/>
    <s v="No"/>
    <n v="0"/>
    <n v="25300"/>
    <n v="1"/>
    <s v="NA"/>
    <n v="6"/>
    <s v="South"/>
    <x v="11"/>
    <s v="Miami"/>
    <d v="2015-04-14T00:00:00"/>
    <n v="450.91500000000002"/>
  </r>
  <r>
    <n v="811"/>
    <s v="Young"/>
    <x v="1"/>
    <s v="Renting"/>
    <s v="No"/>
    <n v="0"/>
    <n v="18400"/>
    <n v="1"/>
    <s v="Low Spending"/>
    <n v="12"/>
    <s v="South"/>
    <x v="11"/>
    <s v="Miami"/>
    <d v="2015-04-02T00:00:00"/>
    <n v="662.41499999999996"/>
  </r>
  <r>
    <n v="838"/>
    <s v="Young"/>
    <x v="0"/>
    <s v="Renting"/>
    <s v="No"/>
    <n v="0"/>
    <n v="25300"/>
    <n v="0"/>
    <s v="Medium Spending"/>
    <n v="12"/>
    <s v="South"/>
    <x v="11"/>
    <s v="Miami"/>
    <d v="2009-11-02T00:00:00"/>
    <n v="590.98099999999999"/>
  </r>
  <r>
    <n v="917"/>
    <s v="Young"/>
    <x v="1"/>
    <s v="Renting"/>
    <s v="No"/>
    <n v="1"/>
    <n v="12500"/>
    <n v="1"/>
    <s v="Low Spending"/>
    <n v="6"/>
    <s v="South"/>
    <x v="11"/>
    <s v="Miami"/>
    <d v="2011-04-03T00:00:00"/>
    <n v="201.82900000000001"/>
  </r>
  <r>
    <n v="926"/>
    <s v="Middle Aged"/>
    <x v="0"/>
    <s v="Own Home"/>
    <s v="Married"/>
    <n v="1"/>
    <n v="109200"/>
    <n v="3"/>
    <s v="Low Spending"/>
    <n v="24"/>
    <s v="South"/>
    <x v="11"/>
    <s v="Miami"/>
    <d v="2015-05-16T00:00:00"/>
    <n v="1102.0840000000001"/>
  </r>
  <r>
    <n v="960"/>
    <s v="Young"/>
    <x v="1"/>
    <s v="Renting"/>
    <s v="No"/>
    <n v="0"/>
    <n v="14500"/>
    <n v="1"/>
    <s v="Low Spending"/>
    <n v="6"/>
    <s v="South"/>
    <x v="11"/>
    <s v="Miami"/>
    <d v="2014-02-14T00:00:00"/>
    <n v="221.87"/>
  </r>
  <r>
    <n v="962"/>
    <s v="Old"/>
    <x v="1"/>
    <s v="Own Home"/>
    <s v="No"/>
    <n v="1"/>
    <n v="12700"/>
    <n v="2"/>
    <s v="Low Spending"/>
    <n v="6"/>
    <s v="South"/>
    <x v="11"/>
    <s v="Miami"/>
    <d v="2011-09-26T00:00:00"/>
    <n v="64.838999999999999"/>
  </r>
  <r>
    <n v="995"/>
    <s v="Old"/>
    <x v="0"/>
    <s v="Own Home"/>
    <s v="No"/>
    <n v="1"/>
    <n v="41900"/>
    <n v="0"/>
    <s v="Medium Spending"/>
    <n v="6"/>
    <s v="South"/>
    <x v="11"/>
    <s v="Miami"/>
    <d v="2013-07-07T00:00:00"/>
    <n v="653.92399999999998"/>
  </r>
  <r>
    <n v="13"/>
    <s v="Middle Aged"/>
    <x v="0"/>
    <s v="Own Home"/>
    <s v="No"/>
    <n v="1"/>
    <n v="45900"/>
    <n v="2"/>
    <s v="Low Spending"/>
    <n v="12"/>
    <s v="South"/>
    <x v="12"/>
    <s v="New Orleans"/>
    <d v="2011-06-02T00:00:00"/>
    <n v="416.15"/>
  </r>
  <r>
    <n v="20"/>
    <s v="Young"/>
    <x v="0"/>
    <s v="Renting"/>
    <s v="Married"/>
    <n v="1"/>
    <n v="52600"/>
    <n v="1"/>
    <s v="Medium Spending"/>
    <n v="12"/>
    <s v="South"/>
    <x v="12"/>
    <s v="New Orleans"/>
    <d v="2011-05-28T00:00:00"/>
    <n v="1052.2629999999999"/>
  </r>
  <r>
    <n v="67"/>
    <s v="Old"/>
    <x v="1"/>
    <s v="Own Home"/>
    <s v="No"/>
    <n v="1"/>
    <n v="12800"/>
    <n v="0"/>
    <s v="NA"/>
    <n v="12"/>
    <s v="South"/>
    <x v="12"/>
    <s v="New Orleans"/>
    <d v="2015-02-23T00:00:00"/>
    <n v="230.249"/>
  </r>
  <r>
    <n v="81"/>
    <s v="Old"/>
    <x v="1"/>
    <s v="Own Home"/>
    <s v="Married"/>
    <n v="1"/>
    <n v="118000"/>
    <n v="3"/>
    <s v="Low Spending"/>
    <n v="12"/>
    <s v="South"/>
    <x v="12"/>
    <s v="New Orleans"/>
    <d v="2015-01-08T00:00:00"/>
    <n v="581.20500000000004"/>
  </r>
  <r>
    <n v="94"/>
    <s v="Young"/>
    <x v="0"/>
    <s v="Renting"/>
    <s v="No"/>
    <n v="1"/>
    <n v="18700"/>
    <n v="0"/>
    <s v="Low Spending"/>
    <n v="12"/>
    <s v="South"/>
    <x v="12"/>
    <s v="New Orleans"/>
    <d v="2012-04-25T00:00:00"/>
    <n v="288.887"/>
  </r>
  <r>
    <n v="96"/>
    <s v="Young"/>
    <x v="1"/>
    <s v="Own Home"/>
    <s v="No"/>
    <n v="1"/>
    <n v="32600"/>
    <n v="3"/>
    <s v="Low Spending"/>
    <n v="12"/>
    <s v="South"/>
    <x v="12"/>
    <s v="New Orleans"/>
    <d v="2012-03-25T00:00:00"/>
    <n v="172.315"/>
  </r>
  <r>
    <n v="132"/>
    <s v="Young"/>
    <x v="1"/>
    <s v="Renting"/>
    <s v="No"/>
    <n v="0"/>
    <n v="23100"/>
    <n v="2"/>
    <s v="Low Spending"/>
    <n v="6"/>
    <s v="South"/>
    <x v="12"/>
    <s v="New Orleans"/>
    <d v="2012-06-08T00:00:00"/>
    <n v="465.55399999999997"/>
  </r>
  <r>
    <n v="133"/>
    <s v="Young"/>
    <x v="0"/>
    <s v="Renting"/>
    <s v="No"/>
    <n v="0"/>
    <n v="10900"/>
    <n v="0"/>
    <s v="Low Spending"/>
    <n v="24"/>
    <s v="South"/>
    <x v="12"/>
    <s v="New Orleans"/>
    <d v="2014-01-10T00:00:00"/>
    <n v="407.30200000000002"/>
  </r>
  <r>
    <n v="147"/>
    <s v="Middle Aged"/>
    <x v="0"/>
    <s v="Own Home"/>
    <s v="Married"/>
    <n v="1"/>
    <n v="69900"/>
    <n v="1"/>
    <s v="NA"/>
    <n v="18"/>
    <s v="South"/>
    <x v="12"/>
    <s v="New Orleans"/>
    <d v="2015-03-15T00:00:00"/>
    <n v="2100.8910000000001"/>
  </r>
  <r>
    <n v="165"/>
    <s v="Old"/>
    <x v="1"/>
    <s v="Renting"/>
    <s v="No"/>
    <n v="1"/>
    <n v="42500"/>
    <n v="0"/>
    <s v="Medium Spending"/>
    <n v="24"/>
    <s v="South"/>
    <x v="12"/>
    <s v="New Orleans"/>
    <d v="2012-05-28T00:00:00"/>
    <n v="918.16600000000005"/>
  </r>
  <r>
    <n v="169"/>
    <s v="Middle Aged"/>
    <x v="1"/>
    <s v="Own Home"/>
    <s v="No"/>
    <n v="0"/>
    <n v="56000"/>
    <n v="3"/>
    <s v="Medium Spending"/>
    <n v="6"/>
    <s v="South"/>
    <x v="12"/>
    <s v="New Orleans"/>
    <d v="2014-11-30T00:00:00"/>
    <n v="530.26700000000005"/>
  </r>
  <r>
    <n v="184"/>
    <s v="Young"/>
    <x v="1"/>
    <s v="Renting"/>
    <s v="No"/>
    <n v="1"/>
    <n v="14600"/>
    <n v="3"/>
    <s v="Low Spending"/>
    <n v="6"/>
    <s v="South"/>
    <x v="12"/>
    <s v="New Orleans"/>
    <d v="2010-08-28T00:00:00"/>
    <n v="46.55"/>
  </r>
  <r>
    <n v="186"/>
    <s v="Middle Aged"/>
    <x v="1"/>
    <s v="Own Home"/>
    <s v="Married"/>
    <n v="1"/>
    <n v="126300"/>
    <n v="1"/>
    <s v="High Spending"/>
    <n v="6"/>
    <s v="South"/>
    <x v="12"/>
    <s v="New Orleans"/>
    <d v="2009-07-29T00:00:00"/>
    <n v="1888.376"/>
  </r>
  <r>
    <n v="195"/>
    <s v="Middle Aged"/>
    <x v="0"/>
    <s v="Renting"/>
    <s v="No"/>
    <n v="1"/>
    <n v="44500"/>
    <n v="0"/>
    <s v="Medium Spending"/>
    <n v="24"/>
    <s v="South"/>
    <x v="12"/>
    <s v="New Orleans"/>
    <d v="2012-07-28T00:00:00"/>
    <n v="1174.7829999999999"/>
  </r>
  <r>
    <n v="211"/>
    <s v="Young"/>
    <x v="1"/>
    <s v="Renting"/>
    <s v="Married"/>
    <n v="1"/>
    <n v="54200"/>
    <n v="1"/>
    <s v="Medium Spending"/>
    <n v="6"/>
    <s v="South"/>
    <x v="12"/>
    <s v="New Orleans"/>
    <d v="2012-12-08T00:00:00"/>
    <n v="486.077"/>
  </r>
  <r>
    <n v="314"/>
    <s v="Young"/>
    <x v="0"/>
    <s v="Renting"/>
    <s v="Married"/>
    <n v="1"/>
    <n v="55500"/>
    <n v="3"/>
    <s v="Low Spending"/>
    <n v="12"/>
    <s v="South"/>
    <x v="12"/>
    <s v="New Orleans"/>
    <d v="2009-04-25T00:00:00"/>
    <n v="216.107"/>
  </r>
  <r>
    <n v="323"/>
    <s v="Middle Aged"/>
    <x v="0"/>
    <s v="Own Home"/>
    <s v="No"/>
    <n v="0"/>
    <n v="75400"/>
    <n v="0"/>
    <s v="High Spending"/>
    <n v="24"/>
    <s v="South"/>
    <x v="12"/>
    <s v="New Orleans"/>
    <d v="2009-01-07T00:00:00"/>
    <n v="2723.299"/>
  </r>
  <r>
    <n v="354"/>
    <s v="Young"/>
    <x v="0"/>
    <s v="Renting"/>
    <s v="No"/>
    <n v="1"/>
    <n v="23200"/>
    <n v="1"/>
    <s v="Low Spending"/>
    <n v="24"/>
    <s v="South"/>
    <x v="12"/>
    <s v="New Orleans"/>
    <d v="2013-04-01T00:00:00"/>
    <n v="504.00200000000001"/>
  </r>
  <r>
    <n v="379"/>
    <s v="Old"/>
    <x v="1"/>
    <s v="Own Home"/>
    <s v="Married"/>
    <n v="1"/>
    <n v="111500"/>
    <n v="0"/>
    <s v="High Spending"/>
    <n v="18"/>
    <s v="South"/>
    <x v="12"/>
    <s v="New Orleans"/>
    <d v="2011-03-15T00:00:00"/>
    <n v="2510.02"/>
  </r>
  <r>
    <n v="391"/>
    <s v="Young"/>
    <x v="1"/>
    <s v="Renting"/>
    <s v="No"/>
    <n v="1"/>
    <n v="22100"/>
    <n v="2"/>
    <s v="Low Spending"/>
    <n v="18"/>
    <s v="South"/>
    <x v="12"/>
    <s v="New Orleans"/>
    <d v="2010-11-25T00:00:00"/>
    <n v="280.38099999999997"/>
  </r>
  <r>
    <n v="436"/>
    <s v="Middle Aged"/>
    <x v="1"/>
    <s v="Own Home"/>
    <s v="Married"/>
    <n v="1"/>
    <n v="79900"/>
    <n v="3"/>
    <s v="Low Spending"/>
    <n v="12"/>
    <s v="South"/>
    <x v="12"/>
    <s v="New Orleans"/>
    <d v="2013-06-18T00:00:00"/>
    <n v="294.76100000000002"/>
  </r>
  <r>
    <n v="440"/>
    <s v="Young"/>
    <x v="1"/>
    <s v="Renting"/>
    <s v="Married"/>
    <n v="1"/>
    <n v="36900"/>
    <n v="1"/>
    <s v="NA"/>
    <n v="18"/>
    <s v="South"/>
    <x v="12"/>
    <s v="New Orleans"/>
    <d v="2015-07-06T00:00:00"/>
    <n v="1480.2829999999999"/>
  </r>
  <r>
    <n v="442"/>
    <s v="Middle Aged"/>
    <x v="1"/>
    <s v="Own Home"/>
    <s v="No"/>
    <n v="1"/>
    <n v="65800"/>
    <n v="1"/>
    <s v="Medium Spending"/>
    <n v="12"/>
    <s v="South"/>
    <x v="12"/>
    <s v="New Orleans"/>
    <d v="2010-08-15T00:00:00"/>
    <n v="868.524"/>
  </r>
  <r>
    <n v="449"/>
    <s v="Middle Aged"/>
    <x v="1"/>
    <s v="Renting"/>
    <s v="No"/>
    <n v="1"/>
    <n v="50500"/>
    <n v="1"/>
    <s v="Medium Spending"/>
    <n v="12"/>
    <s v="South"/>
    <x v="12"/>
    <s v="New Orleans"/>
    <d v="2011-01-27T00:00:00"/>
    <n v="940.15200000000004"/>
  </r>
  <r>
    <n v="476"/>
    <s v="Middle Aged"/>
    <x v="0"/>
    <s v="Own Home"/>
    <s v="Married"/>
    <n v="1"/>
    <n v="54200"/>
    <n v="1"/>
    <s v="Medium Spending"/>
    <n v="6"/>
    <s v="South"/>
    <x v="12"/>
    <s v="New Orleans"/>
    <d v="2015-08-22T00:00:00"/>
    <n v="756.95799999999997"/>
  </r>
  <r>
    <n v="532"/>
    <s v="Old"/>
    <x v="0"/>
    <s v="Renting"/>
    <s v="No"/>
    <n v="1"/>
    <n v="44400"/>
    <n v="0"/>
    <s v="Medium Spending"/>
    <n v="18"/>
    <s v="South"/>
    <x v="12"/>
    <s v="New Orleans"/>
    <d v="2011-11-29T00:00:00"/>
    <n v="886.31399999999996"/>
  </r>
  <r>
    <n v="558"/>
    <s v="Middle Aged"/>
    <x v="0"/>
    <s v="Own Home"/>
    <s v="Married"/>
    <n v="0"/>
    <n v="93000"/>
    <n v="3"/>
    <s v="High Spending"/>
    <n v="6"/>
    <s v="South"/>
    <x v="12"/>
    <s v="New Orleans"/>
    <d v="2015-02-17T00:00:00"/>
    <n v="1045.96"/>
  </r>
  <r>
    <n v="598"/>
    <s v="Old"/>
    <x v="1"/>
    <s v="Own Home"/>
    <s v="Married"/>
    <n v="1"/>
    <n v="22400"/>
    <n v="0"/>
    <s v="NA"/>
    <n v="24"/>
    <s v="South"/>
    <x v="12"/>
    <s v="New Orleans"/>
    <d v="2015-04-19T00:00:00"/>
    <n v="947.303"/>
  </r>
  <r>
    <n v="639"/>
    <s v="Middle Aged"/>
    <x v="1"/>
    <s v="Own Home"/>
    <s v="Married"/>
    <n v="1"/>
    <n v="74700"/>
    <n v="1"/>
    <s v="Medium Spending"/>
    <n v="6"/>
    <s v="South"/>
    <x v="12"/>
    <s v="New Orleans"/>
    <d v="2013-06-07T00:00:00"/>
    <n v="703.87900000000002"/>
  </r>
  <r>
    <n v="660"/>
    <s v="Middle Aged"/>
    <x v="0"/>
    <s v="Own Home"/>
    <s v="No"/>
    <n v="1"/>
    <n v="50600"/>
    <n v="3"/>
    <s v="NA"/>
    <n v="6"/>
    <s v="South"/>
    <x v="12"/>
    <s v="New Orleans"/>
    <d v="2015-07-09T00:00:00"/>
    <n v="713.01700000000005"/>
  </r>
  <r>
    <n v="751"/>
    <s v="Old"/>
    <x v="0"/>
    <s v="Renting"/>
    <s v="Married"/>
    <n v="1"/>
    <n v="90200"/>
    <n v="0"/>
    <s v="High Spending"/>
    <n v="18"/>
    <s v="South"/>
    <x v="12"/>
    <s v="New Orleans"/>
    <d v="2009-01-04T00:00:00"/>
    <n v="2183.422"/>
  </r>
  <r>
    <n v="756"/>
    <s v="Middle Aged"/>
    <x v="1"/>
    <s v="Renting"/>
    <s v="Married"/>
    <n v="1"/>
    <n v="82300"/>
    <n v="2"/>
    <s v="Medium Spending"/>
    <n v="12"/>
    <s v="South"/>
    <x v="12"/>
    <s v="New Orleans"/>
    <d v="2010-10-03T00:00:00"/>
    <n v="580.42999999999995"/>
  </r>
  <r>
    <n v="786"/>
    <s v="Young"/>
    <x v="0"/>
    <s v="Renting"/>
    <s v="No"/>
    <n v="0"/>
    <n v="20300"/>
    <n v="2"/>
    <s v="Low Spending"/>
    <n v="24"/>
    <s v="South"/>
    <x v="12"/>
    <s v="New Orleans"/>
    <d v="2011-11-22T00:00:00"/>
    <n v="450.07799999999997"/>
  </r>
  <r>
    <n v="795"/>
    <s v="Middle Aged"/>
    <x v="1"/>
    <s v="Renting"/>
    <s v="No"/>
    <n v="1"/>
    <n v="40700"/>
    <n v="3"/>
    <s v="Low Spending"/>
    <n v="18"/>
    <s v="South"/>
    <x v="12"/>
    <s v="New Orleans"/>
    <d v="2014-08-10T00:00:00"/>
    <n v="231.59399999999999"/>
  </r>
  <r>
    <n v="847"/>
    <s v="Middle Aged"/>
    <x v="0"/>
    <s v="Own Home"/>
    <s v="Married"/>
    <n v="1"/>
    <n v="83900"/>
    <n v="0"/>
    <s v="High Spending"/>
    <n v="24"/>
    <s v="South"/>
    <x v="12"/>
    <s v="New Orleans"/>
    <d v="2015-01-04T00:00:00"/>
    <n v="1721.248"/>
  </r>
  <r>
    <n v="857"/>
    <s v="Middle Aged"/>
    <x v="1"/>
    <s v="Own Home"/>
    <s v="Married"/>
    <n v="0"/>
    <n v="102800"/>
    <n v="2"/>
    <s v="High Spending"/>
    <n v="18"/>
    <s v="South"/>
    <x v="12"/>
    <s v="New Orleans"/>
    <d v="2015-03-21T00:00:00"/>
    <n v="2238.2280000000001"/>
  </r>
  <r>
    <n v="866"/>
    <s v="Young"/>
    <x v="1"/>
    <s v="Renting"/>
    <s v="No"/>
    <n v="1"/>
    <n v="26700"/>
    <n v="1"/>
    <s v="NA"/>
    <n v="12"/>
    <s v="South"/>
    <x v="12"/>
    <s v="New Orleans"/>
    <d v="2015-06-02T00:00:00"/>
    <n v="458.62599999999998"/>
  </r>
  <r>
    <n v="884"/>
    <s v="Middle Aged"/>
    <x v="0"/>
    <s v="Own Home"/>
    <s v="Married"/>
    <n v="1"/>
    <n v="84200"/>
    <n v="0"/>
    <s v="High Spending"/>
    <n v="24"/>
    <s v="South"/>
    <x v="12"/>
    <s v="New Orleans"/>
    <d v="2009-04-25T00:00:00"/>
    <n v="1654.133"/>
  </r>
  <r>
    <n v="892"/>
    <s v="Middle Aged"/>
    <x v="0"/>
    <s v="Own Home"/>
    <s v="Married"/>
    <n v="1"/>
    <n v="96900"/>
    <n v="0"/>
    <s v="High Spending"/>
    <n v="6"/>
    <s v="South"/>
    <x v="12"/>
    <s v="New Orleans"/>
    <d v="2009-09-12T00:00:00"/>
    <n v="1159.2170000000001"/>
  </r>
  <r>
    <n v="933"/>
    <s v="Old"/>
    <x v="1"/>
    <s v="Own Home"/>
    <s v="No"/>
    <n v="0"/>
    <n v="40600"/>
    <n v="2"/>
    <s v="Medium Spending"/>
    <n v="6"/>
    <s v="South"/>
    <x v="12"/>
    <s v="New Orleans"/>
    <d v="2014-03-12T00:00:00"/>
    <n v="690.24800000000005"/>
  </r>
  <r>
    <n v="946"/>
    <s v="Middle Aged"/>
    <x v="1"/>
    <s v="Renting"/>
    <s v="No"/>
    <n v="1"/>
    <n v="43000"/>
    <n v="3"/>
    <s v="Low Spending"/>
    <n v="24"/>
    <s v="South"/>
    <x v="12"/>
    <s v="New Orleans"/>
    <d v="2009-12-25T00:00:00"/>
    <n v="225.089"/>
  </r>
  <r>
    <n v="982"/>
    <s v="Middle Aged"/>
    <x v="0"/>
    <s v="Own Home"/>
    <s v="No"/>
    <n v="1"/>
    <n v="64300"/>
    <n v="0"/>
    <s v="NA"/>
    <n v="6"/>
    <s v="South"/>
    <x v="12"/>
    <s v="New Orleans"/>
    <d v="2015-01-27T00:00:00"/>
    <n v="1324.7570000000001"/>
  </r>
  <r>
    <n v="984"/>
    <s v="Old"/>
    <x v="0"/>
    <s v="Own Home"/>
    <s v="Married"/>
    <n v="0"/>
    <n v="86500"/>
    <n v="0"/>
    <s v="High Spending"/>
    <n v="24"/>
    <s v="South"/>
    <x v="12"/>
    <s v="New Orleans"/>
    <d v="2010-10-17T00:00:00"/>
    <n v="2690.0509999999999"/>
  </r>
  <r>
    <n v="986"/>
    <s v="Middle Aged"/>
    <x v="1"/>
    <s v="Own Home"/>
    <s v="Married"/>
    <n v="1"/>
    <n v="123600"/>
    <n v="1"/>
    <s v="NA"/>
    <n v="12"/>
    <s v="South"/>
    <x v="12"/>
    <s v="New Orleans"/>
    <d v="2015-03-29T00:00:00"/>
    <n v="1891.7819999999999"/>
  </r>
  <r>
    <n v="990"/>
    <s v="Young"/>
    <x v="1"/>
    <s v="Renting"/>
    <s v="No"/>
    <n v="0"/>
    <n v="12400"/>
    <n v="3"/>
    <s v="Low Spending"/>
    <n v="18"/>
    <s v="South"/>
    <x v="12"/>
    <s v="New Orleans"/>
    <d v="2013-04-05T00:00:00"/>
    <n v="204.91"/>
  </r>
  <r>
    <n v="31"/>
    <s v="Middle Aged"/>
    <x v="1"/>
    <s v="Own Home"/>
    <s v="No"/>
    <n v="0"/>
    <n v="55200"/>
    <n v="0"/>
    <s v="High Spending"/>
    <n v="18"/>
    <s v="East"/>
    <x v="1"/>
    <s v="New York"/>
    <d v="2010-09-01T00:00:00"/>
    <n v="1713.624"/>
  </r>
  <r>
    <n v="34"/>
    <s v="Middle Aged"/>
    <x v="1"/>
    <s v="Own Home"/>
    <s v="No"/>
    <n v="1"/>
    <n v="41300"/>
    <n v="1"/>
    <s v="NA"/>
    <n v="18"/>
    <s v="East"/>
    <x v="1"/>
    <s v="New York"/>
    <d v="2015-06-20T00:00:00"/>
    <n v="932.21400000000006"/>
  </r>
  <r>
    <n v="39"/>
    <s v="Old"/>
    <x v="1"/>
    <s v="Own Home"/>
    <s v="No"/>
    <n v="1"/>
    <n v="39900"/>
    <n v="0"/>
    <s v="NA"/>
    <n v="6"/>
    <s v="East"/>
    <x v="1"/>
    <s v="New York"/>
    <d v="2015-01-30T00:00:00"/>
    <n v="619.43799999999999"/>
  </r>
  <r>
    <n v="54"/>
    <s v="Old"/>
    <x v="1"/>
    <s v="Own Home"/>
    <s v="Married"/>
    <n v="1"/>
    <n v="21500"/>
    <n v="0"/>
    <s v="Low Spending"/>
    <n v="18"/>
    <s v="East"/>
    <x v="1"/>
    <s v="New York"/>
    <d v="2011-11-21T00:00:00"/>
    <n v="444.98700000000002"/>
  </r>
  <r>
    <n v="143"/>
    <s v="Young"/>
    <x v="0"/>
    <s v="Own Home"/>
    <s v="Married"/>
    <n v="1"/>
    <n v="58900"/>
    <n v="0"/>
    <s v="NA"/>
    <n v="18"/>
    <s v="East"/>
    <x v="1"/>
    <s v="New York"/>
    <d v="2015-04-07T00:00:00"/>
    <n v="1214.607"/>
  </r>
  <r>
    <n v="160"/>
    <s v="Young"/>
    <x v="0"/>
    <s v="Renting"/>
    <s v="No"/>
    <n v="1"/>
    <n v="14800"/>
    <n v="3"/>
    <s v="NA"/>
    <n v="12"/>
    <s v="East"/>
    <x v="1"/>
    <s v="New York"/>
    <d v="2015-03-02T00:00:00"/>
    <n v="435.74700000000001"/>
  </r>
  <r>
    <n v="206"/>
    <s v="Old"/>
    <x v="1"/>
    <s v="Own Home"/>
    <s v="No"/>
    <n v="1"/>
    <n v="17300"/>
    <n v="0"/>
    <s v="Low Spending"/>
    <n v="6"/>
    <s v="East"/>
    <x v="1"/>
    <s v="New York"/>
    <d v="2013-05-03T00:00:00"/>
    <n v="165.935"/>
  </r>
  <r>
    <n v="237"/>
    <s v="Middle Aged"/>
    <x v="1"/>
    <s v="Renting"/>
    <s v="Married"/>
    <n v="1"/>
    <n v="79500"/>
    <n v="0"/>
    <s v="High Spending"/>
    <n v="12"/>
    <s v="East"/>
    <x v="1"/>
    <s v="New York"/>
    <d v="2014-12-24T00:00:00"/>
    <n v="1650.913"/>
  </r>
  <r>
    <n v="259"/>
    <s v="Middle Aged"/>
    <x v="0"/>
    <s v="Own Home"/>
    <s v="No"/>
    <n v="1"/>
    <n v="82800"/>
    <n v="0"/>
    <s v="NA"/>
    <n v="6"/>
    <s v="East"/>
    <x v="1"/>
    <s v="New York"/>
    <d v="2015-05-27T00:00:00"/>
    <n v="1543.5630000000001"/>
  </r>
  <r>
    <n v="286"/>
    <s v="Middle Aged"/>
    <x v="1"/>
    <s v="Renting"/>
    <s v="No"/>
    <n v="1"/>
    <n v="25700"/>
    <n v="2"/>
    <s v="Low Spending"/>
    <n v="6"/>
    <s v="East"/>
    <x v="1"/>
    <s v="New York"/>
    <d v="2014-07-04T00:00:00"/>
    <n v="172.83799999999999"/>
  </r>
  <r>
    <n v="303"/>
    <s v="Middle Aged"/>
    <x v="0"/>
    <s v="Own Home"/>
    <s v="Married"/>
    <n v="1"/>
    <n v="117500"/>
    <n v="2"/>
    <s v="Medium Spending"/>
    <n v="12"/>
    <s v="East"/>
    <x v="1"/>
    <s v="New York"/>
    <d v="2010-04-11T00:00:00"/>
    <n v="926.87300000000005"/>
  </r>
  <r>
    <n v="308"/>
    <s v="Middle Aged"/>
    <x v="0"/>
    <s v="Own Home"/>
    <s v="No"/>
    <n v="0"/>
    <n v="45000"/>
    <n v="1"/>
    <s v="NA"/>
    <n v="18"/>
    <s v="East"/>
    <x v="1"/>
    <s v="New York"/>
    <d v="2015-07-19T00:00:00"/>
    <n v="901.55100000000004"/>
  </r>
  <r>
    <n v="319"/>
    <s v="Old"/>
    <x v="1"/>
    <s v="Own Home"/>
    <s v="Married"/>
    <n v="1"/>
    <n v="72900"/>
    <n v="0"/>
    <s v="High Spending"/>
    <n v="6"/>
    <s v="East"/>
    <x v="1"/>
    <s v="New York"/>
    <d v="2012-09-09T00:00:00"/>
    <n v="752.51599999999996"/>
  </r>
  <r>
    <n v="336"/>
    <s v="Middle Aged"/>
    <x v="0"/>
    <s v="Own Home"/>
    <s v="Married"/>
    <n v="1"/>
    <n v="97500"/>
    <n v="0"/>
    <s v="High Spending"/>
    <n v="18"/>
    <s v="East"/>
    <x v="1"/>
    <s v="New York"/>
    <d v="2009-05-06T00:00:00"/>
    <n v="2836.752"/>
  </r>
  <r>
    <n v="352"/>
    <s v="Young"/>
    <x v="1"/>
    <s v="Renting"/>
    <s v="No"/>
    <n v="0"/>
    <n v="12500"/>
    <n v="1"/>
    <s v="NA"/>
    <n v="12"/>
    <s v="East"/>
    <x v="1"/>
    <s v="New York"/>
    <d v="2015-04-08T00:00:00"/>
    <n v="421.96899999999999"/>
  </r>
  <r>
    <n v="401"/>
    <s v="Middle Aged"/>
    <x v="1"/>
    <s v="Own Home"/>
    <s v="No"/>
    <n v="1"/>
    <n v="46100"/>
    <n v="2"/>
    <s v="Low Spending"/>
    <n v="12"/>
    <s v="East"/>
    <x v="1"/>
    <s v="New York"/>
    <d v="2013-05-26T00:00:00"/>
    <n v="418.435"/>
  </r>
  <r>
    <n v="434"/>
    <s v="Middle Aged"/>
    <x v="1"/>
    <s v="Renting"/>
    <s v="Married"/>
    <n v="1"/>
    <n v="81400"/>
    <n v="2"/>
    <s v="NA"/>
    <n v="6"/>
    <s v="East"/>
    <x v="1"/>
    <s v="New York"/>
    <d v="2015-03-25T00:00:00"/>
    <n v="1014.335"/>
  </r>
  <r>
    <n v="465"/>
    <s v="Middle Aged"/>
    <x v="0"/>
    <s v="Own Home"/>
    <s v="Married"/>
    <n v="1"/>
    <n v="64800"/>
    <n v="2"/>
    <s v="Medium Spending"/>
    <n v="12"/>
    <s v="East"/>
    <x v="1"/>
    <s v="New York"/>
    <d v="2010-01-15T00:00:00"/>
    <n v="574.10299999999995"/>
  </r>
  <r>
    <n v="493"/>
    <s v="Old"/>
    <x v="0"/>
    <s v="Own Home"/>
    <s v="Married"/>
    <n v="1"/>
    <n v="58300"/>
    <n v="0"/>
    <s v="Medium Spending"/>
    <n v="24"/>
    <s v="East"/>
    <x v="1"/>
    <s v="New York"/>
    <d v="2014-08-12T00:00:00"/>
    <n v="1472.2629999999999"/>
  </r>
  <r>
    <n v="513"/>
    <s v="Middle Aged"/>
    <x v="1"/>
    <s v="Own Home"/>
    <s v="Married"/>
    <n v="0"/>
    <n v="90400"/>
    <n v="1"/>
    <s v="High Spending"/>
    <n v="18"/>
    <s v="East"/>
    <x v="1"/>
    <s v="New York"/>
    <d v="2011-12-03T00:00:00"/>
    <n v="2924.424"/>
  </r>
  <r>
    <n v="543"/>
    <s v="Young"/>
    <x v="1"/>
    <s v="Renting"/>
    <s v="No"/>
    <n v="1"/>
    <n v="14800"/>
    <n v="1"/>
    <s v="Low Spending"/>
    <n v="6"/>
    <s v="East"/>
    <x v="1"/>
    <s v="New York"/>
    <d v="2009-06-25T00:00:00"/>
    <n v="208.505"/>
  </r>
  <r>
    <n v="571"/>
    <s v="Middle Aged"/>
    <x v="1"/>
    <s v="Own Home"/>
    <s v="Married"/>
    <n v="1"/>
    <n v="68200"/>
    <n v="1"/>
    <s v="NA"/>
    <n v="6"/>
    <s v="East"/>
    <x v="1"/>
    <s v="New York"/>
    <d v="2015-07-25T00:00:00"/>
    <n v="817.74800000000005"/>
  </r>
  <r>
    <n v="631"/>
    <s v="Middle Aged"/>
    <x v="0"/>
    <s v="Renting"/>
    <s v="No"/>
    <n v="1"/>
    <n v="45900"/>
    <n v="0"/>
    <s v="Medium Spending"/>
    <n v="12"/>
    <s v="East"/>
    <x v="1"/>
    <s v="New York"/>
    <d v="2011-01-25T00:00:00"/>
    <n v="716.31399999999996"/>
  </r>
  <r>
    <n v="637"/>
    <s v="Old"/>
    <x v="1"/>
    <s v="Own Home"/>
    <s v="No"/>
    <n v="1"/>
    <n v="51900"/>
    <n v="0"/>
    <s v="Medium Spending"/>
    <n v="12"/>
    <s v="East"/>
    <x v="1"/>
    <s v="New York"/>
    <d v="2014-02-20T00:00:00"/>
    <n v="1147.6400000000001"/>
  </r>
  <r>
    <n v="661"/>
    <s v="Middle Aged"/>
    <x v="1"/>
    <s v="Own Home"/>
    <s v="Married"/>
    <n v="1"/>
    <n v="67900"/>
    <n v="3"/>
    <s v="Low Spending"/>
    <n v="12"/>
    <s v="East"/>
    <x v="1"/>
    <s v="New York"/>
    <d v="2014-08-23T00:00:00"/>
    <n v="355.95"/>
  </r>
  <r>
    <n v="697"/>
    <s v="Middle Aged"/>
    <x v="1"/>
    <s v="Own Home"/>
    <s v="No"/>
    <n v="0"/>
    <n v="52600"/>
    <n v="2"/>
    <s v="Medium Spending"/>
    <n v="12"/>
    <s v="East"/>
    <x v="1"/>
    <s v="New York"/>
    <d v="2011-05-02T00:00:00"/>
    <n v="1307.0039999999999"/>
  </r>
  <r>
    <n v="744"/>
    <s v="Young"/>
    <x v="1"/>
    <s v="Renting"/>
    <s v="No"/>
    <n v="1"/>
    <n v="13500"/>
    <n v="0"/>
    <s v="Low Spending"/>
    <n v="18"/>
    <s v="East"/>
    <x v="1"/>
    <s v="New York"/>
    <d v="2015-07-23T00:00:00"/>
    <n v="295.70800000000003"/>
  </r>
  <r>
    <n v="746"/>
    <s v="Middle Aged"/>
    <x v="1"/>
    <s v="Renting"/>
    <s v="No"/>
    <n v="0"/>
    <n v="39000"/>
    <n v="3"/>
    <s v="Low Spending"/>
    <n v="6"/>
    <s v="East"/>
    <x v="1"/>
    <s v="New York"/>
    <d v="2012-10-19T00:00:00"/>
    <n v="291.73899999999998"/>
  </r>
  <r>
    <n v="807"/>
    <s v="Middle Aged"/>
    <x v="1"/>
    <s v="Renting"/>
    <s v="Married"/>
    <n v="1"/>
    <n v="93500"/>
    <n v="1"/>
    <s v="High Spending"/>
    <n v="18"/>
    <s v="East"/>
    <x v="1"/>
    <s v="New York"/>
    <d v="2009-05-11T00:00:00"/>
    <n v="1425.9690000000001"/>
  </r>
  <r>
    <n v="813"/>
    <s v="Middle Aged"/>
    <x v="0"/>
    <s v="Renting"/>
    <s v="No"/>
    <n v="1"/>
    <n v="43800"/>
    <n v="0"/>
    <s v="Medium Spending"/>
    <n v="12"/>
    <s v="East"/>
    <x v="1"/>
    <s v="New York"/>
    <d v="2011-12-12T00:00:00"/>
    <n v="605.54100000000005"/>
  </r>
  <r>
    <n v="814"/>
    <s v="Old"/>
    <x v="0"/>
    <s v="Own Home"/>
    <s v="Married"/>
    <n v="1"/>
    <n v="66300"/>
    <n v="0"/>
    <s v="High Spending"/>
    <n v="12"/>
    <s v="East"/>
    <x v="1"/>
    <s v="New York"/>
    <d v="2010-02-20T00:00:00"/>
    <n v="1087.79"/>
  </r>
  <r>
    <n v="819"/>
    <s v="Young"/>
    <x v="1"/>
    <s v="Renting"/>
    <s v="Married"/>
    <n v="1"/>
    <n v="25500"/>
    <n v="2"/>
    <s v="Low Spending"/>
    <n v="6"/>
    <s v="East"/>
    <x v="1"/>
    <s v="New York"/>
    <d v="2015-08-12T00:00:00"/>
    <n v="138.626"/>
  </r>
  <r>
    <n v="831"/>
    <s v="Middle Aged"/>
    <x v="0"/>
    <s v="Own Home"/>
    <s v="Married"/>
    <n v="1"/>
    <n v="77700"/>
    <n v="0"/>
    <s v="NA"/>
    <n v="6"/>
    <s v="East"/>
    <x v="1"/>
    <s v="New York"/>
    <d v="2015-03-16T00:00:00"/>
    <n v="983.21"/>
  </r>
  <r>
    <n v="851"/>
    <s v="Old"/>
    <x v="1"/>
    <s v="Renting"/>
    <s v="No"/>
    <n v="1"/>
    <n v="37000"/>
    <n v="1"/>
    <s v="NA"/>
    <n v="6"/>
    <s v="East"/>
    <x v="1"/>
    <s v="New York"/>
    <d v="2015-08-14T00:00:00"/>
    <n v="632.35599999999999"/>
  </r>
  <r>
    <n v="874"/>
    <s v="Middle Aged"/>
    <x v="0"/>
    <s v="Own Home"/>
    <s v="Married"/>
    <n v="1"/>
    <n v="60500"/>
    <n v="3"/>
    <s v="Low Spending"/>
    <n v="12"/>
    <s v="East"/>
    <x v="1"/>
    <s v="New York"/>
    <d v="2014-04-30T00:00:00"/>
    <n v="339.63900000000001"/>
  </r>
  <r>
    <n v="930"/>
    <s v="Old"/>
    <x v="1"/>
    <s v="Renting"/>
    <s v="No"/>
    <n v="0"/>
    <n v="15000"/>
    <n v="0"/>
    <s v="Low Spending"/>
    <n v="12"/>
    <s v="East"/>
    <x v="1"/>
    <s v="New York"/>
    <d v="2012-09-10T00:00:00"/>
    <n v="377.952"/>
  </r>
  <r>
    <n v="938"/>
    <s v="Old"/>
    <x v="1"/>
    <s v="Own Home"/>
    <s v="No"/>
    <n v="1"/>
    <n v="22800"/>
    <n v="0"/>
    <s v="Low Spending"/>
    <n v="6"/>
    <s v="East"/>
    <x v="1"/>
    <s v="New York"/>
    <d v="2014-10-21T00:00:00"/>
    <n v="257.67"/>
  </r>
  <r>
    <n v="952"/>
    <s v="Middle Aged"/>
    <x v="0"/>
    <s v="Own Home"/>
    <s v="Married"/>
    <n v="1"/>
    <n v="108200"/>
    <n v="3"/>
    <s v="Low Spending"/>
    <n v="12"/>
    <s v="East"/>
    <x v="1"/>
    <s v="New York"/>
    <d v="2011-07-18T00:00:00"/>
    <n v="635.30700000000002"/>
  </r>
  <r>
    <n v="958"/>
    <s v="Middle Aged"/>
    <x v="1"/>
    <s v="Own Home"/>
    <s v="Married"/>
    <n v="0"/>
    <n v="109800"/>
    <n v="0"/>
    <s v="High Spending"/>
    <n v="18"/>
    <s v="East"/>
    <x v="1"/>
    <s v="New York"/>
    <d v="2012-11-02T00:00:00"/>
    <n v="4279.2579999999998"/>
  </r>
  <r>
    <n v="1"/>
    <s v="Young"/>
    <x v="1"/>
    <s v="Renting"/>
    <s v="No"/>
    <n v="1"/>
    <n v="16400"/>
    <n v="1"/>
    <s v="Low Spending"/>
    <n v="12"/>
    <s v="South"/>
    <x v="11"/>
    <s v="Orlando"/>
    <d v="2011-10-23T00:00:00"/>
    <n v="217.691"/>
  </r>
  <r>
    <n v="3"/>
    <s v="Middle Aged"/>
    <x v="0"/>
    <s v="Own Home"/>
    <s v="Married"/>
    <n v="1"/>
    <n v="97300"/>
    <n v="1"/>
    <s v="NA"/>
    <n v="12"/>
    <s v="South"/>
    <x v="11"/>
    <s v="Orlando"/>
    <d v="2015-08-18T00:00:00"/>
    <n v="3047.5630000000001"/>
  </r>
  <r>
    <n v="10"/>
    <s v="Old"/>
    <x v="0"/>
    <s v="Own Home"/>
    <s v="Married"/>
    <n v="0"/>
    <n v="62300"/>
    <n v="0"/>
    <s v="High Spending"/>
    <n v="24"/>
    <s v="South"/>
    <x v="11"/>
    <s v="Orlando"/>
    <d v="2011-06-09T00:00:00"/>
    <n v="2644.4180000000001"/>
  </r>
  <r>
    <n v="35"/>
    <s v="Middle Aged"/>
    <x v="0"/>
    <s v="Own Home"/>
    <s v="No"/>
    <n v="0"/>
    <n v="65400"/>
    <n v="1"/>
    <s v="High Spending"/>
    <n v="12"/>
    <s v="South"/>
    <x v="11"/>
    <s v="Orlando"/>
    <d v="2011-04-26T00:00:00"/>
    <n v="2289.9679999999998"/>
  </r>
  <r>
    <n v="109"/>
    <s v="Young"/>
    <x v="0"/>
    <s v="Renting"/>
    <s v="Married"/>
    <n v="1"/>
    <n v="36500"/>
    <n v="0"/>
    <s v="Medium Spending"/>
    <n v="24"/>
    <s v="South"/>
    <x v="11"/>
    <s v="Orlando"/>
    <d v="2013-07-22T00:00:00"/>
    <n v="1140.258"/>
  </r>
  <r>
    <n v="119"/>
    <s v="Middle Aged"/>
    <x v="0"/>
    <s v="Own Home"/>
    <s v="No"/>
    <n v="1"/>
    <n v="68400"/>
    <n v="0"/>
    <s v="High Spending"/>
    <n v="18"/>
    <s v="South"/>
    <x v="11"/>
    <s v="Orlando"/>
    <d v="2013-01-05T00:00:00"/>
    <n v="1154.914"/>
  </r>
  <r>
    <n v="210"/>
    <s v="Old"/>
    <x v="1"/>
    <s v="Own Home"/>
    <s v="Married"/>
    <n v="1"/>
    <n v="41600"/>
    <n v="0"/>
    <s v="NA"/>
    <n v="18"/>
    <s v="South"/>
    <x v="11"/>
    <s v="Orlando"/>
    <d v="2015-07-02T00:00:00"/>
    <n v="982.04100000000005"/>
  </r>
  <r>
    <n v="215"/>
    <s v="Young"/>
    <x v="0"/>
    <s v="Renting"/>
    <s v="Married"/>
    <n v="1"/>
    <n v="36900"/>
    <n v="0"/>
    <s v="Medium Spending"/>
    <n v="18"/>
    <s v="South"/>
    <x v="11"/>
    <s v="Orlando"/>
    <d v="2011-01-31T00:00:00"/>
    <n v="721.33500000000004"/>
  </r>
  <r>
    <n v="220"/>
    <s v="Young"/>
    <x v="1"/>
    <s v="Renting"/>
    <s v="Married"/>
    <n v="1"/>
    <n v="40900"/>
    <n v="1"/>
    <s v="Medium Spending"/>
    <n v="18"/>
    <s v="South"/>
    <x v="11"/>
    <s v="Orlando"/>
    <d v="2011-08-22T00:00:00"/>
    <n v="961.60900000000004"/>
  </r>
  <r>
    <n v="248"/>
    <s v="Old"/>
    <x v="1"/>
    <s v="Own Home"/>
    <s v="No"/>
    <n v="1"/>
    <n v="35900"/>
    <n v="0"/>
    <s v="NA"/>
    <n v="12"/>
    <s v="South"/>
    <x v="11"/>
    <s v="Orlando"/>
    <d v="2015-06-17T00:00:00"/>
    <n v="962.01199999999994"/>
  </r>
  <r>
    <n v="253"/>
    <s v="Old"/>
    <x v="1"/>
    <s v="Renting"/>
    <s v="No"/>
    <n v="0"/>
    <n v="20400"/>
    <n v="0"/>
    <s v="NA"/>
    <n v="24"/>
    <s v="South"/>
    <x v="11"/>
    <s v="Orlando"/>
    <d v="2015-03-21T00:00:00"/>
    <n v="513.07600000000002"/>
  </r>
  <r>
    <n v="296"/>
    <s v="Middle Aged"/>
    <x v="0"/>
    <s v="Own Home"/>
    <s v="Married"/>
    <n v="1"/>
    <n v="83000"/>
    <n v="2"/>
    <s v="Medium Spending"/>
    <n v="6"/>
    <s v="South"/>
    <x v="11"/>
    <s v="Orlando"/>
    <d v="2014-08-06T00:00:00"/>
    <n v="725.79"/>
  </r>
  <r>
    <n v="316"/>
    <s v="Middle Aged"/>
    <x v="0"/>
    <s v="Own Home"/>
    <s v="Married"/>
    <n v="1"/>
    <n v="96300"/>
    <n v="2"/>
    <s v="NA"/>
    <n v="18"/>
    <s v="South"/>
    <x v="11"/>
    <s v="Orlando"/>
    <d v="2015-02-14T00:00:00"/>
    <n v="3915.86"/>
  </r>
  <r>
    <n v="318"/>
    <s v="Middle Aged"/>
    <x v="0"/>
    <s v="Own Home"/>
    <s v="No"/>
    <n v="1"/>
    <n v="60200"/>
    <n v="0"/>
    <s v="Medium Spending"/>
    <n v="12"/>
    <s v="South"/>
    <x v="11"/>
    <s v="Orlando"/>
    <d v="2013-07-18T00:00:00"/>
    <n v="1365.3320000000001"/>
  </r>
  <r>
    <n v="337"/>
    <s v="Young"/>
    <x v="0"/>
    <s v="Own Home"/>
    <s v="No"/>
    <n v="1"/>
    <n v="29600"/>
    <n v="3"/>
    <s v="NA"/>
    <n v="12"/>
    <s v="South"/>
    <x v="11"/>
    <s v="Orlando"/>
    <d v="2015-03-22T00:00:00"/>
    <n v="583.08100000000002"/>
  </r>
  <r>
    <n v="342"/>
    <s v="Young"/>
    <x v="1"/>
    <s v="Renting"/>
    <s v="No"/>
    <n v="1"/>
    <n v="17200"/>
    <n v="1"/>
    <s v="NA"/>
    <n v="12"/>
    <s v="South"/>
    <x v="11"/>
    <s v="Orlando"/>
    <d v="2015-08-04T00:00:00"/>
    <n v="329.39699999999999"/>
  </r>
  <r>
    <n v="347"/>
    <s v="Middle Aged"/>
    <x v="0"/>
    <s v="Own Home"/>
    <s v="Married"/>
    <n v="0"/>
    <n v="72500"/>
    <n v="0"/>
    <s v="NA"/>
    <n v="24"/>
    <s v="South"/>
    <x v="11"/>
    <s v="Orlando"/>
    <d v="2015-01-16T00:00:00"/>
    <n v="2594.924"/>
  </r>
  <r>
    <n v="355"/>
    <s v="Young"/>
    <x v="0"/>
    <s v="Renting"/>
    <s v="Married"/>
    <n v="1"/>
    <n v="41600"/>
    <n v="3"/>
    <s v="NA"/>
    <n v="24"/>
    <s v="South"/>
    <x v="11"/>
    <s v="Orlando"/>
    <d v="2015-02-02T00:00:00"/>
    <n v="1633.5550000000001"/>
  </r>
  <r>
    <n v="363"/>
    <s v="Middle Aged"/>
    <x v="1"/>
    <s v="Own Home"/>
    <s v="No"/>
    <n v="1"/>
    <n v="43300"/>
    <n v="1"/>
    <s v="NA"/>
    <n v="18"/>
    <s v="South"/>
    <x v="11"/>
    <s v="Orlando"/>
    <d v="2015-03-29T00:00:00"/>
    <n v="1020.542"/>
  </r>
  <r>
    <n v="396"/>
    <s v="Middle Aged"/>
    <x v="0"/>
    <s v="Renting"/>
    <s v="Married"/>
    <n v="1"/>
    <n v="105600"/>
    <n v="3"/>
    <s v="Low Spending"/>
    <n v="6"/>
    <s v="South"/>
    <x v="11"/>
    <s v="Orlando"/>
    <d v="2015-02-09T00:00:00"/>
    <n v="304.20100000000002"/>
  </r>
  <r>
    <n v="420"/>
    <s v="Middle Aged"/>
    <x v="0"/>
    <s v="Own Home"/>
    <s v="Married"/>
    <n v="1"/>
    <n v="109600"/>
    <n v="1"/>
    <s v="High Spending"/>
    <n v="12"/>
    <s v="South"/>
    <x v="11"/>
    <s v="Orlando"/>
    <d v="2015-02-17T00:00:00"/>
    <n v="2317.5540000000001"/>
  </r>
  <r>
    <n v="482"/>
    <s v="Young"/>
    <x v="1"/>
    <s v="Renting"/>
    <s v="No"/>
    <n v="1"/>
    <n v="15000"/>
    <n v="2"/>
    <s v="NA"/>
    <n v="12"/>
    <s v="South"/>
    <x v="11"/>
    <s v="Orlando"/>
    <d v="2015-06-03T00:00:00"/>
    <n v="340.80900000000003"/>
  </r>
  <r>
    <n v="492"/>
    <s v="Young"/>
    <x v="1"/>
    <s v="Own Home"/>
    <s v="No"/>
    <n v="0"/>
    <n v="27900"/>
    <n v="0"/>
    <s v="Medium Spending"/>
    <n v="18"/>
    <s v="South"/>
    <x v="11"/>
    <s v="Orlando"/>
    <d v="2012-01-27T00:00:00"/>
    <n v="1184.0540000000001"/>
  </r>
  <r>
    <n v="518"/>
    <s v="Old"/>
    <x v="0"/>
    <s v="Own Home"/>
    <s v="Married"/>
    <n v="0"/>
    <n v="37000"/>
    <n v="0"/>
    <s v="Medium Spending"/>
    <n v="12"/>
    <s v="South"/>
    <x v="11"/>
    <s v="Orlando"/>
    <d v="2010-05-17T00:00:00"/>
    <n v="849.67200000000003"/>
  </r>
  <r>
    <n v="544"/>
    <s v="Young"/>
    <x v="1"/>
    <s v="Renting"/>
    <s v="No"/>
    <n v="1"/>
    <n v="12700"/>
    <n v="3"/>
    <s v="Low Spending"/>
    <n v="12"/>
    <s v="South"/>
    <x v="11"/>
    <s v="Orlando"/>
    <d v="2009-08-19T00:00:00"/>
    <n v="87.448999999999998"/>
  </r>
  <r>
    <n v="581"/>
    <s v="Old"/>
    <x v="0"/>
    <s v="Own Home"/>
    <s v="Married"/>
    <n v="0"/>
    <n v="112900"/>
    <n v="0"/>
    <s v="High Spending"/>
    <n v="24"/>
    <s v="South"/>
    <x v="11"/>
    <s v="Orlando"/>
    <d v="2009-02-05T00:00:00"/>
    <n v="6217.3429999999998"/>
  </r>
  <r>
    <n v="592"/>
    <s v="Young"/>
    <x v="1"/>
    <s v="Renting"/>
    <s v="No"/>
    <n v="0"/>
    <n v="32400"/>
    <n v="1"/>
    <s v="Medium Spending"/>
    <n v="24"/>
    <s v="South"/>
    <x v="11"/>
    <s v="Orlando"/>
    <d v="2011-07-24T00:00:00"/>
    <n v="919.96500000000003"/>
  </r>
  <r>
    <n v="594"/>
    <s v="Middle Aged"/>
    <x v="1"/>
    <s v="Renting"/>
    <s v="Married"/>
    <n v="0"/>
    <n v="120800"/>
    <n v="1"/>
    <s v="High Spending"/>
    <n v="24"/>
    <s v="South"/>
    <x v="11"/>
    <s v="Orlando"/>
    <d v="2014-08-18T00:00:00"/>
    <n v="5829.6549999999997"/>
  </r>
  <r>
    <n v="602"/>
    <s v="Middle Aged"/>
    <x v="0"/>
    <s v="Own Home"/>
    <s v="No"/>
    <n v="0"/>
    <n v="39100"/>
    <n v="1"/>
    <s v="Medium Spending"/>
    <n v="12"/>
    <s v="South"/>
    <x v="11"/>
    <s v="Orlando"/>
    <d v="2013-01-25T00:00:00"/>
    <n v="1001.371"/>
  </r>
  <r>
    <n v="734"/>
    <s v="Young"/>
    <x v="1"/>
    <s v="Own Home"/>
    <s v="Married"/>
    <n v="0"/>
    <n v="68000"/>
    <n v="0"/>
    <s v="High Spending"/>
    <n v="24"/>
    <s v="South"/>
    <x v="11"/>
    <s v="Orlando"/>
    <d v="2010-07-02T00:00:00"/>
    <n v="3688.4450000000002"/>
  </r>
  <r>
    <n v="764"/>
    <s v="Young"/>
    <x v="0"/>
    <s v="Renting"/>
    <s v="No"/>
    <n v="1"/>
    <n v="28400"/>
    <n v="3"/>
    <s v="Low Spending"/>
    <n v="18"/>
    <s v="South"/>
    <x v="11"/>
    <s v="Orlando"/>
    <d v="2010-10-30T00:00:00"/>
    <n v="181.75299999999999"/>
  </r>
  <r>
    <n v="776"/>
    <s v="Middle Aged"/>
    <x v="0"/>
    <s v="Own Home"/>
    <s v="Married"/>
    <n v="1"/>
    <n v="79000"/>
    <n v="2"/>
    <s v="Medium Spending"/>
    <n v="18"/>
    <s v="South"/>
    <x v="11"/>
    <s v="Orlando"/>
    <d v="2014-07-16T00:00:00"/>
    <n v="670.50800000000004"/>
  </r>
  <r>
    <n v="797"/>
    <s v="Old"/>
    <x v="0"/>
    <s v="Own Home"/>
    <s v="Married"/>
    <n v="1"/>
    <n v="134500"/>
    <n v="0"/>
    <s v="High Spending"/>
    <n v="24"/>
    <s v="South"/>
    <x v="11"/>
    <s v="Orlando"/>
    <d v="2010-10-16T00:00:00"/>
    <n v="4557.7539999999999"/>
  </r>
  <r>
    <n v="802"/>
    <s v="Young"/>
    <x v="1"/>
    <s v="Renting"/>
    <s v="Married"/>
    <n v="1"/>
    <n v="40000"/>
    <n v="0"/>
    <s v="NA"/>
    <n v="6"/>
    <s v="South"/>
    <x v="11"/>
    <s v="Orlando"/>
    <d v="2015-06-28T00:00:00"/>
    <n v="613.32600000000002"/>
  </r>
  <r>
    <n v="809"/>
    <s v="Middle Aged"/>
    <x v="0"/>
    <s v="Own Home"/>
    <s v="Married"/>
    <n v="1"/>
    <n v="127000"/>
    <n v="0"/>
    <s v="NA"/>
    <n v="12"/>
    <s v="South"/>
    <x v="11"/>
    <s v="Orlando"/>
    <d v="2015-01-01T00:00:00"/>
    <n v="1821.011"/>
  </r>
  <r>
    <n v="843"/>
    <s v="Young"/>
    <x v="0"/>
    <s v="Renting"/>
    <s v="No"/>
    <n v="1"/>
    <n v="19600"/>
    <n v="0"/>
    <s v="Low Spending"/>
    <n v="12"/>
    <s v="South"/>
    <x v="11"/>
    <s v="Orlando"/>
    <d v="2009-07-31T00:00:00"/>
    <n v="395.31900000000002"/>
  </r>
  <r>
    <n v="895"/>
    <s v="Old"/>
    <x v="0"/>
    <s v="Own Home"/>
    <s v="Married"/>
    <n v="0"/>
    <n v="74500"/>
    <n v="0"/>
    <s v="NA"/>
    <n v="18"/>
    <s v="South"/>
    <x v="11"/>
    <s v="Orlando"/>
    <d v="2015-01-06T00:00:00"/>
    <n v="1413.2239999999999"/>
  </r>
  <r>
    <n v="902"/>
    <s v="Middle Aged"/>
    <x v="1"/>
    <s v="Renting"/>
    <s v="Married"/>
    <n v="1"/>
    <n v="68800"/>
    <n v="0"/>
    <s v="NA"/>
    <n v="6"/>
    <s v="South"/>
    <x v="11"/>
    <s v="Orlando"/>
    <d v="2015-07-10T00:00:00"/>
    <n v="1658.269"/>
  </r>
  <r>
    <n v="905"/>
    <s v="Young"/>
    <x v="0"/>
    <s v="Renting"/>
    <s v="No"/>
    <n v="1"/>
    <n v="18000"/>
    <n v="0"/>
    <s v="Low Spending"/>
    <n v="12"/>
    <s v="South"/>
    <x v="11"/>
    <s v="Orlando"/>
    <d v="2014-09-17T00:00:00"/>
    <n v="303.065"/>
  </r>
  <r>
    <n v="912"/>
    <s v="Young"/>
    <x v="1"/>
    <s v="Renting"/>
    <s v="No"/>
    <n v="1"/>
    <n v="29200"/>
    <n v="3"/>
    <s v="NA"/>
    <n v="6"/>
    <s v="South"/>
    <x v="11"/>
    <s v="Orlando"/>
    <d v="2015-04-08T00:00:00"/>
    <n v="636.28399999999999"/>
  </r>
  <r>
    <n v="920"/>
    <s v="Young"/>
    <x v="1"/>
    <s v="Renting"/>
    <s v="Married"/>
    <n v="1"/>
    <n v="13800"/>
    <n v="0"/>
    <s v="Low Spending"/>
    <n v="18"/>
    <s v="South"/>
    <x v="11"/>
    <s v="Orlando"/>
    <d v="2014-01-01T00:00:00"/>
    <n v="363.46800000000002"/>
  </r>
  <r>
    <n v="932"/>
    <s v="Old"/>
    <x v="0"/>
    <s v="Renting"/>
    <s v="Married"/>
    <n v="1"/>
    <n v="49600"/>
    <n v="0"/>
    <s v="Medium Spending"/>
    <n v="6"/>
    <s v="South"/>
    <x v="11"/>
    <s v="Orlando"/>
    <d v="2013-11-11T00:00:00"/>
    <n v="770.11400000000003"/>
  </r>
  <r>
    <n v="934"/>
    <s v="Middle Aged"/>
    <x v="1"/>
    <s v="Own Home"/>
    <s v="Married"/>
    <n v="1"/>
    <n v="111900"/>
    <n v="1"/>
    <s v="NA"/>
    <n v="12"/>
    <s v="South"/>
    <x v="11"/>
    <s v="Orlando"/>
    <d v="2015-04-17T00:00:00"/>
    <n v="2340.1999999999998"/>
  </r>
  <r>
    <n v="950"/>
    <s v="Middle Aged"/>
    <x v="0"/>
    <s v="Own Home"/>
    <s v="Married"/>
    <n v="0"/>
    <n v="118400"/>
    <n v="2"/>
    <s v="NA"/>
    <n v="12"/>
    <s v="South"/>
    <x v="11"/>
    <s v="Orlando"/>
    <d v="2015-08-21T00:00:00"/>
    <n v="3940.8969999999999"/>
  </r>
  <r>
    <n v="976"/>
    <s v="Young"/>
    <x v="0"/>
    <s v="Renting"/>
    <s v="No"/>
    <n v="0"/>
    <n v="14900"/>
    <n v="1"/>
    <s v="NA"/>
    <n v="12"/>
    <s v="South"/>
    <x v="11"/>
    <s v="Orlando"/>
    <d v="2015-04-07T00:00:00"/>
    <n v="421.86500000000001"/>
  </r>
  <r>
    <n v="16"/>
    <s v="Middle Aged"/>
    <x v="1"/>
    <s v="Own Home"/>
    <s v="Married"/>
    <n v="1"/>
    <n v="76700"/>
    <n v="2"/>
    <s v="Medium Spending"/>
    <n v="6"/>
    <s v="East"/>
    <x v="13"/>
    <s v="Philadelphia"/>
    <d v="2012-07-28T00:00:00"/>
    <n v="533.86800000000005"/>
  </r>
  <r>
    <n v="48"/>
    <s v="Middle Aged"/>
    <x v="1"/>
    <s v="Own Home"/>
    <s v="Married"/>
    <n v="1"/>
    <n v="81700"/>
    <n v="3"/>
    <s v="Low Spending"/>
    <n v="24"/>
    <s v="East"/>
    <x v="13"/>
    <s v="Philadelphia"/>
    <d v="2012-04-22T00:00:00"/>
    <n v="879.43899999999996"/>
  </r>
  <r>
    <n v="50"/>
    <s v="Middle Aged"/>
    <x v="1"/>
    <s v="Renting"/>
    <s v="No"/>
    <n v="1"/>
    <n v="47000"/>
    <n v="0"/>
    <s v="NA"/>
    <n v="6"/>
    <s v="East"/>
    <x v="13"/>
    <s v="Philadelphia"/>
    <d v="2015-07-23T00:00:00"/>
    <n v="962.84100000000001"/>
  </r>
  <r>
    <n v="51"/>
    <s v="Middle Aged"/>
    <x v="1"/>
    <s v="Renting"/>
    <s v="No"/>
    <n v="1"/>
    <n v="28200"/>
    <n v="1"/>
    <s v="Low Spending"/>
    <n v="6"/>
    <s v="East"/>
    <x v="13"/>
    <s v="Philadelphia"/>
    <d v="2013-10-20T00:00:00"/>
    <n v="223.565"/>
  </r>
  <r>
    <n v="61"/>
    <s v="Young"/>
    <x v="1"/>
    <s v="Renting"/>
    <s v="No"/>
    <n v="1"/>
    <n v="11000"/>
    <n v="2"/>
    <s v="NA"/>
    <n v="18"/>
    <s v="East"/>
    <x v="13"/>
    <s v="Philadelphia"/>
    <d v="2015-05-11T00:00:00"/>
    <n v="393.488"/>
  </r>
  <r>
    <n v="77"/>
    <s v="Middle Aged"/>
    <x v="0"/>
    <s v="Own Home"/>
    <s v="No"/>
    <n v="1"/>
    <n v="64000"/>
    <n v="3"/>
    <s v="Low Spending"/>
    <n v="12"/>
    <s v="East"/>
    <x v="13"/>
    <s v="Philadelphia"/>
    <d v="2010-09-25T00:00:00"/>
    <n v="410.02300000000002"/>
  </r>
  <r>
    <n v="101"/>
    <s v="Middle Aged"/>
    <x v="1"/>
    <s v="Own Home"/>
    <s v="Married"/>
    <n v="1"/>
    <n v="48900"/>
    <n v="3"/>
    <s v="NA"/>
    <n v="18"/>
    <s v="East"/>
    <x v="13"/>
    <s v="Philadelphia"/>
    <d v="2015-06-28T00:00:00"/>
    <n v="914.94600000000003"/>
  </r>
  <r>
    <n v="113"/>
    <s v="Young"/>
    <x v="0"/>
    <s v="Renting"/>
    <s v="No"/>
    <n v="1"/>
    <n v="21900"/>
    <n v="0"/>
    <s v="Low Spending"/>
    <n v="12"/>
    <s v="East"/>
    <x v="13"/>
    <s v="Philadelphia"/>
    <d v="2010-08-02T00:00:00"/>
    <n v="275.64400000000001"/>
  </r>
  <r>
    <n v="180"/>
    <s v="Old"/>
    <x v="1"/>
    <s v="Own Home"/>
    <s v="Married"/>
    <n v="0"/>
    <n v="84100"/>
    <n v="0"/>
    <s v="High Spending"/>
    <n v="18"/>
    <s v="East"/>
    <x v="13"/>
    <s v="Philadelphia"/>
    <d v="2010-05-31T00:00:00"/>
    <n v="2710.0410000000002"/>
  </r>
  <r>
    <n v="199"/>
    <s v="Middle Aged"/>
    <x v="1"/>
    <s v="Renting"/>
    <s v="No"/>
    <n v="1"/>
    <n v="46600"/>
    <n v="0"/>
    <s v="Medium Spending"/>
    <n v="24"/>
    <s v="East"/>
    <x v="13"/>
    <s v="Philadelphia"/>
    <d v="2015-01-10T00:00:00"/>
    <n v="905.80799999999999"/>
  </r>
  <r>
    <n v="213"/>
    <s v="Middle Aged"/>
    <x v="1"/>
    <s v="Own Home"/>
    <s v="No"/>
    <n v="1"/>
    <n v="72200"/>
    <n v="0"/>
    <s v="NA"/>
    <n v="18"/>
    <s v="East"/>
    <x v="13"/>
    <s v="Philadelphia"/>
    <d v="2015-02-06T00:00:00"/>
    <n v="3278.0830000000001"/>
  </r>
  <r>
    <n v="242"/>
    <s v="Middle Aged"/>
    <x v="0"/>
    <s v="Own Home"/>
    <s v="Married"/>
    <n v="1"/>
    <n v="107300"/>
    <n v="2"/>
    <s v="Medium Spending"/>
    <n v="24"/>
    <s v="East"/>
    <x v="13"/>
    <s v="Philadelphia"/>
    <d v="2012-07-03T00:00:00"/>
    <n v="1194.239"/>
  </r>
  <r>
    <n v="277"/>
    <s v="Middle Aged"/>
    <x v="0"/>
    <s v="Own Home"/>
    <s v="No"/>
    <n v="1"/>
    <n v="48100"/>
    <n v="0"/>
    <s v="Medium Spending"/>
    <n v="18"/>
    <s v="East"/>
    <x v="13"/>
    <s v="Philadelphia"/>
    <d v="2009-07-05T00:00:00"/>
    <n v="1639.5920000000001"/>
  </r>
  <r>
    <n v="331"/>
    <s v="Young"/>
    <x v="0"/>
    <s v="Renting"/>
    <s v="No"/>
    <n v="1"/>
    <n v="15800"/>
    <n v="2"/>
    <s v="Low Spending"/>
    <n v="12"/>
    <s v="East"/>
    <x v="13"/>
    <s v="Philadelphia"/>
    <d v="2013-10-16T00:00:00"/>
    <n v="147.25299999999999"/>
  </r>
  <r>
    <n v="350"/>
    <s v="Middle Aged"/>
    <x v="0"/>
    <s v="Own Home"/>
    <s v="Married"/>
    <n v="1"/>
    <n v="54700"/>
    <n v="0"/>
    <s v="Medium Spending"/>
    <n v="18"/>
    <s v="East"/>
    <x v="13"/>
    <s v="Philadelphia"/>
    <d v="2009-09-20T00:00:00"/>
    <n v="848.279"/>
  </r>
  <r>
    <n v="366"/>
    <s v="Middle Aged"/>
    <x v="0"/>
    <s v="Own Home"/>
    <s v="Married"/>
    <n v="1"/>
    <n v="96300"/>
    <n v="1"/>
    <s v="High Spending"/>
    <n v="24"/>
    <s v="East"/>
    <x v="13"/>
    <s v="Philadelphia"/>
    <d v="2011-12-06T00:00:00"/>
    <n v="1909.1679999999999"/>
  </r>
  <r>
    <n v="405"/>
    <s v="Middle Aged"/>
    <x v="0"/>
    <s v="Own Home"/>
    <s v="No"/>
    <n v="1"/>
    <n v="49900"/>
    <n v="1"/>
    <s v="NA"/>
    <n v="24"/>
    <s v="East"/>
    <x v="13"/>
    <s v="Philadelphia"/>
    <d v="2015-07-14T00:00:00"/>
    <n v="1630.84"/>
  </r>
  <r>
    <n v="437"/>
    <s v="Middle Aged"/>
    <x v="0"/>
    <s v="Own Home"/>
    <s v="Married"/>
    <n v="1"/>
    <n v="107400"/>
    <n v="1"/>
    <s v="High Spending"/>
    <n v="24"/>
    <s v="East"/>
    <x v="13"/>
    <s v="Philadelphia"/>
    <d v="2012-07-27T00:00:00"/>
    <n v="1821.345"/>
  </r>
  <r>
    <n v="468"/>
    <s v="Young"/>
    <x v="1"/>
    <s v="Renting"/>
    <s v="No"/>
    <n v="1"/>
    <n v="22600"/>
    <n v="3"/>
    <s v="NA"/>
    <n v="6"/>
    <s v="East"/>
    <x v="13"/>
    <s v="Philadelphia"/>
    <d v="2015-03-05T00:00:00"/>
    <n v="521.04600000000005"/>
  </r>
  <r>
    <n v="491"/>
    <s v="Middle Aged"/>
    <x v="0"/>
    <s v="Own Home"/>
    <s v="Married"/>
    <n v="1"/>
    <n v="74500"/>
    <n v="0"/>
    <s v="High Spending"/>
    <n v="6"/>
    <s v="East"/>
    <x v="13"/>
    <s v="Philadelphia"/>
    <d v="2011-07-07T00:00:00"/>
    <n v="1481"/>
  </r>
  <r>
    <n v="496"/>
    <s v="Middle Aged"/>
    <x v="1"/>
    <s v="Own Home"/>
    <s v="Married"/>
    <n v="0"/>
    <n v="87200"/>
    <n v="0"/>
    <s v="High Spending"/>
    <n v="18"/>
    <s v="East"/>
    <x v="13"/>
    <s v="Philadelphia"/>
    <d v="2011-08-13T00:00:00"/>
    <n v="3603.9189999999999"/>
  </r>
  <r>
    <n v="500"/>
    <s v="Middle Aged"/>
    <x v="0"/>
    <s v="Own Home"/>
    <s v="No"/>
    <n v="1"/>
    <n v="56300"/>
    <n v="3"/>
    <s v="Low Spending"/>
    <n v="6"/>
    <s v="East"/>
    <x v="13"/>
    <s v="Philadelphia"/>
    <d v="2011-06-03T00:00:00"/>
    <n v="320.75799999999998"/>
  </r>
  <r>
    <n v="516"/>
    <s v="Young"/>
    <x v="1"/>
    <s v="Renting"/>
    <s v="Married"/>
    <n v="1"/>
    <n v="71200"/>
    <n v="3"/>
    <s v="Low Spending"/>
    <n v="12"/>
    <s v="East"/>
    <x v="13"/>
    <s v="Philadelphia"/>
    <d v="2009-05-22T00:00:00"/>
    <n v="392.37900000000002"/>
  </r>
  <r>
    <n v="578"/>
    <s v="Middle Aged"/>
    <x v="0"/>
    <s v="Renting"/>
    <s v="Married"/>
    <n v="1"/>
    <n v="38400"/>
    <n v="2"/>
    <s v="Low Spending"/>
    <n v="6"/>
    <s v="East"/>
    <x v="13"/>
    <s v="Philadelphia"/>
    <d v="2014-11-01T00:00:00"/>
    <n v="188.13200000000001"/>
  </r>
  <r>
    <n v="628"/>
    <s v="Young"/>
    <x v="1"/>
    <s v="Own Home"/>
    <s v="No"/>
    <n v="1"/>
    <n v="27500"/>
    <n v="3"/>
    <s v="NA"/>
    <n v="12"/>
    <s v="East"/>
    <x v="13"/>
    <s v="Philadelphia"/>
    <d v="2015-01-16T00:00:00"/>
    <n v="571.20799999999997"/>
  </r>
  <r>
    <n v="688"/>
    <s v="Middle Aged"/>
    <x v="1"/>
    <s v="Renting"/>
    <s v="No"/>
    <n v="1"/>
    <n v="40400"/>
    <n v="1"/>
    <s v="Low Spending"/>
    <n v="24"/>
    <s v="East"/>
    <x v="13"/>
    <s v="Philadelphia"/>
    <d v="2009-08-10T00:00:00"/>
    <n v="630.09100000000001"/>
  </r>
  <r>
    <n v="704"/>
    <s v="Old"/>
    <x v="1"/>
    <s v="Renting"/>
    <s v="Married"/>
    <n v="1"/>
    <n v="46900"/>
    <n v="0"/>
    <s v="Medium Spending"/>
    <n v="6"/>
    <s v="East"/>
    <x v="13"/>
    <s v="Philadelphia"/>
    <d v="2012-12-08T00:00:00"/>
    <n v="702.63199999999995"/>
  </r>
  <r>
    <n v="716"/>
    <s v="Middle Aged"/>
    <x v="0"/>
    <s v="Own Home"/>
    <s v="Married"/>
    <n v="0"/>
    <n v="98900"/>
    <n v="0"/>
    <s v="NA"/>
    <n v="18"/>
    <s v="East"/>
    <x v="13"/>
    <s v="Philadelphia"/>
    <d v="2015-03-11T00:00:00"/>
    <n v="3126.18"/>
  </r>
  <r>
    <n v="722"/>
    <s v="Middle Aged"/>
    <x v="0"/>
    <s v="Renting"/>
    <s v="Married"/>
    <n v="0"/>
    <n v="70500"/>
    <n v="1"/>
    <s v="NA"/>
    <n v="24"/>
    <s v="East"/>
    <x v="13"/>
    <s v="Philadelphia"/>
    <d v="2015-03-08T00:00:00"/>
    <n v="2145.096"/>
  </r>
  <r>
    <n v="820"/>
    <s v="Old"/>
    <x v="1"/>
    <s v="Renting"/>
    <s v="Married"/>
    <n v="0"/>
    <n v="64600"/>
    <n v="0"/>
    <s v="High Spending"/>
    <n v="18"/>
    <s v="East"/>
    <x v="13"/>
    <s v="Philadelphia"/>
    <d v="2012-12-19T00:00:00"/>
    <n v="2205.806"/>
  </r>
  <r>
    <n v="826"/>
    <s v="Young"/>
    <x v="0"/>
    <s v="Renting"/>
    <s v="Married"/>
    <n v="1"/>
    <n v="69700"/>
    <n v="1"/>
    <s v="Medium Spending"/>
    <n v="12"/>
    <s v="East"/>
    <x v="13"/>
    <s v="Philadelphia"/>
    <d v="2010-10-23T00:00:00"/>
    <n v="1432.328"/>
  </r>
  <r>
    <n v="861"/>
    <s v="Old"/>
    <x v="1"/>
    <s v="Own Home"/>
    <s v="Married"/>
    <n v="0"/>
    <n v="100100"/>
    <n v="0"/>
    <s v="High Spending"/>
    <n v="12"/>
    <s v="East"/>
    <x v="13"/>
    <s v="Philadelphia"/>
    <d v="2009-12-18T00:00:00"/>
    <n v="3103.7020000000002"/>
  </r>
  <r>
    <n v="906"/>
    <s v="Middle Aged"/>
    <x v="1"/>
    <s v="Own Home"/>
    <s v="No"/>
    <n v="1"/>
    <n v="43100"/>
    <n v="0"/>
    <s v="NA"/>
    <n v="24"/>
    <s v="East"/>
    <x v="13"/>
    <s v="Philadelphia"/>
    <d v="2015-02-20T00:00:00"/>
    <n v="1443.6089999999999"/>
  </r>
  <r>
    <n v="923"/>
    <s v="Middle Aged"/>
    <x v="1"/>
    <s v="Own Home"/>
    <s v="No"/>
    <n v="1"/>
    <n v="53300"/>
    <n v="3"/>
    <s v="NA"/>
    <n v="6"/>
    <s v="East"/>
    <x v="13"/>
    <s v="Philadelphia"/>
    <d v="2015-07-02T00:00:00"/>
    <n v="507.69"/>
  </r>
  <r>
    <n v="931"/>
    <s v="Old"/>
    <x v="0"/>
    <s v="Own Home"/>
    <s v="Married"/>
    <n v="1"/>
    <n v="168800"/>
    <n v="0"/>
    <s v="High Spending"/>
    <n v="6"/>
    <s v="East"/>
    <x v="13"/>
    <s v="Philadelphia"/>
    <d v="2011-10-15T00:00:00"/>
    <n v="1511.751"/>
  </r>
  <r>
    <n v="959"/>
    <s v="Young"/>
    <x v="1"/>
    <s v="Renting"/>
    <s v="No"/>
    <n v="1"/>
    <n v="14400"/>
    <n v="1"/>
    <s v="Low Spending"/>
    <n v="18"/>
    <s v="East"/>
    <x v="13"/>
    <s v="Philadelphia"/>
    <d v="2014-05-25T00:00:00"/>
    <n v="222.744"/>
  </r>
  <r>
    <n v="975"/>
    <s v="Middle Aged"/>
    <x v="1"/>
    <s v="Renting"/>
    <s v="Married"/>
    <n v="1"/>
    <n v="88600"/>
    <n v="3"/>
    <s v="Low Spending"/>
    <n v="6"/>
    <s v="East"/>
    <x v="13"/>
    <s v="Philadelphia"/>
    <d v="2013-10-28T00:00:00"/>
    <n v="211.52500000000001"/>
  </r>
  <r>
    <n v="979"/>
    <s v="Old"/>
    <x v="0"/>
    <s v="Own Home"/>
    <s v="No"/>
    <n v="1"/>
    <n v="62200"/>
    <n v="0"/>
    <s v="NA"/>
    <n v="12"/>
    <s v="East"/>
    <x v="13"/>
    <s v="Philadelphia"/>
    <d v="2015-02-06T00:00:00"/>
    <n v="1582.6120000000001"/>
  </r>
  <r>
    <n v="998"/>
    <s v="Middle Aged"/>
    <x v="0"/>
    <s v="Own Home"/>
    <s v="Married"/>
    <n v="1"/>
    <n v="102600"/>
    <n v="0"/>
    <s v="High Spending"/>
    <n v="18"/>
    <s v="East"/>
    <x v="13"/>
    <s v="Philadelphia"/>
    <d v="2013-08-09T00:00:00"/>
    <n v="2545.732"/>
  </r>
  <r>
    <n v="6"/>
    <s v="Middle Aged"/>
    <x v="1"/>
    <s v="Renting"/>
    <s v="No"/>
    <n v="1"/>
    <n v="42800"/>
    <n v="0"/>
    <s v="Medium Spending"/>
    <n v="12"/>
    <s v="West"/>
    <x v="14"/>
    <s v="Phoenix"/>
    <d v="2013-03-04T00:00:00"/>
    <n v="758.649"/>
  </r>
  <r>
    <n v="33"/>
    <s v="Young"/>
    <x v="1"/>
    <s v="Renting"/>
    <s v="No"/>
    <n v="0"/>
    <n v="13700"/>
    <n v="2"/>
    <s v="NA"/>
    <n v="24"/>
    <s v="West"/>
    <x v="14"/>
    <s v="Phoenix"/>
    <d v="2015-07-25T00:00:00"/>
    <n v="414.05200000000002"/>
  </r>
  <r>
    <n v="45"/>
    <s v="Middle Aged"/>
    <x v="0"/>
    <s v="Own Home"/>
    <s v="Married"/>
    <n v="0"/>
    <n v="74400"/>
    <n v="0"/>
    <s v="High Spending"/>
    <n v="6"/>
    <s v="West"/>
    <x v="14"/>
    <s v="Phoenix"/>
    <d v="2009-02-08T00:00:00"/>
    <n v="1892.6949999999999"/>
  </r>
  <r>
    <n v="71"/>
    <s v="Old"/>
    <x v="1"/>
    <s v="Own Home"/>
    <s v="Married"/>
    <n v="1"/>
    <n v="74900"/>
    <n v="0"/>
    <s v="High Spending"/>
    <n v="12"/>
    <s v="West"/>
    <x v="14"/>
    <s v="Phoenix"/>
    <d v="2014-01-12T00:00:00"/>
    <n v="1473.961"/>
  </r>
  <r>
    <n v="117"/>
    <s v="Old"/>
    <x v="1"/>
    <s v="Own Home"/>
    <s v="No"/>
    <n v="1"/>
    <n v="58200"/>
    <n v="0"/>
    <s v="Medium Spending"/>
    <n v="18"/>
    <s v="West"/>
    <x v="14"/>
    <s v="Phoenix"/>
    <d v="2012-09-13T00:00:00"/>
    <n v="981.35500000000002"/>
  </r>
  <r>
    <n v="137"/>
    <s v="Old"/>
    <x v="1"/>
    <s v="Renting"/>
    <s v="Married"/>
    <n v="0"/>
    <n v="52500"/>
    <n v="0"/>
    <s v="High Spending"/>
    <n v="24"/>
    <s v="West"/>
    <x v="14"/>
    <s v="Phoenix"/>
    <d v="2011-12-24T00:00:00"/>
    <n v="2037.5160000000001"/>
  </r>
  <r>
    <n v="148"/>
    <s v="Young"/>
    <x v="1"/>
    <s v="Renting"/>
    <s v="No"/>
    <n v="1"/>
    <n v="12100"/>
    <n v="1"/>
    <s v="Low Spending"/>
    <n v="6"/>
    <s v="West"/>
    <x v="14"/>
    <s v="Phoenix"/>
    <d v="2013-09-12T00:00:00"/>
    <n v="89.703000000000003"/>
  </r>
  <r>
    <n v="265"/>
    <s v="Old"/>
    <x v="0"/>
    <s v="Own Home"/>
    <s v="No"/>
    <n v="1"/>
    <n v="40200"/>
    <n v="2"/>
    <s v="NA"/>
    <n v="18"/>
    <s v="West"/>
    <x v="14"/>
    <s v="Phoenix"/>
    <d v="2015-03-21T00:00:00"/>
    <n v="1196.7639999999999"/>
  </r>
  <r>
    <n v="395"/>
    <s v="Middle Aged"/>
    <x v="0"/>
    <s v="Own Home"/>
    <s v="Married"/>
    <n v="0"/>
    <n v="113300"/>
    <n v="1"/>
    <s v="High Spending"/>
    <n v="18"/>
    <s v="West"/>
    <x v="14"/>
    <s v="Phoenix"/>
    <d v="2013-01-16T00:00:00"/>
    <n v="5151.4309999999996"/>
  </r>
  <r>
    <n v="424"/>
    <s v="Middle Aged"/>
    <x v="0"/>
    <s v="Renting"/>
    <s v="No"/>
    <n v="1"/>
    <n v="43700"/>
    <n v="0"/>
    <s v="NA"/>
    <n v="18"/>
    <s v="West"/>
    <x v="14"/>
    <s v="Phoenix"/>
    <d v="2015-04-07T00:00:00"/>
    <n v="1343.6469999999999"/>
  </r>
  <r>
    <n v="426"/>
    <s v="Old"/>
    <x v="0"/>
    <s v="Own Home"/>
    <s v="No"/>
    <n v="1"/>
    <n v="71300"/>
    <n v="0"/>
    <s v="High Spending"/>
    <n v="18"/>
    <s v="West"/>
    <x v="14"/>
    <s v="Phoenix"/>
    <d v="2012-06-07T00:00:00"/>
    <n v="1542.5650000000001"/>
  </r>
  <r>
    <n v="456"/>
    <s v="Young"/>
    <x v="1"/>
    <s v="Renting"/>
    <s v="No"/>
    <n v="0"/>
    <n v="28900"/>
    <n v="0"/>
    <s v="Medium Spending"/>
    <n v="24"/>
    <s v="West"/>
    <x v="14"/>
    <s v="Phoenix"/>
    <d v="2009-03-31T00:00:00"/>
    <n v="905.13699999999994"/>
  </r>
  <r>
    <n v="461"/>
    <s v="Middle Aged"/>
    <x v="0"/>
    <s v="Renting"/>
    <s v="No"/>
    <n v="1"/>
    <n v="39000"/>
    <n v="0"/>
    <s v="NA"/>
    <n v="6"/>
    <s v="West"/>
    <x v="14"/>
    <s v="Phoenix"/>
    <d v="2015-08-24T00:00:00"/>
    <n v="643.29499999999996"/>
  </r>
  <r>
    <n v="481"/>
    <s v="Old"/>
    <x v="0"/>
    <s v="Own Home"/>
    <s v="No"/>
    <n v="1"/>
    <n v="58700"/>
    <n v="0"/>
    <s v="NA"/>
    <n v="24"/>
    <s v="West"/>
    <x v="14"/>
    <s v="Phoenix"/>
    <d v="2015-08-21T00:00:00"/>
    <n v="1479.4839999999999"/>
  </r>
  <r>
    <n v="495"/>
    <s v="Middle Aged"/>
    <x v="0"/>
    <s v="Own Home"/>
    <s v="Married"/>
    <n v="1"/>
    <n v="104100"/>
    <n v="0"/>
    <s v="High Spending"/>
    <n v="24"/>
    <s v="West"/>
    <x v="14"/>
    <s v="Phoenix"/>
    <d v="2012-04-14T00:00:00"/>
    <n v="2636.239"/>
  </r>
  <r>
    <n v="498"/>
    <s v="Young"/>
    <x v="0"/>
    <s v="Renting"/>
    <s v="Married"/>
    <n v="1"/>
    <n v="64300"/>
    <n v="3"/>
    <s v="Low Spending"/>
    <n v="6"/>
    <s v="West"/>
    <x v="14"/>
    <s v="Phoenix"/>
    <d v="2012-09-07T00:00:00"/>
    <n v="239.19399999999999"/>
  </r>
  <r>
    <n v="519"/>
    <s v="Young"/>
    <x v="1"/>
    <s v="Renting"/>
    <s v="No"/>
    <n v="1"/>
    <n v="25300"/>
    <n v="3"/>
    <s v="NA"/>
    <n v="6"/>
    <s v="West"/>
    <x v="14"/>
    <s v="Phoenix"/>
    <d v="2015-03-25T00:00:00"/>
    <n v="510.14800000000002"/>
  </r>
  <r>
    <n v="520"/>
    <s v="Young"/>
    <x v="1"/>
    <s v="Renting"/>
    <s v="Married"/>
    <n v="0"/>
    <n v="53700"/>
    <n v="0"/>
    <s v="High Spending"/>
    <n v="24"/>
    <s v="West"/>
    <x v="14"/>
    <s v="Phoenix"/>
    <d v="2015-02-09T00:00:00"/>
    <n v="2490.9740000000002"/>
  </r>
  <r>
    <n v="530"/>
    <s v="Middle Aged"/>
    <x v="1"/>
    <s v="Own Home"/>
    <s v="Married"/>
    <n v="1"/>
    <n v="35300"/>
    <n v="0"/>
    <s v="Medium Spending"/>
    <n v="24"/>
    <s v="West"/>
    <x v="14"/>
    <s v="Phoenix"/>
    <d v="2014-07-27T00:00:00"/>
    <n v="1092.528"/>
  </r>
  <r>
    <n v="535"/>
    <s v="Middle Aged"/>
    <x v="0"/>
    <s v="Own Home"/>
    <s v="Married"/>
    <n v="1"/>
    <n v="97100"/>
    <n v="0"/>
    <s v="NA"/>
    <n v="12"/>
    <s v="West"/>
    <x v="14"/>
    <s v="Phoenix"/>
    <d v="2015-01-10T00:00:00"/>
    <n v="1473.127"/>
  </r>
  <r>
    <n v="538"/>
    <s v="Middle Aged"/>
    <x v="0"/>
    <s v="Renting"/>
    <s v="No"/>
    <n v="0"/>
    <n v="67700"/>
    <n v="0"/>
    <s v="High Spending"/>
    <n v="12"/>
    <s v="West"/>
    <x v="14"/>
    <s v="Phoenix"/>
    <d v="2014-10-02T00:00:00"/>
    <n v="2226.3510000000001"/>
  </r>
  <r>
    <n v="559"/>
    <s v="Young"/>
    <x v="1"/>
    <s v="Renting"/>
    <s v="Married"/>
    <n v="1"/>
    <n v="40900"/>
    <n v="2"/>
    <s v="Low Spending"/>
    <n v="18"/>
    <s v="West"/>
    <x v="14"/>
    <s v="Phoenix"/>
    <d v="2012-03-27T00:00:00"/>
    <n v="575.60199999999998"/>
  </r>
  <r>
    <n v="622"/>
    <s v="Old"/>
    <x v="1"/>
    <s v="Own Home"/>
    <s v="No"/>
    <n v="1"/>
    <n v="17600"/>
    <n v="0"/>
    <s v="Low Spending"/>
    <n v="6"/>
    <s v="West"/>
    <x v="14"/>
    <s v="Phoenix"/>
    <d v="2009-10-11T00:00:00"/>
    <n v="224.36799999999999"/>
  </r>
  <r>
    <n v="633"/>
    <s v="Young"/>
    <x v="0"/>
    <s v="Renting"/>
    <s v="No"/>
    <n v="0"/>
    <n v="13800"/>
    <n v="1"/>
    <s v="Low Spending"/>
    <n v="12"/>
    <s v="West"/>
    <x v="14"/>
    <s v="Phoenix"/>
    <d v="2009-10-14T00:00:00"/>
    <n v="367.82400000000001"/>
  </r>
  <r>
    <n v="648"/>
    <s v="Young"/>
    <x v="0"/>
    <s v="Renting"/>
    <s v="No"/>
    <n v="0"/>
    <n v="22900"/>
    <n v="1"/>
    <s v="NA"/>
    <n v="12"/>
    <s v="West"/>
    <x v="14"/>
    <s v="Phoenix"/>
    <d v="2015-03-04T00:00:00"/>
    <n v="814.04499999999996"/>
  </r>
  <r>
    <n v="653"/>
    <s v="Old"/>
    <x v="0"/>
    <s v="Own Home"/>
    <s v="Married"/>
    <n v="1"/>
    <n v="54600"/>
    <n v="0"/>
    <s v="Medium Spending"/>
    <n v="24"/>
    <s v="West"/>
    <x v="14"/>
    <s v="Phoenix"/>
    <d v="2011-11-02T00:00:00"/>
    <n v="1245.7329999999999"/>
  </r>
  <r>
    <n v="658"/>
    <s v="Old"/>
    <x v="1"/>
    <s v="Own Home"/>
    <s v="Married"/>
    <n v="1"/>
    <n v="89000"/>
    <n v="0"/>
    <s v="High Spending"/>
    <n v="12"/>
    <s v="West"/>
    <x v="14"/>
    <s v="Phoenix"/>
    <d v="2013-01-07T00:00:00"/>
    <n v="1486.5350000000001"/>
  </r>
  <r>
    <n v="663"/>
    <s v="Middle Aged"/>
    <x v="1"/>
    <s v="Own Home"/>
    <s v="No"/>
    <n v="0"/>
    <n v="34600"/>
    <n v="2"/>
    <s v="Medium Spending"/>
    <n v="18"/>
    <s v="West"/>
    <x v="14"/>
    <s v="Phoenix"/>
    <d v="2015-01-06T00:00:00"/>
    <n v="748.25400000000002"/>
  </r>
  <r>
    <n v="664"/>
    <s v="Middle Aged"/>
    <x v="1"/>
    <s v="Own Home"/>
    <s v="No"/>
    <n v="1"/>
    <n v="43500"/>
    <n v="1"/>
    <s v="Medium Spending"/>
    <n v="12"/>
    <s v="West"/>
    <x v="14"/>
    <s v="Phoenix"/>
    <d v="2011-02-25T00:00:00"/>
    <n v="500.44799999999998"/>
  </r>
  <r>
    <n v="687"/>
    <s v="Middle Aged"/>
    <x v="1"/>
    <s v="Own Home"/>
    <s v="Married"/>
    <n v="1"/>
    <n v="82400"/>
    <n v="2"/>
    <s v="Medium Spending"/>
    <n v="18"/>
    <s v="West"/>
    <x v="14"/>
    <s v="Phoenix"/>
    <d v="2012-06-09T00:00:00"/>
    <n v="657.46"/>
  </r>
  <r>
    <n v="733"/>
    <s v="Old"/>
    <x v="0"/>
    <s v="Own Home"/>
    <s v="No"/>
    <n v="0"/>
    <n v="62000"/>
    <n v="0"/>
    <s v="High Spending"/>
    <n v="24"/>
    <s v="West"/>
    <x v="14"/>
    <s v="Phoenix"/>
    <d v="2011-02-12T00:00:00"/>
    <n v="3293.1570000000002"/>
  </r>
  <r>
    <n v="752"/>
    <s v="Middle Aged"/>
    <x v="1"/>
    <s v="Own Home"/>
    <s v="Married"/>
    <n v="0"/>
    <n v="101700"/>
    <n v="1"/>
    <s v="NA"/>
    <n v="24"/>
    <s v="West"/>
    <x v="14"/>
    <s v="Phoenix"/>
    <d v="2015-06-30T00:00:00"/>
    <n v="2551.12"/>
  </r>
  <r>
    <n v="757"/>
    <s v="Young"/>
    <x v="1"/>
    <s v="Own Home"/>
    <s v="No"/>
    <n v="0"/>
    <n v="31900"/>
    <n v="0"/>
    <s v="NA"/>
    <n v="12"/>
    <s v="West"/>
    <x v="14"/>
    <s v="Phoenix"/>
    <d v="2015-02-10T00:00:00"/>
    <n v="859.60500000000002"/>
  </r>
  <r>
    <n v="769"/>
    <s v="Middle Aged"/>
    <x v="1"/>
    <s v="Renting"/>
    <s v="Married"/>
    <n v="1"/>
    <n v="60500"/>
    <n v="2"/>
    <s v="Low Spending"/>
    <n v="6"/>
    <s v="West"/>
    <x v="14"/>
    <s v="Phoenix"/>
    <d v="2014-10-11T00:00:00"/>
    <n v="408.63799999999998"/>
  </r>
  <r>
    <n v="772"/>
    <s v="Middle Aged"/>
    <x v="1"/>
    <s v="Own Home"/>
    <s v="No"/>
    <n v="1"/>
    <n v="51200"/>
    <n v="0"/>
    <s v="Medium Spending"/>
    <n v="18"/>
    <s v="West"/>
    <x v="14"/>
    <s v="Phoenix"/>
    <d v="2012-03-26T00:00:00"/>
    <n v="1257.383"/>
  </r>
  <r>
    <n v="774"/>
    <s v="Old"/>
    <x v="1"/>
    <s v="Renting"/>
    <s v="No"/>
    <n v="1"/>
    <n v="29200"/>
    <n v="0"/>
    <s v="Low Spending"/>
    <n v="12"/>
    <s v="West"/>
    <x v="14"/>
    <s v="Phoenix"/>
    <d v="2014-10-26T00:00:00"/>
    <n v="556.24"/>
  </r>
  <r>
    <n v="777"/>
    <s v="Young"/>
    <x v="0"/>
    <s v="Renting"/>
    <s v="Married"/>
    <n v="1"/>
    <n v="36600"/>
    <n v="0"/>
    <s v="NA"/>
    <n v="6"/>
    <s v="West"/>
    <x v="14"/>
    <s v="Phoenix"/>
    <d v="2015-01-19T00:00:00"/>
    <n v="586.62699999999995"/>
  </r>
  <r>
    <n v="833"/>
    <s v="Young"/>
    <x v="0"/>
    <s v="Renting"/>
    <s v="No"/>
    <n v="1"/>
    <n v="21300"/>
    <n v="0"/>
    <s v="Low Spending"/>
    <n v="24"/>
    <s v="West"/>
    <x v="14"/>
    <s v="Phoenix"/>
    <d v="2013-01-13T00:00:00"/>
    <n v="676.76499999999999"/>
  </r>
  <r>
    <n v="845"/>
    <s v="Young"/>
    <x v="1"/>
    <s v="Renting"/>
    <s v="Married"/>
    <n v="0"/>
    <n v="47200"/>
    <n v="1"/>
    <s v="Medium Spending"/>
    <n v="12"/>
    <s v="West"/>
    <x v="14"/>
    <s v="Phoenix"/>
    <d v="2009-03-30T00:00:00"/>
    <n v="1271.71"/>
  </r>
  <r>
    <n v="870"/>
    <s v="Middle Aged"/>
    <x v="1"/>
    <s v="Renting"/>
    <s v="Married"/>
    <n v="1"/>
    <n v="72900"/>
    <n v="3"/>
    <s v="Low Spending"/>
    <n v="6"/>
    <s v="West"/>
    <x v="14"/>
    <s v="Phoenix"/>
    <d v="2013-03-09T00:00:00"/>
    <n v="252.16399999999999"/>
  </r>
  <r>
    <n v="883"/>
    <s v="Old"/>
    <x v="0"/>
    <s v="Own Home"/>
    <s v="No"/>
    <n v="0"/>
    <n v="61000"/>
    <n v="0"/>
    <s v="High Spending"/>
    <n v="6"/>
    <s v="West"/>
    <x v="14"/>
    <s v="Phoenix"/>
    <d v="2013-02-25T00:00:00"/>
    <n v="974.51199999999994"/>
  </r>
  <r>
    <n v="907"/>
    <s v="Young"/>
    <x v="1"/>
    <s v="Own Home"/>
    <s v="No"/>
    <n v="1"/>
    <n v="27800"/>
    <n v="3"/>
    <s v="NA"/>
    <n v="12"/>
    <s v="West"/>
    <x v="14"/>
    <s v="Phoenix"/>
    <d v="2015-08-10T00:00:00"/>
    <n v="407.584"/>
  </r>
  <r>
    <n v="909"/>
    <s v="Middle Aged"/>
    <x v="0"/>
    <s v="Renting"/>
    <s v="No"/>
    <n v="1"/>
    <n v="38600"/>
    <n v="1"/>
    <s v="Low Spending"/>
    <n v="18"/>
    <s v="West"/>
    <x v="14"/>
    <s v="Phoenix"/>
    <d v="2014-11-18T00:00:00"/>
    <n v="542.1"/>
  </r>
  <r>
    <n v="937"/>
    <s v="Old"/>
    <x v="1"/>
    <s v="Own Home"/>
    <s v="No"/>
    <n v="1"/>
    <n v="33000"/>
    <n v="3"/>
    <s v="NA"/>
    <n v="6"/>
    <s v="West"/>
    <x v="14"/>
    <s v="Phoenix"/>
    <d v="2015-01-21T00:00:00"/>
    <n v="700.351"/>
  </r>
  <r>
    <n v="955"/>
    <s v="Middle Aged"/>
    <x v="0"/>
    <s v="Own Home"/>
    <s v="Married"/>
    <n v="1"/>
    <n v="96600"/>
    <n v="0"/>
    <s v="NA"/>
    <n v="12"/>
    <s v="West"/>
    <x v="14"/>
    <s v="Phoenix"/>
    <d v="2015-05-04T00:00:00"/>
    <n v="1436.806"/>
  </r>
  <r>
    <n v="961"/>
    <s v="Middle Aged"/>
    <x v="1"/>
    <s v="Own Home"/>
    <s v="No"/>
    <n v="1"/>
    <n v="48700"/>
    <n v="1"/>
    <s v="NA"/>
    <n v="12"/>
    <s v="West"/>
    <x v="14"/>
    <s v="Phoenix"/>
    <d v="2015-06-10T00:00:00"/>
    <n v="1456.942"/>
  </r>
  <r>
    <n v="69"/>
    <s v="Young"/>
    <x v="0"/>
    <s v="Renting"/>
    <s v="Married"/>
    <n v="0"/>
    <n v="41600"/>
    <n v="0"/>
    <s v="High Spending"/>
    <n v="24"/>
    <s v="East"/>
    <x v="13"/>
    <s v="Pittsburgh"/>
    <d v="2012-05-02T00:00:00"/>
    <n v="1690.318"/>
  </r>
  <r>
    <n v="82"/>
    <s v="Young"/>
    <x v="1"/>
    <s v="Renting"/>
    <s v="No"/>
    <n v="1"/>
    <n v="13300"/>
    <n v="1"/>
    <s v="NA"/>
    <n v="6"/>
    <s v="East"/>
    <x v="13"/>
    <s v="Pittsburgh"/>
    <d v="2015-05-20T00:00:00"/>
    <n v="235.80799999999999"/>
  </r>
  <r>
    <n v="100"/>
    <s v="Middle Aged"/>
    <x v="1"/>
    <s v="Own Home"/>
    <s v="Married"/>
    <n v="0"/>
    <n v="80600"/>
    <n v="0"/>
    <s v="High Spending"/>
    <n v="24"/>
    <s v="East"/>
    <x v="13"/>
    <s v="Pittsburgh"/>
    <d v="2012-01-23T00:00:00"/>
    <n v="2839.63"/>
  </r>
  <r>
    <n v="108"/>
    <s v="Middle Aged"/>
    <x v="1"/>
    <s v="Renting"/>
    <s v="Married"/>
    <n v="1"/>
    <n v="118300"/>
    <n v="1"/>
    <s v="NA"/>
    <n v="18"/>
    <s v="East"/>
    <x v="13"/>
    <s v="Pittsburgh"/>
    <d v="2015-05-31T00:00:00"/>
    <n v="2680.51"/>
  </r>
  <r>
    <n v="144"/>
    <s v="Middle Aged"/>
    <x v="1"/>
    <s v="Own Home"/>
    <s v="Married"/>
    <n v="1"/>
    <n v="102500"/>
    <n v="3"/>
    <s v="Low Spending"/>
    <n v="12"/>
    <s v="East"/>
    <x v="13"/>
    <s v="Pittsburgh"/>
    <d v="2009-05-23T00:00:00"/>
    <n v="548.21199999999999"/>
  </r>
  <r>
    <n v="156"/>
    <s v="Middle Aged"/>
    <x v="0"/>
    <s v="Own Home"/>
    <s v="Married"/>
    <n v="1"/>
    <n v="83700"/>
    <n v="0"/>
    <s v="High Spending"/>
    <n v="24"/>
    <s v="East"/>
    <x v="13"/>
    <s v="Pittsburgh"/>
    <d v="2010-08-05T00:00:00"/>
    <n v="3343.9789999999998"/>
  </r>
  <r>
    <n v="167"/>
    <s v="Middle Aged"/>
    <x v="0"/>
    <s v="Own Home"/>
    <s v="Married"/>
    <n v="1"/>
    <n v="67600"/>
    <n v="1"/>
    <s v="Medium Spending"/>
    <n v="18"/>
    <s v="East"/>
    <x v="13"/>
    <s v="Pittsburgh"/>
    <d v="2012-01-24T00:00:00"/>
    <n v="1172.373"/>
  </r>
  <r>
    <n v="172"/>
    <s v="Old"/>
    <x v="1"/>
    <s v="Renting"/>
    <s v="Married"/>
    <n v="0"/>
    <n v="88400"/>
    <n v="0"/>
    <s v="High Spending"/>
    <n v="18"/>
    <s v="East"/>
    <x v="13"/>
    <s v="Pittsburgh"/>
    <d v="2013-04-24T00:00:00"/>
    <n v="3631.8719999999998"/>
  </r>
  <r>
    <n v="183"/>
    <s v="Young"/>
    <x v="1"/>
    <s v="Renting"/>
    <s v="No"/>
    <n v="1"/>
    <n v="13200"/>
    <n v="1"/>
    <s v="Low Spending"/>
    <n v="12"/>
    <s v="East"/>
    <x v="13"/>
    <s v="Pittsburgh"/>
    <d v="2012-01-21T00:00:00"/>
    <n v="226.845"/>
  </r>
  <r>
    <n v="247"/>
    <s v="Middle Aged"/>
    <x v="1"/>
    <s v="Renting"/>
    <s v="No"/>
    <n v="1"/>
    <n v="46500"/>
    <n v="1"/>
    <s v="Medium Spending"/>
    <n v="24"/>
    <s v="East"/>
    <x v="13"/>
    <s v="Pittsburgh"/>
    <d v="2015-08-25T00:00:00"/>
    <n v="829.23699999999997"/>
  </r>
  <r>
    <n v="290"/>
    <s v="Young"/>
    <x v="1"/>
    <s v="Renting"/>
    <s v="No"/>
    <n v="1"/>
    <n v="11400"/>
    <n v="2"/>
    <s v="NA"/>
    <n v="6"/>
    <s v="East"/>
    <x v="13"/>
    <s v="Pittsburgh"/>
    <d v="2015-03-03T00:00:00"/>
    <n v="186.006"/>
  </r>
  <r>
    <n v="293"/>
    <s v="Old"/>
    <x v="0"/>
    <s v="Own Home"/>
    <s v="Married"/>
    <n v="1"/>
    <n v="107400"/>
    <n v="0"/>
    <s v="High Spending"/>
    <n v="12"/>
    <s v="East"/>
    <x v="13"/>
    <s v="Pittsburgh"/>
    <d v="2014-12-15T00:00:00"/>
    <n v="1484.8230000000001"/>
  </r>
  <r>
    <n v="294"/>
    <s v="Old"/>
    <x v="1"/>
    <s v="Own Home"/>
    <s v="No"/>
    <n v="1"/>
    <n v="37300"/>
    <n v="0"/>
    <s v="Medium Spending"/>
    <n v="6"/>
    <s v="East"/>
    <x v="13"/>
    <s v="Pittsburgh"/>
    <d v="2011-10-09T00:00:00"/>
    <n v="673.28399999999999"/>
  </r>
  <r>
    <n v="304"/>
    <s v="Middle Aged"/>
    <x v="1"/>
    <s v="Renting"/>
    <s v="No"/>
    <n v="1"/>
    <n v="43300"/>
    <n v="3"/>
    <s v="Low Spending"/>
    <n v="24"/>
    <s v="East"/>
    <x v="13"/>
    <s v="Pittsburgh"/>
    <d v="2012-02-12T00:00:00"/>
    <n v="325.73899999999998"/>
  </r>
  <r>
    <n v="351"/>
    <s v="Middle Aged"/>
    <x v="0"/>
    <s v="Renting"/>
    <s v="Married"/>
    <n v="0"/>
    <n v="64000"/>
    <n v="1"/>
    <s v="NA"/>
    <n v="6"/>
    <s v="East"/>
    <x v="13"/>
    <s v="Pittsburgh"/>
    <d v="2015-01-16T00:00:00"/>
    <n v="1552.162"/>
  </r>
  <r>
    <n v="422"/>
    <s v="Old"/>
    <x v="0"/>
    <s v="Own Home"/>
    <s v="Married"/>
    <n v="0"/>
    <n v="76900"/>
    <n v="2"/>
    <s v="High Spending"/>
    <n v="24"/>
    <s v="East"/>
    <x v="13"/>
    <s v="Pittsburgh"/>
    <d v="2012-07-13T00:00:00"/>
    <n v="3229.5010000000002"/>
  </r>
  <r>
    <n v="459"/>
    <s v="Old"/>
    <x v="0"/>
    <s v="Own Home"/>
    <s v="Married"/>
    <n v="1"/>
    <n v="102700"/>
    <n v="0"/>
    <s v="NA"/>
    <n v="18"/>
    <s v="East"/>
    <x v="13"/>
    <s v="Pittsburgh"/>
    <d v="2015-08-04T00:00:00"/>
    <n v="2381.2060000000001"/>
  </r>
  <r>
    <n v="478"/>
    <s v="Young"/>
    <x v="1"/>
    <s v="Renting"/>
    <s v="Married"/>
    <n v="1"/>
    <n v="42300"/>
    <n v="0"/>
    <s v="NA"/>
    <n v="6"/>
    <s v="East"/>
    <x v="13"/>
    <s v="Pittsburgh"/>
    <d v="2015-06-18T00:00:00"/>
    <n v="855.64"/>
  </r>
  <r>
    <n v="507"/>
    <s v="Middle Aged"/>
    <x v="0"/>
    <s v="Renting"/>
    <s v="No"/>
    <n v="1"/>
    <n v="47200"/>
    <n v="0"/>
    <s v="Medium Spending"/>
    <n v="18"/>
    <s v="East"/>
    <x v="13"/>
    <s v="Pittsburgh"/>
    <d v="2013-05-24T00:00:00"/>
    <n v="1587.3710000000001"/>
  </r>
  <r>
    <n v="526"/>
    <s v="Old"/>
    <x v="1"/>
    <s v="Own Home"/>
    <s v="No"/>
    <n v="1"/>
    <n v="30900"/>
    <n v="0"/>
    <s v="Medium Spending"/>
    <n v="18"/>
    <s v="East"/>
    <x v="13"/>
    <s v="Pittsburgh"/>
    <d v="2012-03-17T00:00:00"/>
    <n v="861.91899999999998"/>
  </r>
  <r>
    <n v="539"/>
    <s v="Middle Aged"/>
    <x v="1"/>
    <s v="Renting"/>
    <s v="Married"/>
    <n v="0"/>
    <n v="53900"/>
    <n v="1"/>
    <s v="High Spending"/>
    <n v="18"/>
    <s v="East"/>
    <x v="13"/>
    <s v="Pittsburgh"/>
    <d v="2012-09-20T00:00:00"/>
    <n v="2177.34"/>
  </r>
  <r>
    <n v="582"/>
    <s v="Young"/>
    <x v="1"/>
    <s v="Renting"/>
    <s v="No"/>
    <n v="1"/>
    <n v="17800"/>
    <n v="1"/>
    <s v="Low Spending"/>
    <n v="6"/>
    <s v="East"/>
    <x v="13"/>
    <s v="Pittsburgh"/>
    <d v="2012-08-08T00:00:00"/>
    <n v="216.06899999999999"/>
  </r>
  <r>
    <n v="611"/>
    <s v="Old"/>
    <x v="0"/>
    <s v="Own Home"/>
    <s v="No"/>
    <n v="1"/>
    <n v="63200"/>
    <n v="0"/>
    <s v="High Spending"/>
    <n v="24"/>
    <s v="East"/>
    <x v="13"/>
    <s v="Pittsburgh"/>
    <d v="2014-12-19T00:00:00"/>
    <n v="1506.5709999999999"/>
  </r>
  <r>
    <n v="641"/>
    <s v="Young"/>
    <x v="0"/>
    <s v="Renting"/>
    <s v="No"/>
    <n v="1"/>
    <n v="17400"/>
    <n v="0"/>
    <s v="NA"/>
    <n v="12"/>
    <s v="East"/>
    <x v="13"/>
    <s v="Pittsburgh"/>
    <d v="2015-05-16T00:00:00"/>
    <n v="332.09699999999998"/>
  </r>
  <r>
    <n v="655"/>
    <s v="Middle Aged"/>
    <x v="1"/>
    <s v="Own Home"/>
    <s v="Married"/>
    <n v="1"/>
    <n v="83300"/>
    <n v="1"/>
    <s v="High Spending"/>
    <n v="24"/>
    <s v="East"/>
    <x v="13"/>
    <s v="Pittsburgh"/>
    <d v="2010-12-20T00:00:00"/>
    <n v="2573.799"/>
  </r>
  <r>
    <n v="674"/>
    <s v="Old"/>
    <x v="0"/>
    <s v="Renting"/>
    <s v="Married"/>
    <n v="0"/>
    <n v="66200"/>
    <n v="0"/>
    <s v="NA"/>
    <n v="6"/>
    <s v="East"/>
    <x v="13"/>
    <s v="Pittsburgh"/>
    <d v="2015-02-08T00:00:00"/>
    <n v="1024.3050000000001"/>
  </r>
  <r>
    <n v="675"/>
    <s v="Middle Aged"/>
    <x v="0"/>
    <s v="Renting"/>
    <s v="No"/>
    <n v="1"/>
    <n v="54400"/>
    <n v="0"/>
    <s v="Medium Spending"/>
    <n v="6"/>
    <s v="East"/>
    <x v="13"/>
    <s v="Pittsburgh"/>
    <d v="2015-01-12T00:00:00"/>
    <n v="1150.405"/>
  </r>
  <r>
    <n v="689"/>
    <s v="Middle Aged"/>
    <x v="0"/>
    <s v="Own Home"/>
    <s v="Married"/>
    <n v="1"/>
    <n v="70000"/>
    <n v="0"/>
    <s v="High Spending"/>
    <n v="24"/>
    <s v="East"/>
    <x v="13"/>
    <s v="Pittsburgh"/>
    <d v="2014-04-07T00:00:00"/>
    <n v="1974.242"/>
  </r>
  <r>
    <n v="700"/>
    <s v="Middle Aged"/>
    <x v="0"/>
    <s v="Renting"/>
    <s v="No"/>
    <n v="0"/>
    <n v="50000"/>
    <n v="1"/>
    <s v="NA"/>
    <n v="6"/>
    <s v="East"/>
    <x v="13"/>
    <s v="Pittsburgh"/>
    <d v="2015-07-03T00:00:00"/>
    <n v="1079.4970000000001"/>
  </r>
  <r>
    <n v="707"/>
    <s v="Middle Aged"/>
    <x v="1"/>
    <s v="Renting"/>
    <s v="Married"/>
    <n v="0"/>
    <n v="75800"/>
    <n v="1"/>
    <s v="High Spending"/>
    <n v="12"/>
    <s v="East"/>
    <x v="13"/>
    <s v="Pittsburgh"/>
    <d v="2012-09-21T00:00:00"/>
    <n v="1829.99"/>
  </r>
  <r>
    <n v="727"/>
    <s v="Young"/>
    <x v="1"/>
    <s v="Own Home"/>
    <s v="No"/>
    <n v="1"/>
    <n v="27200"/>
    <n v="2"/>
    <s v="Low Spending"/>
    <n v="18"/>
    <s v="East"/>
    <x v="13"/>
    <s v="Pittsburgh"/>
    <d v="2011-01-06T00:00:00"/>
    <n v="445.74"/>
  </r>
  <r>
    <n v="753"/>
    <s v="Young"/>
    <x v="1"/>
    <s v="Own Home"/>
    <s v="No"/>
    <n v="1"/>
    <n v="24400"/>
    <n v="1"/>
    <s v="Low Spending"/>
    <n v="6"/>
    <s v="East"/>
    <x v="13"/>
    <s v="Pittsburgh"/>
    <d v="2012-07-31T00:00:00"/>
    <n v="219.80799999999999"/>
  </r>
  <r>
    <n v="785"/>
    <s v="Old"/>
    <x v="1"/>
    <s v="Renting"/>
    <s v="Married"/>
    <n v="1"/>
    <n v="70900"/>
    <n v="0"/>
    <s v="High Spending"/>
    <n v="24"/>
    <s v="East"/>
    <x v="13"/>
    <s v="Pittsburgh"/>
    <d v="2014-01-07T00:00:00"/>
    <n v="1684.72"/>
  </r>
  <r>
    <n v="788"/>
    <s v="Young"/>
    <x v="1"/>
    <s v="Renting"/>
    <s v="No"/>
    <n v="1"/>
    <n v="16900"/>
    <n v="2"/>
    <s v="NA"/>
    <n v="6"/>
    <s v="East"/>
    <x v="13"/>
    <s v="Pittsburgh"/>
    <d v="2015-08-08T00:00:00"/>
    <n v="281.31400000000002"/>
  </r>
  <r>
    <n v="796"/>
    <s v="Old"/>
    <x v="1"/>
    <s v="Own Home"/>
    <s v="Married"/>
    <n v="1"/>
    <n v="83700"/>
    <n v="0"/>
    <s v="High Spending"/>
    <n v="18"/>
    <s v="East"/>
    <x v="13"/>
    <s v="Pittsburgh"/>
    <d v="2013-06-28T00:00:00"/>
    <n v="1581.61"/>
  </r>
  <r>
    <n v="805"/>
    <s v="Old"/>
    <x v="0"/>
    <s v="Own Home"/>
    <s v="Married"/>
    <n v="1"/>
    <n v="77300"/>
    <n v="0"/>
    <s v="High Spending"/>
    <n v="18"/>
    <s v="East"/>
    <x v="13"/>
    <s v="Pittsburgh"/>
    <d v="2012-12-24T00:00:00"/>
    <n v="1853.2809999999999"/>
  </r>
  <r>
    <n v="852"/>
    <s v="Middle Aged"/>
    <x v="1"/>
    <s v="Own Home"/>
    <s v="Married"/>
    <n v="0"/>
    <n v="77600"/>
    <n v="3"/>
    <s v="Medium Spending"/>
    <n v="12"/>
    <s v="East"/>
    <x v="13"/>
    <s v="Pittsburgh"/>
    <d v="2015-04-26T00:00:00"/>
    <n v="857.57500000000005"/>
  </r>
  <r>
    <n v="879"/>
    <s v="Middle Aged"/>
    <x v="1"/>
    <s v="Renting"/>
    <s v="Married"/>
    <n v="1"/>
    <n v="87700"/>
    <n v="3"/>
    <s v="NA"/>
    <n v="24"/>
    <s v="East"/>
    <x v="13"/>
    <s v="Pittsburgh"/>
    <d v="2015-02-22T00:00:00"/>
    <n v="2445.67"/>
  </r>
  <r>
    <n v="881"/>
    <s v="Middle Aged"/>
    <x v="0"/>
    <s v="Own Home"/>
    <s v="No"/>
    <n v="1"/>
    <n v="60200"/>
    <n v="3"/>
    <s v="NA"/>
    <n v="12"/>
    <s v="East"/>
    <x v="13"/>
    <s v="Pittsburgh"/>
    <d v="2015-04-08T00:00:00"/>
    <n v="1363.5909999999999"/>
  </r>
  <r>
    <n v="890"/>
    <s v="Middle Aged"/>
    <x v="0"/>
    <s v="Renting"/>
    <s v="No"/>
    <n v="1"/>
    <n v="41800"/>
    <n v="3"/>
    <s v="Low Spending"/>
    <n v="24"/>
    <s v="East"/>
    <x v="13"/>
    <s v="Pittsburgh"/>
    <d v="2013-02-26T00:00:00"/>
    <n v="300.73599999999999"/>
  </r>
  <r>
    <n v="918"/>
    <s v="Middle Aged"/>
    <x v="1"/>
    <s v="Renting"/>
    <s v="Married"/>
    <n v="1"/>
    <n v="84200"/>
    <n v="2"/>
    <s v="Medium Spending"/>
    <n v="24"/>
    <s v="East"/>
    <x v="13"/>
    <s v="Pittsburgh"/>
    <d v="2014-06-06T00:00:00"/>
    <n v="953.85299999999995"/>
  </r>
  <r>
    <n v="944"/>
    <s v="Middle Aged"/>
    <x v="0"/>
    <s v="Own Home"/>
    <s v="Married"/>
    <n v="1"/>
    <n v="82400"/>
    <n v="3"/>
    <s v="NA"/>
    <n v="18"/>
    <s v="East"/>
    <x v="13"/>
    <s v="Pittsburgh"/>
    <d v="2015-01-09T00:00:00"/>
    <n v="2122.4380000000001"/>
  </r>
  <r>
    <n v="999"/>
    <s v="Middle Aged"/>
    <x v="1"/>
    <s v="Renting"/>
    <s v="Married"/>
    <n v="1"/>
    <n v="93700"/>
    <n v="1"/>
    <s v="High Spending"/>
    <n v="24"/>
    <s v="East"/>
    <x v="13"/>
    <s v="Pittsburgh"/>
    <d v="2015-04-15T00:00:00"/>
    <n v="1521.0830000000001"/>
  </r>
  <r>
    <n v="12"/>
    <s v="Middle Aged"/>
    <x v="0"/>
    <s v="Own Home"/>
    <s v="Married"/>
    <n v="0"/>
    <n v="73800"/>
    <n v="0"/>
    <s v="High Spending"/>
    <n v="24"/>
    <s v="West"/>
    <x v="15"/>
    <s v="Salt Lake City"/>
    <d v="2011-08-13T00:00:00"/>
    <n v="3119.614"/>
  </r>
  <r>
    <m/>
    <s v="Middle Aged"/>
    <x v="0"/>
    <s v="Own Home"/>
    <s v="No"/>
    <n v="1"/>
    <n v="59400"/>
    <n v="0"/>
    <s v="Medium Spending"/>
    <n v="18"/>
    <s v="West"/>
    <x v="15"/>
    <s v="Salt Lake City"/>
    <d v="2014-12-17T00:00:00"/>
    <n v="1699.22"/>
  </r>
  <r>
    <n v="76"/>
    <s v="Young"/>
    <x v="1"/>
    <s v="Renting"/>
    <s v="No"/>
    <n v="0"/>
    <n v="19800"/>
    <n v="1"/>
    <s v="Low Spending"/>
    <n v="24"/>
    <s v="West"/>
    <x v="15"/>
    <s v="Salt Lake City"/>
    <d v="2014-01-19T00:00:00"/>
    <n v="990.52499999999998"/>
  </r>
  <r>
    <n v="103"/>
    <s v="Old"/>
    <x v="0"/>
    <s v="Own Home"/>
    <s v="Married"/>
    <n v="1"/>
    <n v="124900"/>
    <n v="0"/>
    <s v="High Spending"/>
    <n v="18"/>
    <s v="West"/>
    <x v="15"/>
    <s v="Salt Lake City"/>
    <d v="2015-05-24T00:00:00"/>
    <n v="4108.9679999999998"/>
  </r>
  <r>
    <n v="127"/>
    <s v="Middle Aged"/>
    <x v="0"/>
    <s v="Own Home"/>
    <s v="Married"/>
    <n v="1"/>
    <n v="83100"/>
    <n v="2"/>
    <s v="Medium Spending"/>
    <n v="6"/>
    <s v="West"/>
    <x v="15"/>
    <s v="Salt Lake City"/>
    <d v="2012-06-19T00:00:00"/>
    <n v="586.34100000000001"/>
  </r>
  <r>
    <n v="152"/>
    <s v="Middle Aged"/>
    <x v="0"/>
    <s v="Renting"/>
    <s v="No"/>
    <n v="1"/>
    <n v="45600"/>
    <n v="0"/>
    <s v="Medium Spending"/>
    <n v="18"/>
    <s v="West"/>
    <x v="15"/>
    <s v="Salt Lake City"/>
    <d v="2014-10-03T00:00:00"/>
    <n v="1387.9690000000001"/>
  </r>
  <r>
    <n v="179"/>
    <s v="Old"/>
    <x v="1"/>
    <s v="Own Home"/>
    <s v="No"/>
    <n v="1"/>
    <n v="35200"/>
    <n v="0"/>
    <s v="NA"/>
    <n v="12"/>
    <s v="West"/>
    <x v="15"/>
    <s v="Salt Lake City"/>
    <d v="2015-07-06T00:00:00"/>
    <n v="827.17200000000003"/>
  </r>
  <r>
    <n v="201"/>
    <s v="Young"/>
    <x v="1"/>
    <s v="Renting"/>
    <s v="Married"/>
    <n v="0"/>
    <n v="33200"/>
    <n v="1"/>
    <s v="NA"/>
    <n v="24"/>
    <s v="West"/>
    <x v="15"/>
    <s v="Salt Lake City"/>
    <d v="2015-03-17T00:00:00"/>
    <n v="1639.0260000000001"/>
  </r>
  <r>
    <n v="235"/>
    <s v="Middle Aged"/>
    <x v="0"/>
    <s v="Renting"/>
    <s v="No"/>
    <n v="1"/>
    <n v="55600"/>
    <n v="0"/>
    <s v="Medium Spending"/>
    <n v="6"/>
    <s v="West"/>
    <x v="15"/>
    <s v="Salt Lake City"/>
    <d v="2013-09-29T00:00:00"/>
    <n v="984.41200000000003"/>
  </r>
  <r>
    <n v="281"/>
    <s v="Middle Aged"/>
    <x v="0"/>
    <s v="Renting"/>
    <s v="No"/>
    <n v="0"/>
    <n v="40200"/>
    <n v="0"/>
    <s v="High Spending"/>
    <n v="18"/>
    <s v="West"/>
    <x v="15"/>
    <s v="Salt Lake City"/>
    <d v="2013-04-04T00:00:00"/>
    <n v="1634.0239999999999"/>
  </r>
  <r>
    <n v="325"/>
    <s v="Young"/>
    <x v="0"/>
    <s v="Own Home"/>
    <s v="Married"/>
    <n v="1"/>
    <n v="30400"/>
    <n v="0"/>
    <s v="Low Spending"/>
    <n v="6"/>
    <s v="West"/>
    <x v="15"/>
    <s v="Salt Lake City"/>
    <d v="2011-05-24T00:00:00"/>
    <n v="494.73500000000001"/>
  </r>
  <r>
    <n v="327"/>
    <s v="Young"/>
    <x v="0"/>
    <s v="Renting"/>
    <s v="No"/>
    <n v="1"/>
    <n v="21400"/>
    <n v="0"/>
    <s v="NA"/>
    <n v="12"/>
    <s v="West"/>
    <x v="15"/>
    <s v="Salt Lake City"/>
    <d v="2015-08-16T00:00:00"/>
    <n v="413.90199999999999"/>
  </r>
  <r>
    <n v="348"/>
    <s v="Old"/>
    <x v="1"/>
    <s v="Own Home"/>
    <s v="No"/>
    <n v="1"/>
    <n v="33200"/>
    <n v="0"/>
    <s v="Medium Spending"/>
    <n v="24"/>
    <s v="West"/>
    <x v="15"/>
    <s v="Salt Lake City"/>
    <d v="2011-09-27T00:00:00"/>
    <n v="1036.6600000000001"/>
  </r>
  <r>
    <n v="381"/>
    <s v="Young"/>
    <x v="0"/>
    <s v="Renting"/>
    <s v="No"/>
    <n v="1"/>
    <n v="29200"/>
    <n v="0"/>
    <s v="Low Spending"/>
    <n v="18"/>
    <s v="West"/>
    <x v="15"/>
    <s v="Salt Lake City"/>
    <d v="2012-12-18T00:00:00"/>
    <n v="737.4"/>
  </r>
  <r>
    <n v="411"/>
    <s v="Middle Aged"/>
    <x v="0"/>
    <s v="Own Home"/>
    <s v="Married"/>
    <n v="1"/>
    <n v="99600"/>
    <n v="1"/>
    <s v="High Spending"/>
    <n v="6"/>
    <s v="West"/>
    <x v="15"/>
    <s v="Salt Lake City"/>
    <d v="2009-09-01T00:00:00"/>
    <n v="871.49099999999999"/>
  </r>
  <r>
    <n v="427"/>
    <s v="Old"/>
    <x v="1"/>
    <s v="Own Home"/>
    <s v="Married"/>
    <n v="1"/>
    <n v="10100"/>
    <n v="1"/>
    <s v="Low Spending"/>
    <n v="6"/>
    <s v="West"/>
    <x v="15"/>
    <s v="Salt Lake City"/>
    <d v="2010-05-07T00:00:00"/>
    <n v="93.447999999999993"/>
  </r>
  <r>
    <n v="448"/>
    <s v="Middle Aged"/>
    <x v="1"/>
    <s v="Renting"/>
    <s v="No"/>
    <n v="0"/>
    <n v="31200"/>
    <n v="3"/>
    <s v="NA"/>
    <n v="24"/>
    <s v="West"/>
    <x v="15"/>
    <s v="Salt Lake City"/>
    <d v="2015-08-27T00:00:00"/>
    <n v="1087.02"/>
  </r>
  <r>
    <n v="457"/>
    <s v="Middle Aged"/>
    <x v="0"/>
    <s v="Renting"/>
    <s v="Married"/>
    <n v="1"/>
    <n v="108300"/>
    <n v="2"/>
    <s v="NA"/>
    <n v="12"/>
    <s v="West"/>
    <x v="15"/>
    <s v="Salt Lake City"/>
    <d v="2015-07-13T00:00:00"/>
    <n v="2223.6419999999998"/>
  </r>
  <r>
    <n v="531"/>
    <s v="Middle Aged"/>
    <x v="1"/>
    <s v="Renting"/>
    <s v="No"/>
    <n v="1"/>
    <n v="35300"/>
    <n v="0"/>
    <s v="NA"/>
    <n v="18"/>
    <s v="West"/>
    <x v="15"/>
    <s v="Salt Lake City"/>
    <d v="2015-02-17T00:00:00"/>
    <n v="1368.739"/>
  </r>
  <r>
    <n v="542"/>
    <s v="Middle Aged"/>
    <x v="0"/>
    <s v="Renting"/>
    <s v="No"/>
    <n v="1"/>
    <n v="47000"/>
    <n v="1"/>
    <s v="Medium Spending"/>
    <n v="12"/>
    <s v="West"/>
    <x v="15"/>
    <s v="Salt Lake City"/>
    <d v="2014-06-14T00:00:00"/>
    <n v="584.09699999999998"/>
  </r>
  <r>
    <n v="550"/>
    <s v="Old"/>
    <x v="1"/>
    <s v="Own Home"/>
    <s v="No"/>
    <n v="1"/>
    <n v="28500"/>
    <n v="0"/>
    <s v="Low Spending"/>
    <n v="24"/>
    <s v="West"/>
    <x v="15"/>
    <s v="Salt Lake City"/>
    <d v="2009-04-08T00:00:00"/>
    <n v="621.16499999999996"/>
  </r>
  <r>
    <n v="599"/>
    <s v="Middle Aged"/>
    <x v="0"/>
    <s v="Own Home"/>
    <s v="Married"/>
    <n v="1"/>
    <n v="102700"/>
    <n v="3"/>
    <s v="NA"/>
    <n v="12"/>
    <s v="West"/>
    <x v="15"/>
    <s v="Salt Lake City"/>
    <d v="2015-06-17T00:00:00"/>
    <n v="1472.7819999999999"/>
  </r>
  <r>
    <n v="607"/>
    <s v="Old"/>
    <x v="0"/>
    <s v="Renting"/>
    <s v="No"/>
    <n v="1"/>
    <n v="34500"/>
    <n v="0"/>
    <s v="Medium Spending"/>
    <n v="24"/>
    <s v="West"/>
    <x v="15"/>
    <s v="Salt Lake City"/>
    <d v="2011-11-23T00:00:00"/>
    <n v="639.46100000000001"/>
  </r>
  <r>
    <n v="668"/>
    <s v="Old"/>
    <x v="1"/>
    <s v="Own Home"/>
    <s v="Married"/>
    <n v="0"/>
    <n v="12600"/>
    <n v="2"/>
    <s v="Low Spending"/>
    <n v="12"/>
    <s v="West"/>
    <x v="15"/>
    <s v="Salt Lake City"/>
    <d v="2009-05-09T00:00:00"/>
    <n v="164.49"/>
  </r>
  <r>
    <n v="684"/>
    <s v="Young"/>
    <x v="1"/>
    <s v="Renting"/>
    <s v="No"/>
    <n v="1"/>
    <n v="11900"/>
    <n v="1"/>
    <s v="Low Spending"/>
    <n v="6"/>
    <s v="West"/>
    <x v="15"/>
    <s v="Salt Lake City"/>
    <d v="2012-07-13T00:00:00"/>
    <n v="143.46700000000001"/>
  </r>
  <r>
    <n v="706"/>
    <s v="Middle Aged"/>
    <x v="0"/>
    <s v="Own Home"/>
    <s v="Married"/>
    <n v="1"/>
    <n v="99200"/>
    <n v="3"/>
    <s v="NA"/>
    <n v="12"/>
    <s v="West"/>
    <x v="15"/>
    <s v="Salt Lake City"/>
    <d v="2015-07-21T00:00:00"/>
    <n v="2796.33"/>
  </r>
  <r>
    <n v="718"/>
    <s v="Young"/>
    <x v="1"/>
    <s v="Renting"/>
    <s v="No"/>
    <n v="1"/>
    <n v="20100"/>
    <n v="1"/>
    <s v="Low Spending"/>
    <n v="12"/>
    <s v="West"/>
    <x v="15"/>
    <s v="Salt Lake City"/>
    <d v="2009-11-19T00:00:00"/>
    <n v="270.50599999999997"/>
  </r>
  <r>
    <n v="724"/>
    <s v="Old"/>
    <x v="1"/>
    <s v="Own Home"/>
    <s v="No"/>
    <n v="0"/>
    <n v="42600"/>
    <n v="0"/>
    <s v="High Spending"/>
    <n v="24"/>
    <s v="West"/>
    <x v="15"/>
    <s v="Salt Lake City"/>
    <d v="2012-10-30T00:00:00"/>
    <n v="1789.884"/>
  </r>
  <r>
    <n v="725"/>
    <s v="Middle Aged"/>
    <x v="0"/>
    <s v="Own Home"/>
    <s v="Married"/>
    <n v="1"/>
    <n v="118500"/>
    <n v="1"/>
    <s v="High Spending"/>
    <n v="24"/>
    <s v="West"/>
    <x v="15"/>
    <s v="Salt Lake City"/>
    <d v="2011-02-22T00:00:00"/>
    <n v="3063.491"/>
  </r>
  <r>
    <n v="726"/>
    <s v="Young"/>
    <x v="1"/>
    <s v="Own Home"/>
    <s v="No"/>
    <n v="1"/>
    <n v="15600"/>
    <n v="1"/>
    <s v="Low Spending"/>
    <n v="6"/>
    <s v="West"/>
    <x v="15"/>
    <s v="Salt Lake City"/>
    <d v="2014-12-04T00:00:00"/>
    <n v="136.34800000000001"/>
  </r>
  <r>
    <n v="773"/>
    <s v="Middle Aged"/>
    <x v="0"/>
    <s v="Renting"/>
    <s v="No"/>
    <n v="1"/>
    <n v="60300"/>
    <n v="0"/>
    <s v="High Spending"/>
    <n v="6"/>
    <s v="West"/>
    <x v="15"/>
    <s v="Salt Lake City"/>
    <d v="2009-06-09T00:00:00"/>
    <n v="700.50199999999995"/>
  </r>
  <r>
    <n v="775"/>
    <s v="Middle Aged"/>
    <x v="0"/>
    <s v="Own Home"/>
    <s v="Married"/>
    <n v="1"/>
    <n v="79600"/>
    <n v="2"/>
    <s v="NA"/>
    <n v="6"/>
    <s v="West"/>
    <x v="15"/>
    <s v="Salt Lake City"/>
    <d v="2015-04-25T00:00:00"/>
    <n v="1575.424"/>
  </r>
  <r>
    <n v="836"/>
    <s v="Old"/>
    <x v="0"/>
    <s v="Own Home"/>
    <s v="Married"/>
    <n v="1"/>
    <n v="116100"/>
    <n v="1"/>
    <s v="High Spending"/>
    <n v="24"/>
    <s v="West"/>
    <x v="15"/>
    <s v="Salt Lake City"/>
    <d v="2013-12-09T00:00:00"/>
    <n v="2975.17"/>
  </r>
  <r>
    <n v="886"/>
    <s v="Young"/>
    <x v="1"/>
    <s v="Renting"/>
    <s v="No"/>
    <n v="0"/>
    <n v="21700"/>
    <n v="3"/>
    <s v="NA"/>
    <n v="24"/>
    <s v="West"/>
    <x v="15"/>
    <s v="Salt Lake City"/>
    <d v="2015-08-06T00:00:00"/>
    <n v="707.7"/>
  </r>
  <r>
    <n v="904"/>
    <s v="Middle Aged"/>
    <x v="0"/>
    <s v="Own Home"/>
    <s v="Married"/>
    <n v="0"/>
    <n v="79200"/>
    <n v="1"/>
    <s v="High Spending"/>
    <n v="6"/>
    <s v="West"/>
    <x v="15"/>
    <s v="Salt Lake City"/>
    <d v="2009-04-12T00:00:00"/>
    <n v="1904.52"/>
  </r>
  <r>
    <n v="914"/>
    <s v="Young"/>
    <x v="1"/>
    <s v="Renting"/>
    <s v="No"/>
    <n v="0"/>
    <n v="14300"/>
    <n v="2"/>
    <s v="Low Spending"/>
    <n v="6"/>
    <s v="West"/>
    <x v="15"/>
    <s v="Salt Lake City"/>
    <d v="2013-02-26T00:00:00"/>
    <n v="193.82599999999999"/>
  </r>
  <r>
    <n v="943"/>
    <s v="Middle Aged"/>
    <x v="0"/>
    <s v="Own Home"/>
    <s v="Married"/>
    <n v="1"/>
    <n v="98400"/>
    <n v="0"/>
    <s v="High Spending"/>
    <n v="18"/>
    <s v="West"/>
    <x v="15"/>
    <s v="Salt Lake City"/>
    <d v="2012-04-09T00:00:00"/>
    <n v="3304.6030000000001"/>
  </r>
  <r>
    <n v="963"/>
    <s v="Middle Aged"/>
    <x v="0"/>
    <s v="Renting"/>
    <s v="Married"/>
    <n v="0"/>
    <n v="97600"/>
    <n v="1"/>
    <s v="NA"/>
    <n v="12"/>
    <s v="West"/>
    <x v="15"/>
    <s v="Salt Lake City"/>
    <d v="2015-03-09T00:00:00"/>
    <n v="2902.1970000000001"/>
  </r>
  <r>
    <n v="970"/>
    <s v="Middle Aged"/>
    <x v="1"/>
    <s v="Own Home"/>
    <s v="No"/>
    <n v="0"/>
    <n v="55600"/>
    <n v="1"/>
    <s v="High Spending"/>
    <n v="18"/>
    <s v="West"/>
    <x v="15"/>
    <s v="Salt Lake City"/>
    <d v="2009-04-26T00:00:00"/>
    <n v="1553.4639999999999"/>
  </r>
  <r>
    <n v="987"/>
    <s v="Old"/>
    <x v="1"/>
    <s v="Own Home"/>
    <s v="Married"/>
    <n v="1"/>
    <n v="25900"/>
    <n v="0"/>
    <s v="Low Spending"/>
    <n v="18"/>
    <s v="West"/>
    <x v="15"/>
    <s v="Salt Lake City"/>
    <d v="2013-05-04T00:00:00"/>
    <n v="582.38"/>
  </r>
  <r>
    <n v="1000"/>
    <s v="Middle Aged"/>
    <x v="0"/>
    <s v="Own Home"/>
    <s v="Married"/>
    <n v="1"/>
    <n v="102500"/>
    <n v="1"/>
    <s v="High Spending"/>
    <n v="24"/>
    <s v="West"/>
    <x v="15"/>
    <s v="Salt Lake City"/>
    <d v="2012-03-09T00:00:00"/>
    <n v="2464.3389999999999"/>
  </r>
  <r>
    <n v="8"/>
    <s v="Old"/>
    <x v="1"/>
    <s v="Own Home"/>
    <s v="Married"/>
    <n v="0"/>
    <n v="80000"/>
    <n v="0"/>
    <s v="High Spending"/>
    <n v="6"/>
    <s v="West"/>
    <x v="8"/>
    <s v="San Francisco"/>
    <d v="2009-08-17T00:00:00"/>
    <n v="1984.66"/>
  </r>
  <r>
    <n v="73"/>
    <s v="Young"/>
    <x v="1"/>
    <s v="Renting"/>
    <s v="Married"/>
    <n v="1"/>
    <n v="36500"/>
    <n v="1"/>
    <s v="NA"/>
    <n v="18"/>
    <s v="West"/>
    <x v="8"/>
    <s v="San Francisco"/>
    <d v="2015-05-17T00:00:00"/>
    <n v="747.43499999999995"/>
  </r>
  <r>
    <n v="111"/>
    <s v="Middle Aged"/>
    <x v="0"/>
    <s v="Own Home"/>
    <s v="Married"/>
    <n v="1"/>
    <n v="101700"/>
    <n v="1"/>
    <s v="NA"/>
    <n v="6"/>
    <s v="West"/>
    <x v="8"/>
    <s v="San Francisco"/>
    <d v="2015-07-28T00:00:00"/>
    <n v="940.64400000000001"/>
  </r>
  <r>
    <n v="131"/>
    <s v="Middle Aged"/>
    <x v="0"/>
    <s v="Renting"/>
    <s v="No"/>
    <n v="1"/>
    <n v="59100"/>
    <n v="2"/>
    <s v="Low Spending"/>
    <n v="18"/>
    <s v="West"/>
    <x v="8"/>
    <s v="San Francisco"/>
    <d v="2013-03-28T00:00:00"/>
    <n v="579.54100000000005"/>
  </r>
  <r>
    <n v="219"/>
    <s v="Old"/>
    <x v="1"/>
    <s v="Own Home"/>
    <s v="Married"/>
    <n v="1"/>
    <n v="82800"/>
    <n v="0"/>
    <s v="High Spending"/>
    <n v="24"/>
    <s v="West"/>
    <x v="8"/>
    <s v="San Francisco"/>
    <d v="2014-03-06T00:00:00"/>
    <n v="3009.9789999999998"/>
  </r>
  <r>
    <n v="278"/>
    <s v="Middle Aged"/>
    <x v="1"/>
    <s v="Own Home"/>
    <s v="Married"/>
    <n v="1"/>
    <n v="107600"/>
    <n v="2"/>
    <s v="Medium Spending"/>
    <n v="12"/>
    <s v="West"/>
    <x v="8"/>
    <s v="San Francisco"/>
    <d v="2015-07-07T00:00:00"/>
    <n v="1512.011"/>
  </r>
  <r>
    <n v="344"/>
    <s v="Middle Aged"/>
    <x v="0"/>
    <s v="Own Home"/>
    <s v="Married"/>
    <n v="1"/>
    <n v="70200"/>
    <n v="0"/>
    <s v="NA"/>
    <n v="6"/>
    <s v="West"/>
    <x v="8"/>
    <s v="San Francisco"/>
    <d v="2015-02-07T00:00:00"/>
    <n v="1582.604"/>
  </r>
  <r>
    <n v="356"/>
    <s v="Old"/>
    <x v="1"/>
    <s v="Own Home"/>
    <s v="Married"/>
    <n v="1"/>
    <n v="69400"/>
    <n v="0"/>
    <s v="High Spending"/>
    <n v="18"/>
    <s v="West"/>
    <x v="8"/>
    <s v="San Francisco"/>
    <d v="2011-01-16T00:00:00"/>
    <n v="2418.6019999999999"/>
  </r>
  <r>
    <n v="359"/>
    <s v="Middle Aged"/>
    <x v="0"/>
    <s v="Renting"/>
    <s v="Married"/>
    <n v="0"/>
    <n v="87100"/>
    <n v="2"/>
    <s v="High Spending"/>
    <n v="18"/>
    <s v="West"/>
    <x v="8"/>
    <s v="San Francisco"/>
    <d v="2014-10-07T00:00:00"/>
    <n v="1687.807"/>
  </r>
  <r>
    <n v="370"/>
    <s v="Young"/>
    <x v="1"/>
    <s v="Renting"/>
    <s v="No"/>
    <n v="1"/>
    <n v="14200"/>
    <n v="0"/>
    <s v="NA"/>
    <n v="6"/>
    <s v="West"/>
    <x v="8"/>
    <s v="San Francisco"/>
    <d v="2015-04-07T00:00:00"/>
    <n v="191.60900000000001"/>
  </r>
  <r>
    <n v="371"/>
    <s v="Young"/>
    <x v="0"/>
    <s v="Renting"/>
    <s v="Married"/>
    <n v="1"/>
    <n v="41500"/>
    <n v="0"/>
    <s v="NA"/>
    <n v="24"/>
    <s v="West"/>
    <x v="8"/>
    <s v="San Francisco"/>
    <d v="2015-07-07T00:00:00"/>
    <n v="1212.5940000000001"/>
  </r>
  <r>
    <n v="374"/>
    <s v="Young"/>
    <x v="1"/>
    <s v="Renting"/>
    <s v="No"/>
    <n v="0"/>
    <n v="18400"/>
    <n v="1"/>
    <s v="Low Spending"/>
    <n v="6"/>
    <s v="West"/>
    <x v="8"/>
    <s v="San Francisco"/>
    <d v="2014-01-25T00:00:00"/>
    <n v="319.18700000000001"/>
  </r>
  <r>
    <n v="385"/>
    <s v="Middle Aged"/>
    <x v="0"/>
    <s v="Renting"/>
    <s v="No"/>
    <n v="0"/>
    <n v="51100"/>
    <n v="0"/>
    <s v="High Spending"/>
    <n v="24"/>
    <s v="West"/>
    <x v="8"/>
    <s v="San Francisco"/>
    <d v="2012-10-20T00:00:00"/>
    <n v="1983.5609999999999"/>
  </r>
  <r>
    <n v="404"/>
    <s v="Middle Aged"/>
    <x v="1"/>
    <s v="Own Home"/>
    <s v="Married"/>
    <n v="1"/>
    <n v="65400"/>
    <n v="2"/>
    <s v="Medium Spending"/>
    <n v="24"/>
    <s v="West"/>
    <x v="8"/>
    <s v="San Francisco"/>
    <d v="2014-01-17T00:00:00"/>
    <n v="937.76199999999994"/>
  </r>
  <r>
    <n v="409"/>
    <s v="Middle Aged"/>
    <x v="1"/>
    <s v="Renting"/>
    <s v="No"/>
    <n v="1"/>
    <n v="39900"/>
    <n v="1"/>
    <s v="Low Spending"/>
    <n v="12"/>
    <s v="West"/>
    <x v="8"/>
    <s v="San Francisco"/>
    <d v="2012-03-12T00:00:00"/>
    <n v="586.30999999999995"/>
  </r>
  <r>
    <n v="412"/>
    <s v="Middle Aged"/>
    <x v="0"/>
    <s v="Own Home"/>
    <s v="No"/>
    <n v="1"/>
    <n v="58400"/>
    <n v="0"/>
    <s v="Medium Spending"/>
    <n v="12"/>
    <s v="West"/>
    <x v="8"/>
    <s v="San Francisco"/>
    <d v="2012-10-07T00:00:00"/>
    <n v="829.33299999999997"/>
  </r>
  <r>
    <n v="455"/>
    <s v="Middle Aged"/>
    <x v="0"/>
    <s v="Renting"/>
    <s v="No"/>
    <n v="1"/>
    <n v="55900"/>
    <n v="1"/>
    <s v="Medium Spending"/>
    <n v="12"/>
    <s v="West"/>
    <x v="8"/>
    <s v="San Francisco"/>
    <d v="2013-06-22T00:00:00"/>
    <n v="908.86300000000006"/>
  </r>
  <r>
    <n v="458"/>
    <s v="Middle Aged"/>
    <x v="1"/>
    <s v="Renting"/>
    <s v="Married"/>
    <n v="1"/>
    <n v="46700"/>
    <n v="0"/>
    <s v="Medium Spending"/>
    <n v="24"/>
    <s v="West"/>
    <x v="8"/>
    <s v="San Francisco"/>
    <d v="2012-09-21T00:00:00"/>
    <n v="982.55600000000004"/>
  </r>
  <r>
    <n v="494"/>
    <s v="Middle Aged"/>
    <x v="0"/>
    <s v="Own Home"/>
    <s v="Married"/>
    <n v="1"/>
    <n v="81200"/>
    <n v="0"/>
    <s v="High Spending"/>
    <n v="24"/>
    <s v="West"/>
    <x v="8"/>
    <s v="San Francisco"/>
    <d v="2012-01-02T00:00:00"/>
    <n v="1855.633"/>
  </r>
  <r>
    <n v="505"/>
    <s v="Middle Aged"/>
    <x v="1"/>
    <s v="Own Home"/>
    <s v="Married"/>
    <n v="1"/>
    <n v="97900"/>
    <n v="0"/>
    <s v="High Spending"/>
    <n v="24"/>
    <s v="West"/>
    <x v="8"/>
    <s v="San Francisco"/>
    <d v="2013-04-06T00:00:00"/>
    <n v="2149.223"/>
  </r>
  <r>
    <n v="506"/>
    <s v="Young"/>
    <x v="1"/>
    <s v="Own Home"/>
    <s v="Married"/>
    <n v="1"/>
    <n v="76200"/>
    <n v="0"/>
    <s v="High Spending"/>
    <n v="12"/>
    <s v="West"/>
    <x v="8"/>
    <s v="San Francisco"/>
    <d v="2011-10-30T00:00:00"/>
    <n v="979.21799999999996"/>
  </r>
  <r>
    <n v="534"/>
    <s v="Old"/>
    <x v="1"/>
    <s v="Own Home"/>
    <s v="Married"/>
    <n v="0"/>
    <n v="57900"/>
    <n v="0"/>
    <s v="High Spending"/>
    <n v="12"/>
    <s v="West"/>
    <x v="8"/>
    <s v="San Francisco"/>
    <d v="2013-06-13T00:00:00"/>
    <n v="1692.94"/>
  </r>
  <r>
    <n v="566"/>
    <s v="Middle Aged"/>
    <x v="1"/>
    <s v="Renting"/>
    <s v="Married"/>
    <n v="1"/>
    <n v="48600"/>
    <n v="0"/>
    <s v="Medium Spending"/>
    <n v="24"/>
    <s v="West"/>
    <x v="8"/>
    <s v="San Francisco"/>
    <d v="2012-07-21T00:00:00"/>
    <n v="1583.0640000000001"/>
  </r>
  <r>
    <n v="591"/>
    <s v="Young"/>
    <x v="0"/>
    <s v="Renting"/>
    <s v="No"/>
    <n v="1"/>
    <n v="13000"/>
    <n v="3"/>
    <s v="Low Spending"/>
    <n v="6"/>
    <s v="West"/>
    <x v="8"/>
    <s v="San Francisco"/>
    <d v="2014-07-26T00:00:00"/>
    <n v="43.185000000000002"/>
  </r>
  <r>
    <n v="643"/>
    <s v="Middle Aged"/>
    <x v="1"/>
    <s v="Own Home"/>
    <s v="No"/>
    <n v="1"/>
    <n v="67800"/>
    <n v="1"/>
    <s v="Medium Spending"/>
    <n v="6"/>
    <s v="West"/>
    <x v="8"/>
    <s v="San Francisco"/>
    <d v="2012-01-12T00:00:00"/>
    <n v="680.02800000000002"/>
  </r>
  <r>
    <n v="652"/>
    <s v="Young"/>
    <x v="0"/>
    <s v="Renting"/>
    <s v="Married"/>
    <n v="1"/>
    <n v="54500"/>
    <n v="1"/>
    <s v="Medium Spending"/>
    <n v="18"/>
    <s v="West"/>
    <x v="8"/>
    <s v="San Francisco"/>
    <d v="2013-10-20T00:00:00"/>
    <n v="1001.101"/>
  </r>
  <r>
    <n v="676"/>
    <s v="Middle Aged"/>
    <x v="0"/>
    <s v="Renting"/>
    <s v="Married"/>
    <n v="1"/>
    <n v="68700"/>
    <n v="0"/>
    <s v="High Spending"/>
    <n v="24"/>
    <s v="West"/>
    <x v="8"/>
    <s v="San Francisco"/>
    <d v="2014-02-12T00:00:00"/>
    <n v="2763.4639999999999"/>
  </r>
  <r>
    <n v="682"/>
    <s v="Middle Aged"/>
    <x v="1"/>
    <s v="Own Home"/>
    <s v="Married"/>
    <n v="0"/>
    <n v="84900"/>
    <n v="1"/>
    <s v="High Spending"/>
    <n v="24"/>
    <s v="West"/>
    <x v="8"/>
    <s v="San Francisco"/>
    <d v="2013-08-25T00:00:00"/>
    <n v="3072.076"/>
  </r>
  <r>
    <n v="699"/>
    <s v="Middle Aged"/>
    <x v="0"/>
    <s v="Own Home"/>
    <s v="Married"/>
    <n v="1"/>
    <n v="100100"/>
    <n v="2"/>
    <s v="NA"/>
    <n v="6"/>
    <s v="West"/>
    <x v="8"/>
    <s v="San Francisco"/>
    <d v="2015-07-21T00:00:00"/>
    <n v="1596.9090000000001"/>
  </r>
  <r>
    <n v="742"/>
    <s v="Middle Aged"/>
    <x v="0"/>
    <s v="Own Home"/>
    <s v="Married"/>
    <n v="1"/>
    <n v="126500"/>
    <n v="2"/>
    <s v="High Spending"/>
    <n v="18"/>
    <s v="West"/>
    <x v="8"/>
    <s v="San Francisco"/>
    <d v="2012-05-30T00:00:00"/>
    <n v="1999.546"/>
  </r>
  <r>
    <n v="750"/>
    <s v="Old"/>
    <x v="1"/>
    <s v="Own Home"/>
    <s v="Married"/>
    <n v="1"/>
    <n v="90500"/>
    <n v="0"/>
    <s v="High Spending"/>
    <n v="6"/>
    <s v="West"/>
    <x v="8"/>
    <s v="San Francisco"/>
    <d v="2011-10-17T00:00:00"/>
    <n v="862.88300000000004"/>
  </r>
  <r>
    <n v="761"/>
    <s v="Middle Aged"/>
    <x v="1"/>
    <s v="Renting"/>
    <s v="Married"/>
    <n v="1"/>
    <n v="66300"/>
    <n v="2"/>
    <s v="Medium Spending"/>
    <n v="12"/>
    <s v="West"/>
    <x v="8"/>
    <s v="San Francisco"/>
    <d v="2011-01-20T00:00:00"/>
    <n v="544.16"/>
  </r>
  <r>
    <n v="770"/>
    <s v="Young"/>
    <x v="0"/>
    <s v="Renting"/>
    <s v="Married"/>
    <n v="1"/>
    <n v="36700"/>
    <n v="0"/>
    <s v="Medium Spending"/>
    <n v="12"/>
    <s v="West"/>
    <x v="8"/>
    <s v="San Francisco"/>
    <d v="2015-08-09T00:00:00"/>
    <n v="730.67"/>
  </r>
  <r>
    <n v="822"/>
    <s v="Old"/>
    <x v="0"/>
    <s v="Own Home"/>
    <s v="No"/>
    <n v="1"/>
    <n v="51400"/>
    <n v="0"/>
    <s v="NA"/>
    <n v="6"/>
    <s v="West"/>
    <x v="8"/>
    <s v="San Francisco"/>
    <d v="2015-02-15T00:00:00"/>
    <n v="694.45500000000004"/>
  </r>
  <r>
    <n v="825"/>
    <s v="Old"/>
    <x v="1"/>
    <s v="Own Home"/>
    <s v="Married"/>
    <n v="1"/>
    <n v="77600"/>
    <n v="0"/>
    <s v="High Spending"/>
    <n v="18"/>
    <s v="West"/>
    <x v="8"/>
    <s v="San Francisco"/>
    <d v="2014-04-24T00:00:00"/>
    <n v="2004.491"/>
  </r>
  <r>
    <n v="841"/>
    <s v="Middle Aged"/>
    <x v="1"/>
    <s v="Own Home"/>
    <s v="No"/>
    <n v="1"/>
    <n v="68400"/>
    <n v="0"/>
    <s v="High Spending"/>
    <n v="12"/>
    <s v="West"/>
    <x v="8"/>
    <s v="San Francisco"/>
    <d v="2010-06-20T00:00:00"/>
    <n v="1304.252"/>
  </r>
  <r>
    <n v="974"/>
    <s v="Middle Aged"/>
    <x v="0"/>
    <s v="Own Home"/>
    <s v="Married"/>
    <n v="0"/>
    <n v="113600"/>
    <n v="2"/>
    <s v="High Spending"/>
    <n v="18"/>
    <s v="West"/>
    <x v="8"/>
    <s v="San Francisco"/>
    <d v="2012-09-27T00:00:00"/>
    <n v="3236.509"/>
  </r>
  <r>
    <n v="18"/>
    <s v="Middle Aged"/>
    <x v="0"/>
    <s v="Own Home"/>
    <s v="Married"/>
    <n v="1"/>
    <n v="66900"/>
    <n v="0"/>
    <s v="High Spending"/>
    <n v="12"/>
    <s v="West"/>
    <x v="16"/>
    <s v="Seattle"/>
    <d v="2009-05-12T00:00:00"/>
    <n v="1220.2339999999999"/>
  </r>
  <r>
    <n v="43"/>
    <s v="Middle Aged"/>
    <x v="0"/>
    <s v="Own Home"/>
    <s v="Married"/>
    <n v="1"/>
    <n v="107300"/>
    <n v="2"/>
    <s v="Medium Spending"/>
    <n v="18"/>
    <s v="West"/>
    <x v="16"/>
    <s v="Seattle"/>
    <d v="2009-10-31T00:00:00"/>
    <n v="1566.222"/>
  </r>
  <r>
    <n v="90"/>
    <s v="Young"/>
    <x v="1"/>
    <s v="Renting"/>
    <s v="Married"/>
    <n v="1"/>
    <n v="42000"/>
    <n v="3"/>
    <s v="Low Spending"/>
    <n v="6"/>
    <s v="West"/>
    <x v="16"/>
    <s v="Seattle"/>
    <d v="2012-05-14T00:00:00"/>
    <n v="105.176"/>
  </r>
  <r>
    <n v="126"/>
    <s v="Middle Aged"/>
    <x v="1"/>
    <s v="Own Home"/>
    <s v="Married"/>
    <n v="1"/>
    <n v="93400"/>
    <n v="2"/>
    <s v="NA"/>
    <n v="24"/>
    <s v="West"/>
    <x v="16"/>
    <s v="Seattle"/>
    <d v="2015-01-25T00:00:00"/>
    <n v="3079.0740000000001"/>
  </r>
  <r>
    <n v="139"/>
    <s v="Middle Aged"/>
    <x v="0"/>
    <s v="Own Home"/>
    <s v="No"/>
    <n v="1"/>
    <n v="66600"/>
    <n v="0"/>
    <s v="High Spending"/>
    <n v="18"/>
    <s v="West"/>
    <x v="16"/>
    <s v="Seattle"/>
    <d v="2014-10-31T00:00:00"/>
    <n v="1177.31"/>
  </r>
  <r>
    <n v="200"/>
    <s v="Young"/>
    <x v="1"/>
    <s v="Renting"/>
    <s v="No"/>
    <n v="1"/>
    <n v="31300"/>
    <n v="1"/>
    <s v="Low Spending"/>
    <n v="6"/>
    <s v="West"/>
    <x v="16"/>
    <s v="Seattle"/>
    <d v="2010-05-23T00:00:00"/>
    <n v="357.04399999999998"/>
  </r>
  <r>
    <n v="208"/>
    <s v="Old"/>
    <x v="1"/>
    <s v="Renting"/>
    <s v="No"/>
    <n v="1"/>
    <n v="33600"/>
    <n v="0"/>
    <s v="Medium Spending"/>
    <n v="12"/>
    <s v="West"/>
    <x v="16"/>
    <s v="Seattle"/>
    <d v="2010-03-13T00:00:00"/>
    <n v="573.202"/>
  </r>
  <r>
    <n v="214"/>
    <s v="Middle Aged"/>
    <x v="1"/>
    <s v="Renting"/>
    <s v="No"/>
    <n v="1"/>
    <n v="39700"/>
    <n v="3"/>
    <s v="Low Spending"/>
    <n v="12"/>
    <s v="West"/>
    <x v="16"/>
    <s v="Seattle"/>
    <d v="2009-12-20T00:00:00"/>
    <n v="238.06700000000001"/>
  </r>
  <r>
    <n v="216"/>
    <s v="Middle Aged"/>
    <x v="0"/>
    <s v="Own Home"/>
    <s v="Married"/>
    <n v="1"/>
    <n v="96100"/>
    <n v="3"/>
    <s v="Low Spending"/>
    <n v="12"/>
    <s v="West"/>
    <x v="16"/>
    <s v="Seattle"/>
    <d v="2012-02-11T00:00:00"/>
    <n v="316.15100000000001"/>
  </r>
  <r>
    <n v="240"/>
    <s v="Middle Aged"/>
    <x v="0"/>
    <s v="Own Home"/>
    <s v="Married"/>
    <n v="1"/>
    <n v="100000"/>
    <n v="1"/>
    <s v="High Spending"/>
    <n v="24"/>
    <s v="West"/>
    <x v="16"/>
    <s v="Seattle"/>
    <d v="2013-03-18T00:00:00"/>
    <n v="2247.366"/>
  </r>
  <r>
    <n v="249"/>
    <s v="Middle Aged"/>
    <x v="0"/>
    <s v="Renting"/>
    <s v="Married"/>
    <n v="1"/>
    <n v="106100"/>
    <n v="3"/>
    <s v="Low Spending"/>
    <n v="12"/>
    <s v="West"/>
    <x v="16"/>
    <s v="Seattle"/>
    <d v="2011-11-23T00:00:00"/>
    <n v="472.04700000000003"/>
  </r>
  <r>
    <n v="252"/>
    <s v="Middle Aged"/>
    <x v="0"/>
    <s v="Renting"/>
    <s v="No"/>
    <n v="1"/>
    <n v="45200"/>
    <n v="1"/>
    <s v="Medium Spending"/>
    <n v="18"/>
    <s v="West"/>
    <x v="16"/>
    <s v="Seattle"/>
    <d v="2015-03-17T00:00:00"/>
    <n v="698.61400000000003"/>
  </r>
  <r>
    <n v="264"/>
    <s v="Middle Aged"/>
    <x v="0"/>
    <s v="Own Home"/>
    <s v="No"/>
    <n v="1"/>
    <n v="59700"/>
    <n v="1"/>
    <s v="NA"/>
    <n v="18"/>
    <s v="West"/>
    <x v="16"/>
    <s v="Seattle"/>
    <d v="2015-04-17T00:00:00"/>
    <n v="1422.173"/>
  </r>
  <r>
    <n v="273"/>
    <s v="Middle Aged"/>
    <x v="0"/>
    <s v="Own Home"/>
    <s v="No"/>
    <n v="1"/>
    <n v="65300"/>
    <n v="3"/>
    <s v="Low Spending"/>
    <n v="6"/>
    <s v="West"/>
    <x v="16"/>
    <s v="Seattle"/>
    <d v="2012-05-07T00:00:00"/>
    <n v="192.56899999999999"/>
  </r>
  <r>
    <n v="357"/>
    <s v="Middle Aged"/>
    <x v="1"/>
    <s v="Own Home"/>
    <s v="Married"/>
    <n v="1"/>
    <n v="109800"/>
    <n v="1"/>
    <s v="High Spending"/>
    <n v="24"/>
    <s v="West"/>
    <x v="16"/>
    <s v="Seattle"/>
    <d v="2009-11-08T00:00:00"/>
    <n v="2258.049"/>
  </r>
  <r>
    <n v="362"/>
    <s v="Young"/>
    <x v="1"/>
    <s v="Renting"/>
    <s v="No"/>
    <n v="1"/>
    <n v="19400"/>
    <n v="1"/>
    <s v="NA"/>
    <n v="18"/>
    <s v="West"/>
    <x v="16"/>
    <s v="Seattle"/>
    <d v="2015-07-07T00:00:00"/>
    <n v="384.24799999999999"/>
  </r>
  <r>
    <n v="387"/>
    <s v="Young"/>
    <x v="0"/>
    <s v="Renting"/>
    <s v="No"/>
    <n v="1"/>
    <n v="21300"/>
    <n v="1"/>
    <s v="NA"/>
    <n v="12"/>
    <s v="West"/>
    <x v="16"/>
    <s v="Seattle"/>
    <d v="2015-04-08T00:00:00"/>
    <n v="329.13400000000001"/>
  </r>
  <r>
    <n v="403"/>
    <s v="Middle Aged"/>
    <x v="0"/>
    <s v="Renting"/>
    <s v="No"/>
    <n v="1"/>
    <n v="63800"/>
    <n v="1"/>
    <s v="Medium Spending"/>
    <n v="24"/>
    <s v="West"/>
    <x v="16"/>
    <s v="Seattle"/>
    <d v="2012-06-06T00:00:00"/>
    <n v="1621.6320000000001"/>
  </r>
  <r>
    <n v="454"/>
    <s v="Middle Aged"/>
    <x v="0"/>
    <s v="Renting"/>
    <s v="No"/>
    <n v="1"/>
    <n v="50500"/>
    <n v="0"/>
    <s v="Medium Spending"/>
    <n v="12"/>
    <s v="West"/>
    <x v="16"/>
    <s v="Seattle"/>
    <d v="2011-03-31T00:00:00"/>
    <n v="1028.8789999999999"/>
  </r>
  <r>
    <n v="486"/>
    <s v="Old"/>
    <x v="1"/>
    <s v="Renting"/>
    <s v="Married"/>
    <n v="1"/>
    <n v="65900"/>
    <n v="0"/>
    <s v="High Spending"/>
    <n v="12"/>
    <s v="West"/>
    <x v="16"/>
    <s v="Seattle"/>
    <d v="2015-03-27T00:00:00"/>
    <n v="777.32799999999997"/>
  </r>
  <r>
    <n v="514"/>
    <s v="Young"/>
    <x v="0"/>
    <s v="Renting"/>
    <s v="Married"/>
    <n v="1"/>
    <n v="37200"/>
    <n v="1"/>
    <s v="Low Spending"/>
    <n v="6"/>
    <s v="West"/>
    <x v="16"/>
    <s v="Seattle"/>
    <d v="2011-08-31T00:00:00"/>
    <n v="247.00700000000001"/>
  </r>
  <r>
    <n v="521"/>
    <s v="Middle Aged"/>
    <x v="1"/>
    <s v="Renting"/>
    <s v="No"/>
    <n v="1"/>
    <n v="48100"/>
    <n v="0"/>
    <s v="Medium Spending"/>
    <n v="12"/>
    <s v="West"/>
    <x v="16"/>
    <s v="Seattle"/>
    <d v="2015-01-06T00:00:00"/>
    <n v="781.61900000000003"/>
  </r>
  <r>
    <n v="522"/>
    <s v="Middle Aged"/>
    <x v="0"/>
    <s v="Own Home"/>
    <s v="Married"/>
    <n v="1"/>
    <n v="96300"/>
    <n v="1"/>
    <s v="High Spending"/>
    <n v="12"/>
    <s v="West"/>
    <x v="16"/>
    <s v="Seattle"/>
    <d v="2009-06-28T00:00:00"/>
    <n v="1081.269"/>
  </r>
  <r>
    <n v="525"/>
    <s v="Middle Aged"/>
    <x v="0"/>
    <s v="Renting"/>
    <s v="Married"/>
    <n v="0"/>
    <n v="83500"/>
    <n v="2"/>
    <s v="High Spending"/>
    <n v="24"/>
    <s v="West"/>
    <x v="16"/>
    <s v="Seattle"/>
    <d v="2012-01-29T00:00:00"/>
    <n v="2098.2249999999999"/>
  </r>
  <r>
    <n v="529"/>
    <s v="Old"/>
    <x v="1"/>
    <s v="Renting"/>
    <s v="Married"/>
    <n v="1"/>
    <n v="41700"/>
    <n v="0"/>
    <s v="Medium Spending"/>
    <n v="18"/>
    <s v="West"/>
    <x v="16"/>
    <s v="Seattle"/>
    <d v="2014-09-09T00:00:00"/>
    <n v="1397.7159999999999"/>
  </r>
  <r>
    <n v="551"/>
    <s v="Middle Aged"/>
    <x v="1"/>
    <s v="Renting"/>
    <s v="No"/>
    <n v="1"/>
    <n v="32100"/>
    <n v="2"/>
    <s v="Low Spending"/>
    <n v="24"/>
    <s v="West"/>
    <x v="16"/>
    <s v="Seattle"/>
    <d v="2013-08-21T00:00:00"/>
    <n v="404.82299999999998"/>
  </r>
  <r>
    <n v="603"/>
    <s v="Young"/>
    <x v="0"/>
    <s v="Renting"/>
    <s v="Married"/>
    <n v="0"/>
    <n v="41500"/>
    <n v="3"/>
    <s v="NA"/>
    <n v="24"/>
    <s v="West"/>
    <x v="16"/>
    <s v="Seattle"/>
    <d v="2015-04-09T00:00:00"/>
    <n v="1314.4559999999999"/>
  </r>
  <r>
    <n v="656"/>
    <s v="Middle Aged"/>
    <x v="0"/>
    <s v="Renting"/>
    <s v="No"/>
    <n v="0"/>
    <n v="60200"/>
    <n v="0"/>
    <s v="High Spending"/>
    <n v="24"/>
    <s v="West"/>
    <x v="16"/>
    <s v="Seattle"/>
    <d v="2010-08-25T00:00:00"/>
    <n v="2304.0790000000002"/>
  </r>
  <r>
    <n v="715"/>
    <s v="Middle Aged"/>
    <x v="1"/>
    <s v="Renting"/>
    <s v="No"/>
    <n v="1"/>
    <n v="33200"/>
    <n v="1"/>
    <s v="NA"/>
    <n v="6"/>
    <s v="West"/>
    <x v="16"/>
    <s v="Seattle"/>
    <d v="2015-07-19T00:00:00"/>
    <n v="320.34399999999999"/>
  </r>
  <r>
    <n v="783"/>
    <s v="Middle Aged"/>
    <x v="0"/>
    <s v="Own Home"/>
    <s v="Married"/>
    <n v="0"/>
    <n v="123000"/>
    <n v="1"/>
    <s v="High Spending"/>
    <n v="24"/>
    <s v="West"/>
    <x v="16"/>
    <s v="Seattle"/>
    <d v="2014-03-08T00:00:00"/>
    <n v="5877.7340000000004"/>
  </r>
  <r>
    <n v="798"/>
    <s v="Middle Aged"/>
    <x v="0"/>
    <s v="Own Home"/>
    <s v="No"/>
    <n v="1"/>
    <n v="74400"/>
    <n v="0"/>
    <s v="High Spending"/>
    <n v="12"/>
    <s v="West"/>
    <x v="16"/>
    <s v="Seattle"/>
    <d v="2015-06-19T00:00:00"/>
    <n v="1152.1030000000001"/>
  </r>
  <r>
    <n v="859"/>
    <s v="Young"/>
    <x v="1"/>
    <s v="Renting"/>
    <s v="Married"/>
    <n v="1"/>
    <n v="25900"/>
    <n v="1"/>
    <s v="Low Spending"/>
    <n v="6"/>
    <s v="West"/>
    <x v="16"/>
    <s v="Seattle"/>
    <d v="2014-01-23T00:00:00"/>
    <n v="242.12899999999999"/>
  </r>
  <r>
    <n v="865"/>
    <s v="Middle Aged"/>
    <x v="0"/>
    <s v="Own Home"/>
    <s v="Married"/>
    <n v="1"/>
    <n v="71600"/>
    <n v="1"/>
    <s v="NA"/>
    <n v="12"/>
    <s v="West"/>
    <x v="16"/>
    <s v="Seattle"/>
    <d v="2015-05-22T00:00:00"/>
    <n v="1197.9090000000001"/>
  </r>
  <r>
    <n v="867"/>
    <s v="Young"/>
    <x v="1"/>
    <s v="Renting"/>
    <s v="No"/>
    <n v="1"/>
    <n v="16300"/>
    <n v="1"/>
    <s v="NA"/>
    <n v="12"/>
    <s v="West"/>
    <x v="16"/>
    <s v="Seattle"/>
    <d v="2015-02-27T00:00:00"/>
    <n v="470.38200000000001"/>
  </r>
  <r>
    <n v="868"/>
    <s v="Young"/>
    <x v="0"/>
    <s v="Renting"/>
    <s v="Married"/>
    <n v="1"/>
    <n v="45500"/>
    <n v="0"/>
    <s v="Medium Spending"/>
    <n v="6"/>
    <s v="West"/>
    <x v="16"/>
    <s v="Seattle"/>
    <d v="2010-04-21T00:00:00"/>
    <n v="754.24099999999999"/>
  </r>
  <r>
    <n v="940"/>
    <s v="Middle Aged"/>
    <x v="0"/>
    <s v="Own Home"/>
    <s v="Married"/>
    <n v="0"/>
    <n v="140000"/>
    <n v="0"/>
    <s v="High Spending"/>
    <n v="12"/>
    <s v="West"/>
    <x v="16"/>
    <s v="Seattle"/>
    <d v="2009-02-26T00:00:00"/>
    <n v="4894.2839999999997"/>
  </r>
  <r>
    <n v="954"/>
    <s v="Middle Aged"/>
    <x v="1"/>
    <s v="Own Home"/>
    <s v="No"/>
    <n v="1"/>
    <n v="53700"/>
    <n v="3"/>
    <s v="Low Spending"/>
    <n v="12"/>
    <s v="West"/>
    <x v="16"/>
    <s v="Seattle"/>
    <d v="2010-12-20T00:00:00"/>
    <n v="235.452"/>
  </r>
  <r>
    <n v="966"/>
    <s v="Old"/>
    <x v="1"/>
    <s v="Renting"/>
    <s v="No"/>
    <n v="0"/>
    <n v="14000"/>
    <n v="0"/>
    <s v="Low Spending"/>
    <n v="12"/>
    <s v="West"/>
    <x v="16"/>
    <s v="Seattle"/>
    <d v="2015-05-02T00:00:00"/>
    <n v="409.89600000000002"/>
  </r>
  <r>
    <n v="985"/>
    <s v="Middle Aged"/>
    <x v="0"/>
    <s v="Own Home"/>
    <s v="Married"/>
    <n v="0"/>
    <n v="70000"/>
    <n v="1"/>
    <s v="NA"/>
    <n v="6"/>
    <s v="West"/>
    <x v="16"/>
    <s v="Seattle"/>
    <d v="2015-06-01T00:00:00"/>
    <n v="1227.2349999999999"/>
  </r>
  <r>
    <n v="996"/>
    <s v="Middle Aged"/>
    <x v="1"/>
    <s v="Own Home"/>
    <s v="No"/>
    <n v="1"/>
    <n v="53800"/>
    <n v="0"/>
    <s v="Medium Spending"/>
    <n v="12"/>
    <s v="West"/>
    <x v="16"/>
    <s v="Seattle"/>
    <d v="2015-08-14T00:00:00"/>
    <n v="842.72"/>
  </r>
  <r>
    <n v="21"/>
    <s v="Old"/>
    <x v="1"/>
    <s v="Own Home"/>
    <s v="No"/>
    <n v="0"/>
    <n v="28300"/>
    <n v="0"/>
    <s v="Medium Spending"/>
    <n v="24"/>
    <s v="Midwest"/>
    <x v="17"/>
    <s v="St. Louis"/>
    <d v="2009-10-26T00:00:00"/>
    <n v="932.84299999999996"/>
  </r>
  <r>
    <n v="32"/>
    <s v="Middle Aged"/>
    <x v="0"/>
    <s v="Own Home"/>
    <s v="Married"/>
    <n v="1"/>
    <n v="95800"/>
    <n v="3"/>
    <s v="Low Spending"/>
    <n v="12"/>
    <s v="Midwest"/>
    <x v="17"/>
    <s v="St. Louis"/>
    <d v="2013-02-01T00:00:00"/>
    <n v="678.37800000000004"/>
  </r>
  <r>
    <n v="95"/>
    <s v="Old"/>
    <x v="0"/>
    <s v="Own Home"/>
    <s v="No"/>
    <n v="1"/>
    <n v="45700"/>
    <n v="0"/>
    <s v="Medium Spending"/>
    <n v="18"/>
    <s v="Midwest"/>
    <x v="17"/>
    <s v="St. Louis"/>
    <d v="2012-01-04T00:00:00"/>
    <n v="724.17200000000003"/>
  </r>
  <r>
    <n v="121"/>
    <s v="Young"/>
    <x v="1"/>
    <s v="Renting"/>
    <s v="No"/>
    <n v="1"/>
    <n v="13400"/>
    <n v="1"/>
    <s v="Low Spending"/>
    <n v="12"/>
    <s v="Midwest"/>
    <x v="17"/>
    <s v="St. Louis"/>
    <d v="2013-06-09T00:00:00"/>
    <n v="142.547"/>
  </r>
  <r>
    <n v="175"/>
    <s v="Young"/>
    <x v="0"/>
    <s v="Renting"/>
    <s v="No"/>
    <n v="1"/>
    <n v="27100"/>
    <n v="1"/>
    <s v="Low Spending"/>
    <n v="12"/>
    <s v="Midwest"/>
    <x v="17"/>
    <s v="St. Louis"/>
    <d v="2013-08-28T00:00:00"/>
    <n v="268.31099999999998"/>
  </r>
  <r>
    <n v="176"/>
    <s v="Middle Aged"/>
    <x v="1"/>
    <s v="Own Home"/>
    <s v="No"/>
    <n v="1"/>
    <n v="46600"/>
    <n v="2"/>
    <s v="NA"/>
    <n v="18"/>
    <s v="Midwest"/>
    <x v="17"/>
    <s v="St. Louis"/>
    <d v="2015-06-17T00:00:00"/>
    <n v="1152.7719999999999"/>
  </r>
  <r>
    <n v="191"/>
    <s v="Middle Aged"/>
    <x v="0"/>
    <s v="Own Home"/>
    <s v="Married"/>
    <n v="1"/>
    <n v="106400"/>
    <n v="0"/>
    <s v="NA"/>
    <n v="12"/>
    <s v="Midwest"/>
    <x v="17"/>
    <s v="St. Louis"/>
    <d v="2015-08-25T00:00:00"/>
    <n v="1757.404"/>
  </r>
  <r>
    <n v="217"/>
    <s v="Young"/>
    <x v="1"/>
    <s v="Renting"/>
    <s v="No"/>
    <n v="1"/>
    <n v="11700"/>
    <n v="0"/>
    <s v="Low Spending"/>
    <n v="12"/>
    <s v="Midwest"/>
    <x v="17"/>
    <s v="St. Louis"/>
    <d v="2013-06-24T00:00:00"/>
    <n v="192.577"/>
  </r>
  <r>
    <n v="276"/>
    <s v="Young"/>
    <x v="1"/>
    <s v="Renting"/>
    <s v="No"/>
    <n v="1"/>
    <n v="14600"/>
    <n v="1"/>
    <s v="Low Spending"/>
    <n v="6"/>
    <s v="Midwest"/>
    <x v="17"/>
    <s v="St. Louis"/>
    <d v="2012-09-07T00:00:00"/>
    <n v="142.81899999999999"/>
  </r>
  <r>
    <n v="340"/>
    <s v="Middle Aged"/>
    <x v="1"/>
    <s v="Own Home"/>
    <s v="Married"/>
    <n v="1"/>
    <n v="68500"/>
    <n v="2"/>
    <s v="NA"/>
    <n v="12"/>
    <s v="Midwest"/>
    <x v="17"/>
    <s v="St. Louis"/>
    <d v="2015-04-02T00:00:00"/>
    <n v="1499.8420000000001"/>
  </r>
  <r>
    <n v="349"/>
    <s v="Middle Aged"/>
    <x v="0"/>
    <s v="Renting"/>
    <s v="No"/>
    <n v="0"/>
    <n v="58600"/>
    <n v="2"/>
    <s v="NA"/>
    <n v="6"/>
    <s v="Midwest"/>
    <x v="17"/>
    <s v="St. Louis"/>
    <d v="2015-01-17T00:00:00"/>
    <n v="988.75900000000001"/>
  </r>
  <r>
    <n v="361"/>
    <s v="Middle Aged"/>
    <x v="0"/>
    <s v="Own Home"/>
    <s v="Married"/>
    <n v="0"/>
    <n v="122100"/>
    <n v="0"/>
    <s v="High Spending"/>
    <n v="12"/>
    <s v="Midwest"/>
    <x v="17"/>
    <s v="St. Louis"/>
    <d v="2012-08-09T00:00:00"/>
    <n v="2408.482"/>
  </r>
  <r>
    <n v="407"/>
    <s v="Middle Aged"/>
    <x v="0"/>
    <s v="Own Home"/>
    <s v="No"/>
    <n v="0"/>
    <n v="59600"/>
    <n v="2"/>
    <s v="Medium Spending"/>
    <n v="18"/>
    <s v="Midwest"/>
    <x v="17"/>
    <s v="St. Louis"/>
    <d v="2015-06-14T00:00:00"/>
    <n v="1216.682"/>
  </r>
  <r>
    <n v="419"/>
    <s v="Middle Aged"/>
    <x v="1"/>
    <s v="Own Home"/>
    <s v="Married"/>
    <n v="0"/>
    <n v="99200"/>
    <n v="0"/>
    <s v="High Spending"/>
    <n v="24"/>
    <s v="Midwest"/>
    <x v="17"/>
    <s v="St. Louis"/>
    <d v="2012-12-26T00:00:00"/>
    <n v="5503.3950000000004"/>
  </r>
  <r>
    <n v="428"/>
    <s v="Middle Aged"/>
    <x v="1"/>
    <s v="Own Home"/>
    <s v="No"/>
    <n v="1"/>
    <n v="35800"/>
    <n v="1"/>
    <s v="NA"/>
    <n v="24"/>
    <s v="Midwest"/>
    <x v="17"/>
    <s v="St. Louis"/>
    <d v="2015-06-30T00:00:00"/>
    <n v="1355.154"/>
  </r>
  <r>
    <n v="441"/>
    <s v="Young"/>
    <x v="1"/>
    <s v="Renting"/>
    <s v="No"/>
    <n v="0"/>
    <n v="12800"/>
    <n v="1"/>
    <s v="NA"/>
    <n v="24"/>
    <s v="Midwest"/>
    <x v="17"/>
    <s v="St. Louis"/>
    <d v="2015-08-23T00:00:00"/>
    <n v="365.48599999999999"/>
  </r>
  <r>
    <n v="471"/>
    <s v="Young"/>
    <x v="0"/>
    <s v="Renting"/>
    <s v="Married"/>
    <n v="1"/>
    <n v="56300"/>
    <n v="0"/>
    <s v="NA"/>
    <n v="24"/>
    <s v="Midwest"/>
    <x v="17"/>
    <s v="St. Louis"/>
    <d v="2015-08-07T00:00:00"/>
    <n v="1607.5989999999999"/>
  </r>
  <r>
    <n v="488"/>
    <s v="Middle Aged"/>
    <x v="0"/>
    <s v="Own Home"/>
    <s v="Married"/>
    <n v="1"/>
    <n v="88100"/>
    <n v="2"/>
    <s v="Medium Spending"/>
    <n v="24"/>
    <s v="Midwest"/>
    <x v="17"/>
    <s v="St. Louis"/>
    <d v="2011-01-08T00:00:00"/>
    <n v="1078.499"/>
  </r>
  <r>
    <n v="554"/>
    <s v="Old"/>
    <x v="1"/>
    <s v="Renting"/>
    <s v="No"/>
    <n v="1"/>
    <n v="21400"/>
    <n v="0"/>
    <s v="Low Spending"/>
    <n v="18"/>
    <s v="Midwest"/>
    <x v="17"/>
    <s v="St. Louis"/>
    <d v="2013-10-14T00:00:00"/>
    <n v="497.73599999999999"/>
  </r>
  <r>
    <n v="710"/>
    <s v="Middle Aged"/>
    <x v="0"/>
    <s v="Renting"/>
    <s v="No"/>
    <n v="1"/>
    <n v="43200"/>
    <n v="0"/>
    <s v="NA"/>
    <n v="24"/>
    <s v="Midwest"/>
    <x v="17"/>
    <s v="St. Louis"/>
    <d v="2015-02-19T00:00:00"/>
    <n v="916.71199999999999"/>
  </r>
  <r>
    <n v="711"/>
    <s v="Young"/>
    <x v="0"/>
    <s v="Renting"/>
    <s v="No"/>
    <n v="1"/>
    <n v="14400"/>
    <n v="0"/>
    <s v="NA"/>
    <n v="24"/>
    <s v="Midwest"/>
    <x v="17"/>
    <s v="St. Louis"/>
    <d v="2015-04-02T00:00:00"/>
    <n v="615.16099999999994"/>
  </r>
  <r>
    <n v="713"/>
    <s v="Middle Aged"/>
    <x v="0"/>
    <s v="Own Home"/>
    <s v="No"/>
    <n v="1"/>
    <n v="55500"/>
    <n v="3"/>
    <s v="Low Spending"/>
    <n v="18"/>
    <s v="Midwest"/>
    <x v="17"/>
    <s v="St. Louis"/>
    <d v="2015-07-19T00:00:00"/>
    <n v="427.17599999999999"/>
  </r>
  <r>
    <n v="749"/>
    <s v="Old"/>
    <x v="1"/>
    <s v="Renting"/>
    <s v="Married"/>
    <n v="1"/>
    <n v="39700"/>
    <n v="0"/>
    <s v="Medium Spending"/>
    <n v="12"/>
    <s v="Midwest"/>
    <x v="17"/>
    <s v="St. Louis"/>
    <d v="2013-11-06T00:00:00"/>
    <n v="572.76499999999999"/>
  </r>
  <r>
    <n v="784"/>
    <s v="Middle Aged"/>
    <x v="1"/>
    <s v="Own Home"/>
    <s v="Married"/>
    <n v="1"/>
    <n v="71900"/>
    <n v="0"/>
    <s v="High Spending"/>
    <n v="18"/>
    <s v="Midwest"/>
    <x v="17"/>
    <s v="St. Louis"/>
    <d v="2015-01-11T00:00:00"/>
    <n v="1845.7750000000001"/>
  </r>
  <r>
    <n v="791"/>
    <s v="Young"/>
    <x v="0"/>
    <s v="Renting"/>
    <s v="No"/>
    <n v="1"/>
    <n v="20900"/>
    <n v="0"/>
    <s v="NA"/>
    <n v="6"/>
    <s v="Midwest"/>
    <x v="17"/>
    <s v="St. Louis"/>
    <d v="2015-06-26T00:00:00"/>
    <n v="295.74900000000002"/>
  </r>
  <r>
    <n v="812"/>
    <s v="Young"/>
    <x v="1"/>
    <s v="Renting"/>
    <s v="No"/>
    <n v="0"/>
    <n v="13500"/>
    <n v="2"/>
    <s v="Low Spending"/>
    <n v="12"/>
    <s v="Midwest"/>
    <x v="17"/>
    <s v="St. Louis"/>
    <d v="2010-05-02T00:00:00"/>
    <n v="159.60400000000001"/>
  </r>
  <r>
    <n v="832"/>
    <s v="Middle Aged"/>
    <x v="0"/>
    <s v="Own Home"/>
    <s v="Married"/>
    <n v="1"/>
    <n v="65800"/>
    <n v="1"/>
    <s v="NA"/>
    <n v="12"/>
    <s v="Midwest"/>
    <x v="17"/>
    <s v="St. Louis"/>
    <d v="2015-01-15T00:00:00"/>
    <n v="1016.741"/>
  </r>
  <r>
    <n v="869"/>
    <s v="Young"/>
    <x v="1"/>
    <s v="Own Home"/>
    <s v="No"/>
    <n v="0"/>
    <n v="33200"/>
    <n v="2"/>
    <s v="Medium Spending"/>
    <n v="12"/>
    <s v="Midwest"/>
    <x v="17"/>
    <s v="St. Louis"/>
    <d v="2009-04-24T00:00:00"/>
    <n v="606.67200000000003"/>
  </r>
  <r>
    <n v="915"/>
    <s v="Middle Aged"/>
    <x v="0"/>
    <s v="Renting"/>
    <s v="No"/>
    <n v="1"/>
    <n v="70000"/>
    <n v="0"/>
    <s v="High Spending"/>
    <n v="6"/>
    <s v="Midwest"/>
    <x v="17"/>
    <s v="St. Louis"/>
    <d v="2010-06-11T00:00:00"/>
    <n v="784.70100000000002"/>
  </r>
  <r>
    <n v="929"/>
    <s v="Young"/>
    <x v="1"/>
    <s v="Renting"/>
    <s v="No"/>
    <n v="0"/>
    <n v="25600"/>
    <n v="2"/>
    <s v="NA"/>
    <n v="18"/>
    <s v="Midwest"/>
    <x v="17"/>
    <s v="St. Louis"/>
    <d v="2015-01-18T00:00:00"/>
    <n v="425.718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068BD-7D8E-4B92-B553-ECD23A996E35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D2:AF21" firstHeaderRow="1" firstDataRow="2" firstDataCol="1"/>
  <pivotFields count="15">
    <pivotField showAll="0" defaultSubtotal="0"/>
    <pivotField showAll="0" defaultSubtotal="0"/>
    <pivotField axis="axisCol" showAll="0" defaultSubtotal="0">
      <items count="2">
        <item x="1"/>
        <item x="0"/>
      </items>
    </pivotField>
    <pivotField showAll="0" defaultSubtotal="0"/>
    <pivotField showAll="0" defaultSubtotal="0"/>
    <pivotField showAll="0" defaultSubtotal="0"/>
    <pivotField dataField="1" numFmtId="164"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8">
        <item x="14"/>
        <item x="8"/>
        <item x="5"/>
        <item x="11"/>
        <item x="2"/>
        <item x="6"/>
        <item x="7"/>
        <item x="9"/>
        <item x="12"/>
        <item x="0"/>
        <item x="17"/>
        <item x="1"/>
        <item x="3"/>
        <item x="13"/>
        <item x="10"/>
        <item x="4"/>
        <item x="15"/>
        <item x="16"/>
      </items>
    </pivotField>
    <pivotField showAll="0" defaultSubtotal="0"/>
    <pivotField numFmtId="14" showAll="0" defaultSubtotal="0"/>
    <pivotField numFmtId="164" showAll="0" defaultSubtota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2"/>
  </colFields>
  <colItems count="2">
    <i>
      <x/>
    </i>
    <i>
      <x v="1"/>
    </i>
  </colItems>
  <dataFields count="1">
    <dataField name="Average of Salary" fld="6" subtotal="average" baseField="11" baseItem="0" numFmtId="164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01" totalsRowShown="0" headerRowDxfId="8" headerRowBorderDxfId="7">
  <autoFilter ref="A1:P1001" xr:uid="{00000000-0009-0000-0100-000001000000}"/>
  <sortState xmlns:xlrd2="http://schemas.microsoft.com/office/spreadsheetml/2017/richdata2" ref="A2:P1001">
    <sortCondition ref="A1:A1001"/>
  </sortState>
  <tableColumns count="16">
    <tableColumn id="1" xr3:uid="{00000000-0010-0000-0000-000001000000}" name="Person"/>
    <tableColumn id="2" xr3:uid="{00000000-0010-0000-0000-000002000000}" name="Age"/>
    <tableColumn id="3" xr3:uid="{00000000-0010-0000-0000-000003000000}" name="Gender" dataDxfId="6"/>
    <tableColumn id="4" xr3:uid="{00000000-0010-0000-0000-000004000000}" name="Own Home" dataDxfId="5"/>
    <tableColumn id="5" xr3:uid="{00000000-0010-0000-0000-000005000000}" name="Married" dataDxfId="4"/>
    <tableColumn id="6" xr3:uid="{00000000-0010-0000-0000-000006000000}" name="Close" dataDxfId="3"/>
    <tableColumn id="7" xr3:uid="{00000000-0010-0000-0000-000007000000}" name="Salary"/>
    <tableColumn id="8" xr3:uid="{00000000-0010-0000-0000-000008000000}" name="Children"/>
    <tableColumn id="9" xr3:uid="{00000000-0010-0000-0000-000009000000}" name="History" dataDxfId="2"/>
    <tableColumn id="10" xr3:uid="{00000000-0010-0000-0000-00000A000000}" name="Catalogs"/>
    <tableColumn id="11" xr3:uid="{00000000-0010-0000-0000-00000B000000}" name="Region"/>
    <tableColumn id="12" xr3:uid="{00000000-0010-0000-0000-00000C000000}" name="State"/>
    <tableColumn id="13" xr3:uid="{00000000-0010-0000-0000-00000D000000}" name="City"/>
    <tableColumn id="14" xr3:uid="{00000000-0010-0000-0000-00000E000000}" name="First Purchase" dataDxfId="1"/>
    <tableColumn id="15" xr3:uid="{00000000-0010-0000-0000-00000F000000}" name="Amount Spent"/>
    <tableColumn id="16" xr3:uid="{38F2DFF4-95A9-4F68-967B-DA9F5F70D526}" name="Amount Spent Clipped" dataDxfId="0">
      <calculatedColumnFormula>IF(Table1[[#This Row],[Amount Spent]]&gt;3500, 3500,Table1[[#This Row],[Amount Spent]])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1007"/>
  <sheetViews>
    <sheetView zoomScale="90" zoomScaleNormal="90" workbookViewId="0">
      <pane ySplit="7085" topLeftCell="A998"/>
      <selection pane="bottomLeft" activeCell="AB1001" sqref="AB1001"/>
    </sheetView>
  </sheetViews>
  <sheetFormatPr defaultColWidth="8.81640625" defaultRowHeight="14.5" x14ac:dyDescent="0.35"/>
  <cols>
    <col min="1" max="1" width="9.1796875" style="7"/>
    <col min="3" max="3" width="9.81640625" style="7" customWidth="1"/>
    <col min="4" max="4" width="12.453125" style="7" customWidth="1"/>
    <col min="5" max="5" width="10.36328125" style="7" customWidth="1"/>
    <col min="6" max="6" width="9.1796875" style="7"/>
    <col min="8" max="8" width="10.6328125" customWidth="1"/>
    <col min="9" max="9" width="9.453125" style="7" customWidth="1"/>
    <col min="10" max="10" width="10.453125" customWidth="1"/>
    <col min="11" max="11" width="9.36328125" customWidth="1"/>
    <col min="12" max="12" width="14" bestFit="1" customWidth="1"/>
    <col min="13" max="13" width="12.6328125" bestFit="1" customWidth="1"/>
    <col min="14" max="14" width="15" style="7" customWidth="1"/>
    <col min="15" max="15" width="15.453125" customWidth="1"/>
    <col min="16" max="16" width="9.90625" bestFit="1" customWidth="1"/>
    <col min="28" max="28" width="11.81640625" bestFit="1" customWidth="1"/>
    <col min="30" max="30" width="15.36328125" bestFit="1" customWidth="1"/>
    <col min="31" max="31" width="15.26953125" bestFit="1" customWidth="1"/>
    <col min="32" max="32" width="7.26953125" bestFit="1" customWidth="1"/>
    <col min="33" max="33" width="10.7265625" bestFit="1" customWidth="1"/>
  </cols>
  <sheetData>
    <row r="1" spans="1:32" ht="15" thickBot="1" x14ac:dyDescent="0.4">
      <c r="A1" s="11" t="s">
        <v>57</v>
      </c>
      <c r="B1" s="11" t="s">
        <v>0</v>
      </c>
      <c r="C1" s="11" t="s">
        <v>1</v>
      </c>
      <c r="D1" s="11" t="s">
        <v>58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11</v>
      </c>
      <c r="L1" s="11" t="s">
        <v>10</v>
      </c>
      <c r="M1" s="11" t="s">
        <v>9</v>
      </c>
      <c r="N1" s="7" t="s">
        <v>59</v>
      </c>
      <c r="O1" s="12" t="s">
        <v>60</v>
      </c>
      <c r="P1" s="19" t="s">
        <v>75</v>
      </c>
      <c r="Q1" s="17"/>
      <c r="R1" s="17"/>
      <c r="S1" s="17"/>
      <c r="T1" s="17"/>
      <c r="U1" s="17"/>
      <c r="V1" s="17"/>
      <c r="W1" s="17"/>
      <c r="X1" s="17"/>
      <c r="Y1" s="17"/>
      <c r="Z1" s="17"/>
      <c r="AA1" t="s">
        <v>10</v>
      </c>
      <c r="AB1" t="s">
        <v>71</v>
      </c>
    </row>
    <row r="2" spans="1:32" ht="15" thickTop="1" x14ac:dyDescent="0.35">
      <c r="A2" s="8">
        <v>1</v>
      </c>
      <c r="B2" s="1" t="s">
        <v>63</v>
      </c>
      <c r="C2" s="8" t="s">
        <v>62</v>
      </c>
      <c r="D2" s="8" t="s">
        <v>66</v>
      </c>
      <c r="E2" s="8" t="s">
        <v>70</v>
      </c>
      <c r="F2" s="8">
        <v>1</v>
      </c>
      <c r="G2" s="2">
        <v>16400</v>
      </c>
      <c r="H2" s="1">
        <v>1</v>
      </c>
      <c r="I2" s="8" t="s">
        <v>67</v>
      </c>
      <c r="J2" s="1">
        <v>12</v>
      </c>
      <c r="K2" s="1" t="s">
        <v>14</v>
      </c>
      <c r="L2" s="1" t="s">
        <v>50</v>
      </c>
      <c r="M2" s="1" t="s">
        <v>35</v>
      </c>
      <c r="N2" s="10">
        <v>40839</v>
      </c>
      <c r="O2" s="3">
        <v>217.691</v>
      </c>
      <c r="P2" s="15">
        <f>IF(Table1[[#This Row],[Amount Spent]]&gt;3500, 3500,Table1[[#This Row],[Amount Spent]])</f>
        <v>217.691</v>
      </c>
      <c r="AA2" t="str" cm="1">
        <f t="array" ref="AA2:AA19">_xlfn._xlws.SORT(_xlfn.UNIQUE(Table1[State]))</f>
        <v>Arizona</v>
      </c>
      <c r="AB2" s="15">
        <f>AVERAGEIF(Table1[State],AA2,Table1[Salary])</f>
        <v>51971.739130434784</v>
      </c>
      <c r="AD2" s="13" t="s">
        <v>73</v>
      </c>
      <c r="AE2" s="13" t="s">
        <v>74</v>
      </c>
    </row>
    <row r="3" spans="1:32" x14ac:dyDescent="0.35">
      <c r="A3" s="9">
        <v>2</v>
      </c>
      <c r="B3" s="4" t="s">
        <v>64</v>
      </c>
      <c r="C3" s="9" t="s">
        <v>62</v>
      </c>
      <c r="D3" s="9" t="s">
        <v>58</v>
      </c>
      <c r="E3" s="9" t="s">
        <v>2</v>
      </c>
      <c r="F3" s="9">
        <v>0</v>
      </c>
      <c r="G3" s="5">
        <v>108100</v>
      </c>
      <c r="H3" s="4">
        <v>3</v>
      </c>
      <c r="I3" s="9" t="s">
        <v>69</v>
      </c>
      <c r="J3" s="4">
        <v>18</v>
      </c>
      <c r="K3" s="4" t="s">
        <v>13</v>
      </c>
      <c r="L3" s="4" t="s">
        <v>43</v>
      </c>
      <c r="M3" s="4" t="s">
        <v>23</v>
      </c>
      <c r="N3" s="10">
        <v>39958</v>
      </c>
      <c r="O3" s="6">
        <v>2632.462</v>
      </c>
      <c r="P3" s="15">
        <f>IF(Table1[[#This Row],[Amount Spent]]&gt;3500, 3500,Table1[[#This Row],[Amount Spent]])</f>
        <v>2632.462</v>
      </c>
      <c r="AA3" t="str">
        <v>California</v>
      </c>
      <c r="AB3" s="15">
        <f>AVERAGEIF(Table1[State],AA3,Table1[Salary])</f>
        <v>57633.333333333336</v>
      </c>
      <c r="AD3" s="13" t="s">
        <v>72</v>
      </c>
      <c r="AE3" t="s">
        <v>62</v>
      </c>
      <c r="AF3" t="s">
        <v>61</v>
      </c>
    </row>
    <row r="4" spans="1:32" x14ac:dyDescent="0.35">
      <c r="A4" s="8">
        <v>3</v>
      </c>
      <c r="B4" s="1" t="s">
        <v>64</v>
      </c>
      <c r="C4" s="8" t="s">
        <v>61</v>
      </c>
      <c r="D4" s="8" t="s">
        <v>58</v>
      </c>
      <c r="E4" s="8" t="s">
        <v>2</v>
      </c>
      <c r="F4" s="8">
        <v>1</v>
      </c>
      <c r="G4" s="2">
        <v>97300</v>
      </c>
      <c r="H4" s="1">
        <v>1</v>
      </c>
      <c r="I4" s="8" t="s">
        <v>8</v>
      </c>
      <c r="J4" s="1">
        <v>12</v>
      </c>
      <c r="K4" s="1" t="s">
        <v>14</v>
      </c>
      <c r="L4" s="1" t="s">
        <v>50</v>
      </c>
      <c r="M4" s="1" t="s">
        <v>35</v>
      </c>
      <c r="N4" s="10">
        <v>42234</v>
      </c>
      <c r="O4" s="3">
        <v>3047.5630000000001</v>
      </c>
      <c r="P4" s="15">
        <f>IF(Table1[[#This Row],[Amount Spent]]&gt;3500, 3500,Table1[[#This Row],[Amount Spent]])</f>
        <v>3047.5630000000001</v>
      </c>
      <c r="AA4" t="str">
        <v>Colorado</v>
      </c>
      <c r="AB4" s="15">
        <f>AVERAGEIF(Table1[State],AA4,Table1[Salary])</f>
        <v>66440.625</v>
      </c>
      <c r="AD4" s="14" t="s">
        <v>53</v>
      </c>
      <c r="AE4" s="16">
        <v>46519.230769230766</v>
      </c>
      <c r="AF4" s="16">
        <v>59060</v>
      </c>
    </row>
    <row r="5" spans="1:32" x14ac:dyDescent="0.35">
      <c r="A5" s="9">
        <v>4</v>
      </c>
      <c r="B5" s="4" t="s">
        <v>65</v>
      </c>
      <c r="C5" s="9" t="s">
        <v>61</v>
      </c>
      <c r="D5" s="9" t="s">
        <v>58</v>
      </c>
      <c r="E5" s="9" t="s">
        <v>2</v>
      </c>
      <c r="F5" s="9">
        <v>1</v>
      </c>
      <c r="G5" s="5">
        <v>26800</v>
      </c>
      <c r="H5" s="4">
        <v>0</v>
      </c>
      <c r="I5" s="9" t="s">
        <v>67</v>
      </c>
      <c r="J5" s="4">
        <v>12</v>
      </c>
      <c r="K5" s="4" t="s">
        <v>15</v>
      </c>
      <c r="L5" s="4" t="s">
        <v>42</v>
      </c>
      <c r="M5" s="4" t="s">
        <v>32</v>
      </c>
      <c r="N5" s="10">
        <v>41269</v>
      </c>
      <c r="O5" s="6">
        <v>434.60599999999999</v>
      </c>
      <c r="P5" s="15">
        <f>IF(Table1[[#This Row],[Amount Spent]]&gt;3500, 3500,Table1[[#This Row],[Amount Spent]])</f>
        <v>434.60599999999999</v>
      </c>
      <c r="AA5" t="str">
        <v>Florida</v>
      </c>
      <c r="AB5" s="15">
        <f>AVERAGEIF(Table1[State],AA5,Table1[Salary])</f>
        <v>56693.548387096773</v>
      </c>
      <c r="AD5" s="14" t="s">
        <v>47</v>
      </c>
      <c r="AE5" s="16">
        <v>52187.804878048781</v>
      </c>
      <c r="AF5" s="16">
        <v>64200</v>
      </c>
    </row>
    <row r="6" spans="1:32" x14ac:dyDescent="0.35">
      <c r="A6" s="8">
        <v>5</v>
      </c>
      <c r="B6" s="1" t="s">
        <v>63</v>
      </c>
      <c r="C6" s="8" t="s">
        <v>61</v>
      </c>
      <c r="D6" s="8" t="s">
        <v>66</v>
      </c>
      <c r="E6" s="8" t="s">
        <v>70</v>
      </c>
      <c r="F6" s="8">
        <v>1</v>
      </c>
      <c r="G6" s="2">
        <v>11200</v>
      </c>
      <c r="H6" s="1">
        <v>0</v>
      </c>
      <c r="I6" s="8" t="s">
        <v>8</v>
      </c>
      <c r="J6" s="1">
        <v>6</v>
      </c>
      <c r="K6" s="1" t="s">
        <v>13</v>
      </c>
      <c r="L6" s="1" t="s">
        <v>43</v>
      </c>
      <c r="M6" s="1" t="s">
        <v>23</v>
      </c>
      <c r="N6" s="10">
        <v>42220</v>
      </c>
      <c r="O6" s="3">
        <v>105.624</v>
      </c>
      <c r="P6" s="15">
        <f>IF(Table1[[#This Row],[Amount Spent]]&gt;3500, 3500,Table1[[#This Row],[Amount Spent]])</f>
        <v>105.624</v>
      </c>
      <c r="AA6" t="str">
        <v>Illinois</v>
      </c>
      <c r="AB6" s="15">
        <f>AVERAGEIF(Table1[State],AA6,Table1[Salary])</f>
        <v>52142</v>
      </c>
      <c r="AD6" s="14" t="s">
        <v>41</v>
      </c>
      <c r="AE6" s="16">
        <v>59647.058823529413</v>
      </c>
      <c r="AF6" s="16">
        <v>74140</v>
      </c>
    </row>
    <row r="7" spans="1:32" x14ac:dyDescent="0.35">
      <c r="A7" s="9">
        <v>6</v>
      </c>
      <c r="B7" s="4" t="s">
        <v>64</v>
      </c>
      <c r="C7" s="9" t="s">
        <v>62</v>
      </c>
      <c r="D7" s="9" t="s">
        <v>66</v>
      </c>
      <c r="E7" s="9" t="s">
        <v>70</v>
      </c>
      <c r="F7" s="9">
        <v>1</v>
      </c>
      <c r="G7" s="5">
        <v>42800</v>
      </c>
      <c r="H7" s="4">
        <v>0</v>
      </c>
      <c r="I7" s="9" t="s">
        <v>68</v>
      </c>
      <c r="J7" s="4">
        <v>12</v>
      </c>
      <c r="K7" s="4" t="s">
        <v>12</v>
      </c>
      <c r="L7" s="4" t="s">
        <v>53</v>
      </c>
      <c r="M7" s="4" t="s">
        <v>19</v>
      </c>
      <c r="N7" s="10">
        <v>41337</v>
      </c>
      <c r="O7" s="6">
        <v>758.649</v>
      </c>
      <c r="P7" s="15">
        <f>IF(Table1[[#This Row],[Amount Spent]]&gt;3500, 3500,Table1[[#This Row],[Amount Spent]])</f>
        <v>758.649</v>
      </c>
      <c r="AA7" t="str">
        <v>Indiana</v>
      </c>
      <c r="AB7" s="15">
        <f>AVERAGEIF(Table1[State],AA7,Table1[Salary])</f>
        <v>51824.074074074073</v>
      </c>
      <c r="AD7" s="14" t="s">
        <v>50</v>
      </c>
      <c r="AE7" s="16">
        <v>43323.076923076922</v>
      </c>
      <c r="AF7" s="16">
        <v>66350</v>
      </c>
    </row>
    <row r="8" spans="1:32" x14ac:dyDescent="0.35">
      <c r="A8" s="8">
        <v>7</v>
      </c>
      <c r="B8" s="1" t="s">
        <v>64</v>
      </c>
      <c r="C8" s="8" t="s">
        <v>62</v>
      </c>
      <c r="D8" s="8" t="s">
        <v>66</v>
      </c>
      <c r="E8" s="8" t="s">
        <v>70</v>
      </c>
      <c r="F8" s="8">
        <v>1</v>
      </c>
      <c r="G8" s="2">
        <v>34700</v>
      </c>
      <c r="H8" s="1">
        <v>0</v>
      </c>
      <c r="I8" s="8" t="s">
        <v>8</v>
      </c>
      <c r="J8" s="1">
        <v>18</v>
      </c>
      <c r="K8" s="1" t="s">
        <v>13</v>
      </c>
      <c r="L8" s="1" t="s">
        <v>46</v>
      </c>
      <c r="M8" s="1" t="s">
        <v>22</v>
      </c>
      <c r="N8" s="10">
        <v>42166</v>
      </c>
      <c r="O8" s="3">
        <v>1614.5119999999999</v>
      </c>
      <c r="P8" s="15">
        <f>IF(Table1[[#This Row],[Amount Spent]]&gt;3500, 3500,Table1[[#This Row],[Amount Spent]])</f>
        <v>1614.5119999999999</v>
      </c>
      <c r="AA8" t="str">
        <v>Kansas</v>
      </c>
      <c r="AB8" s="15">
        <f>AVERAGEIF(Table1[State],AA8,Table1[Salary])</f>
        <v>56906.521739130432</v>
      </c>
      <c r="AD8" s="14" t="s">
        <v>43</v>
      </c>
      <c r="AE8" s="16">
        <v>43978.571428571428</v>
      </c>
      <c r="AF8" s="16">
        <v>62531.818181818184</v>
      </c>
    </row>
    <row r="9" spans="1:32" x14ac:dyDescent="0.35">
      <c r="A9" s="9">
        <v>8</v>
      </c>
      <c r="B9" s="4" t="s">
        <v>65</v>
      </c>
      <c r="C9" s="9" t="s">
        <v>62</v>
      </c>
      <c r="D9" s="9" t="s">
        <v>58</v>
      </c>
      <c r="E9" s="9" t="s">
        <v>2</v>
      </c>
      <c r="F9" s="9">
        <v>0</v>
      </c>
      <c r="G9" s="5">
        <v>80000</v>
      </c>
      <c r="H9" s="4">
        <v>0</v>
      </c>
      <c r="I9" s="9" t="s">
        <v>69</v>
      </c>
      <c r="J9" s="4">
        <v>6</v>
      </c>
      <c r="K9" s="4" t="s">
        <v>12</v>
      </c>
      <c r="L9" s="4" t="s">
        <v>47</v>
      </c>
      <c r="M9" s="4" t="s">
        <v>18</v>
      </c>
      <c r="N9" s="10">
        <v>40042</v>
      </c>
      <c r="O9" s="6">
        <v>1984.66</v>
      </c>
      <c r="P9" s="15">
        <f>IF(Table1[[#This Row],[Amount Spent]]&gt;3500, 3500,Table1[[#This Row],[Amount Spent]])</f>
        <v>1984.66</v>
      </c>
      <c r="AA9" t="str">
        <v>Kentucky</v>
      </c>
      <c r="AB9" s="15">
        <f>AVERAGEIF(Table1[State],AA9,Table1[Salary])</f>
        <v>59725.58139534884</v>
      </c>
      <c r="AD9" s="14" t="s">
        <v>45</v>
      </c>
      <c r="AE9" s="16">
        <v>51636.36363636364</v>
      </c>
      <c r="AF9" s="16">
        <v>51953.125</v>
      </c>
    </row>
    <row r="10" spans="1:32" x14ac:dyDescent="0.35">
      <c r="A10" s="8">
        <v>9</v>
      </c>
      <c r="B10" s="1" t="s">
        <v>64</v>
      </c>
      <c r="C10" s="8" t="s">
        <v>61</v>
      </c>
      <c r="D10" s="8" t="s">
        <v>58</v>
      </c>
      <c r="E10" s="8" t="s">
        <v>70</v>
      </c>
      <c r="F10" s="8">
        <v>1</v>
      </c>
      <c r="G10" s="2">
        <v>60300</v>
      </c>
      <c r="H10" s="1">
        <v>0</v>
      </c>
      <c r="I10" s="8" t="s">
        <v>8</v>
      </c>
      <c r="J10" s="1">
        <v>24</v>
      </c>
      <c r="K10" s="1" t="s">
        <v>13</v>
      </c>
      <c r="L10" s="1" t="s">
        <v>43</v>
      </c>
      <c r="M10" s="1" t="s">
        <v>23</v>
      </c>
      <c r="N10" s="10">
        <v>42153</v>
      </c>
      <c r="O10" s="3">
        <v>2091.422</v>
      </c>
      <c r="P10" s="15">
        <f>IF(Table1[[#This Row],[Amount Spent]]&gt;3500, 3500,Table1[[#This Row],[Amount Spent]])</f>
        <v>2091.422</v>
      </c>
      <c r="AA10" t="str">
        <v>Louisiana</v>
      </c>
      <c r="AB10" s="15">
        <f>AVERAGEIF(Table1[State],AA10,Table1[Salary])</f>
        <v>57357.777777777781</v>
      </c>
      <c r="AD10" s="14" t="s">
        <v>46</v>
      </c>
      <c r="AE10" s="16">
        <v>50428</v>
      </c>
      <c r="AF10" s="16">
        <v>64619.047619047618</v>
      </c>
    </row>
    <row r="11" spans="1:32" x14ac:dyDescent="0.35">
      <c r="A11" s="9">
        <v>10</v>
      </c>
      <c r="B11" s="4" t="s">
        <v>65</v>
      </c>
      <c r="C11" s="9" t="s">
        <v>61</v>
      </c>
      <c r="D11" s="9" t="s">
        <v>58</v>
      </c>
      <c r="E11" s="9" t="s">
        <v>2</v>
      </c>
      <c r="F11" s="9">
        <v>0</v>
      </c>
      <c r="G11" s="5">
        <v>62300</v>
      </c>
      <c r="H11" s="4">
        <v>0</v>
      </c>
      <c r="I11" s="9" t="s">
        <v>69</v>
      </c>
      <c r="J11" s="4">
        <v>24</v>
      </c>
      <c r="K11" s="4" t="s">
        <v>14</v>
      </c>
      <c r="L11" s="4" t="s">
        <v>50</v>
      </c>
      <c r="M11" s="4" t="s">
        <v>35</v>
      </c>
      <c r="N11" s="10">
        <v>40703</v>
      </c>
      <c r="O11" s="6">
        <v>2644.4180000000001</v>
      </c>
      <c r="P11" s="15">
        <f>IF(Table1[[#This Row],[Amount Spent]]&gt;3500, 3500,Table1[[#This Row],[Amount Spent]])</f>
        <v>2644.4180000000001</v>
      </c>
      <c r="AA11" t="str">
        <v>Massachusetts</v>
      </c>
      <c r="AB11" s="15">
        <f>AVERAGEIF(Table1[State],AA11,Table1[Salary])</f>
        <v>60070.270270270274</v>
      </c>
      <c r="AD11" s="14" t="s">
        <v>48</v>
      </c>
      <c r="AE11" s="16">
        <v>49006.896551724138</v>
      </c>
      <c r="AF11" s="16">
        <v>81928.571428571435</v>
      </c>
    </row>
    <row r="12" spans="1:32" x14ac:dyDescent="0.35">
      <c r="A12" s="8">
        <v>11</v>
      </c>
      <c r="B12" s="1" t="s">
        <v>64</v>
      </c>
      <c r="C12" s="8" t="s">
        <v>61</v>
      </c>
      <c r="D12" s="8" t="s">
        <v>66</v>
      </c>
      <c r="E12" s="8" t="s">
        <v>2</v>
      </c>
      <c r="F12" s="8">
        <v>1</v>
      </c>
      <c r="G12" s="2">
        <v>94200</v>
      </c>
      <c r="H12" s="1">
        <v>1</v>
      </c>
      <c r="I12" s="8" t="s">
        <v>69</v>
      </c>
      <c r="J12" s="1">
        <v>18</v>
      </c>
      <c r="K12" s="1" t="s">
        <v>15</v>
      </c>
      <c r="L12" s="1" t="s">
        <v>28</v>
      </c>
      <c r="M12" s="1" t="s">
        <v>33</v>
      </c>
      <c r="N12" s="10">
        <v>40660</v>
      </c>
      <c r="O12" s="3">
        <v>1211.05</v>
      </c>
      <c r="P12" s="15">
        <f>IF(Table1[[#This Row],[Amount Spent]]&gt;3500, 3500,Table1[[#This Row],[Amount Spent]])</f>
        <v>1211.05</v>
      </c>
      <c r="AA12" t="str">
        <v>Missouri</v>
      </c>
      <c r="AB12" s="15">
        <f>AVERAGEIF(Table1[State],AA12,Table1[Salary])</f>
        <v>48856.666666666664</v>
      </c>
      <c r="AD12" s="14" t="s">
        <v>51</v>
      </c>
      <c r="AE12" s="16">
        <v>56640</v>
      </c>
      <c r="AF12" s="16">
        <v>58255</v>
      </c>
    </row>
    <row r="13" spans="1:32" x14ac:dyDescent="0.35">
      <c r="A13" s="9">
        <v>12</v>
      </c>
      <c r="B13" s="4" t="s">
        <v>64</v>
      </c>
      <c r="C13" s="9" t="s">
        <v>61</v>
      </c>
      <c r="D13" s="9" t="s">
        <v>58</v>
      </c>
      <c r="E13" s="9" t="s">
        <v>2</v>
      </c>
      <c r="F13" s="9">
        <v>0</v>
      </c>
      <c r="G13" s="5">
        <v>73800</v>
      </c>
      <c r="H13" s="4">
        <v>0</v>
      </c>
      <c r="I13" s="9" t="s">
        <v>69</v>
      </c>
      <c r="J13" s="4">
        <v>24</v>
      </c>
      <c r="K13" s="4" t="s">
        <v>12</v>
      </c>
      <c r="L13" s="4" t="s">
        <v>54</v>
      </c>
      <c r="M13" s="4" t="s">
        <v>21</v>
      </c>
      <c r="N13" s="10">
        <v>40768</v>
      </c>
      <c r="O13" s="6">
        <v>3119.614</v>
      </c>
      <c r="P13" s="15">
        <f>IF(Table1[[#This Row],[Amount Spent]]&gt;3500, 3500,Table1[[#This Row],[Amount Spent]])</f>
        <v>3119.614</v>
      </c>
      <c r="AA13" t="str">
        <v>New York</v>
      </c>
      <c r="AB13" s="15">
        <f>AVERAGEIF(Table1[State],AA13,Table1[Salary])</f>
        <v>51082.051282051281</v>
      </c>
      <c r="AD13" s="14" t="s">
        <v>44</v>
      </c>
      <c r="AE13" s="16">
        <v>61500</v>
      </c>
      <c r="AF13" s="16">
        <v>58980.952380952382</v>
      </c>
    </row>
    <row r="14" spans="1:32" x14ac:dyDescent="0.35">
      <c r="A14" s="8">
        <v>13</v>
      </c>
      <c r="B14" s="1" t="s">
        <v>64</v>
      </c>
      <c r="C14" s="8" t="s">
        <v>61</v>
      </c>
      <c r="D14" s="8" t="s">
        <v>58</v>
      </c>
      <c r="E14" s="8" t="s">
        <v>70</v>
      </c>
      <c r="F14" s="8">
        <v>1</v>
      </c>
      <c r="G14" s="2">
        <v>45900</v>
      </c>
      <c r="H14" s="1">
        <v>2</v>
      </c>
      <c r="I14" s="8" t="s">
        <v>67</v>
      </c>
      <c r="J14" s="1">
        <v>12</v>
      </c>
      <c r="K14" s="1" t="s">
        <v>14</v>
      </c>
      <c r="L14" s="1" t="s">
        <v>51</v>
      </c>
      <c r="M14" s="1" t="s">
        <v>38</v>
      </c>
      <c r="N14" s="10">
        <v>40696</v>
      </c>
      <c r="O14" s="3">
        <v>416.15</v>
      </c>
      <c r="P14" s="15">
        <f>IF(Table1[[#This Row],[Amount Spent]]&gt;3500, 3500,Table1[[#This Row],[Amount Spent]])</f>
        <v>416.15</v>
      </c>
      <c r="AA14" t="str">
        <v>Ohio</v>
      </c>
      <c r="AB14" s="15">
        <f>AVERAGEIF(Table1[State],AA14,Table1[Salary])</f>
        <v>54582.795698924732</v>
      </c>
      <c r="AD14" s="14" t="s">
        <v>56</v>
      </c>
      <c r="AE14" s="16">
        <v>35746.666666666664</v>
      </c>
      <c r="AF14" s="16">
        <v>61966.666666666664</v>
      </c>
    </row>
    <row r="15" spans="1:32" x14ac:dyDescent="0.35">
      <c r="A15" s="9">
        <v>14</v>
      </c>
      <c r="B15" s="4" t="s">
        <v>64</v>
      </c>
      <c r="C15" s="9" t="s">
        <v>61</v>
      </c>
      <c r="D15" s="9" t="s">
        <v>66</v>
      </c>
      <c r="E15" s="9" t="s">
        <v>70</v>
      </c>
      <c r="F15" s="9">
        <v>0</v>
      </c>
      <c r="G15" s="5">
        <v>52600</v>
      </c>
      <c r="H15" s="4">
        <v>1</v>
      </c>
      <c r="I15" s="9" t="s">
        <v>8</v>
      </c>
      <c r="J15" s="4">
        <v>18</v>
      </c>
      <c r="K15" s="4" t="s">
        <v>15</v>
      </c>
      <c r="L15" s="4" t="s">
        <v>28</v>
      </c>
      <c r="M15" s="4" t="s">
        <v>33</v>
      </c>
      <c r="N15" s="10">
        <v>42102</v>
      </c>
      <c r="O15" s="6">
        <v>1773.11</v>
      </c>
      <c r="P15" s="15">
        <f>IF(Table1[[#This Row],[Amount Spent]]&gt;3500, 3500,Table1[[#This Row],[Amount Spent]])</f>
        <v>1773.11</v>
      </c>
      <c r="AA15" t="str">
        <v>Pennsylvania</v>
      </c>
      <c r="AB15" s="15">
        <f>AVERAGEIF(Table1[State],AA15,Table1[Salary])</f>
        <v>61740.243902439026</v>
      </c>
      <c r="AD15" s="14" t="s">
        <v>28</v>
      </c>
      <c r="AE15" s="16">
        <v>43406.976744186046</v>
      </c>
      <c r="AF15" s="16">
        <v>60511.428571428572</v>
      </c>
    </row>
    <row r="16" spans="1:32" x14ac:dyDescent="0.35">
      <c r="A16" s="8">
        <v>15</v>
      </c>
      <c r="B16" s="1" t="s">
        <v>64</v>
      </c>
      <c r="C16" s="8" t="s">
        <v>62</v>
      </c>
      <c r="D16" s="8" t="s">
        <v>58</v>
      </c>
      <c r="E16" s="8" t="s">
        <v>2</v>
      </c>
      <c r="F16" s="8">
        <v>1</v>
      </c>
      <c r="G16" s="2">
        <v>82200</v>
      </c>
      <c r="H16" s="1">
        <v>1</v>
      </c>
      <c r="I16" s="8" t="s">
        <v>8</v>
      </c>
      <c r="J16" s="1">
        <v>12</v>
      </c>
      <c r="K16" s="1" t="s">
        <v>12</v>
      </c>
      <c r="L16" s="1" t="s">
        <v>47</v>
      </c>
      <c r="M16" s="1" t="s">
        <v>16</v>
      </c>
      <c r="N16" s="10">
        <v>42109</v>
      </c>
      <c r="O16" s="3">
        <v>1517.4069999999999</v>
      </c>
      <c r="P16" s="15">
        <f>IF(Table1[[#This Row],[Amount Spent]]&gt;3500, 3500,Table1[[#This Row],[Amount Spent]])</f>
        <v>1517.4069999999999</v>
      </c>
      <c r="AA16" t="str">
        <v>Tennessee</v>
      </c>
      <c r="AB16" s="15">
        <f>AVERAGEIF(Table1[State],AA16,Table1[Salary])</f>
        <v>55146.511627906977</v>
      </c>
      <c r="AD16" s="14" t="s">
        <v>42</v>
      </c>
      <c r="AE16" s="16">
        <v>48490</v>
      </c>
      <c r="AF16" s="16">
        <v>59181.132075471702</v>
      </c>
    </row>
    <row r="17" spans="1:32" x14ac:dyDescent="0.35">
      <c r="A17" s="9">
        <v>16</v>
      </c>
      <c r="B17" s="4" t="s">
        <v>64</v>
      </c>
      <c r="C17" s="9" t="s">
        <v>62</v>
      </c>
      <c r="D17" s="9" t="s">
        <v>58</v>
      </c>
      <c r="E17" s="9" t="s">
        <v>2</v>
      </c>
      <c r="F17" s="9">
        <v>1</v>
      </c>
      <c r="G17" s="5">
        <v>76700</v>
      </c>
      <c r="H17" s="4">
        <v>2</v>
      </c>
      <c r="I17" s="9" t="s">
        <v>68</v>
      </c>
      <c r="J17" s="4">
        <v>6</v>
      </c>
      <c r="K17" s="4" t="s">
        <v>15</v>
      </c>
      <c r="L17" s="4" t="s">
        <v>52</v>
      </c>
      <c r="M17" s="4" t="s">
        <v>30</v>
      </c>
      <c r="N17" s="10">
        <v>41118</v>
      </c>
      <c r="O17" s="6">
        <v>533.86800000000005</v>
      </c>
      <c r="P17" s="15">
        <f>IF(Table1[[#This Row],[Amount Spent]]&gt;3500, 3500,Table1[[#This Row],[Amount Spent]])</f>
        <v>533.86800000000005</v>
      </c>
      <c r="AA17" t="str">
        <v>Texas</v>
      </c>
      <c r="AB17" s="15">
        <f>AVERAGEIF(Table1[State],AA17,Table1[Salary])</f>
        <v>54677.777777777781</v>
      </c>
      <c r="AD17" s="14" t="s">
        <v>52</v>
      </c>
      <c r="AE17" s="16">
        <v>56117.391304347824</v>
      </c>
      <c r="AF17" s="16">
        <v>68925</v>
      </c>
    </row>
    <row r="18" spans="1:32" x14ac:dyDescent="0.35">
      <c r="A18" s="8">
        <v>17</v>
      </c>
      <c r="B18" s="1" t="s">
        <v>64</v>
      </c>
      <c r="C18" s="8" t="s">
        <v>62</v>
      </c>
      <c r="D18" s="8" t="s">
        <v>58</v>
      </c>
      <c r="E18" s="8" t="s">
        <v>2</v>
      </c>
      <c r="F18" s="8">
        <v>1</v>
      </c>
      <c r="G18" s="2">
        <v>79400</v>
      </c>
      <c r="H18" s="1">
        <v>3</v>
      </c>
      <c r="I18" s="8" t="s">
        <v>67</v>
      </c>
      <c r="J18" s="1">
        <v>6</v>
      </c>
      <c r="K18" s="1" t="s">
        <v>14</v>
      </c>
      <c r="L18" s="1" t="s">
        <v>49</v>
      </c>
      <c r="M18" s="1" t="s">
        <v>39</v>
      </c>
      <c r="N18" s="10">
        <v>42064</v>
      </c>
      <c r="O18" s="3">
        <v>199.64699999999999</v>
      </c>
      <c r="P18" s="15">
        <f>IF(Table1[[#This Row],[Amount Spent]]&gt;3500, 3500,Table1[[#This Row],[Amount Spent]])</f>
        <v>199.64699999999999</v>
      </c>
      <c r="AA18" t="str">
        <v>Utah</v>
      </c>
      <c r="AB18" s="15">
        <f>AVERAGEIF(Table1[State],AA18,Table1[Salary])</f>
        <v>54973.170731707316</v>
      </c>
      <c r="AD18" s="14" t="s">
        <v>49</v>
      </c>
      <c r="AE18" s="16">
        <v>47750</v>
      </c>
      <c r="AF18" s="16">
        <v>64489.473684210527</v>
      </c>
    </row>
    <row r="19" spans="1:32" x14ac:dyDescent="0.35">
      <c r="A19" s="9">
        <v>18</v>
      </c>
      <c r="B19" s="4" t="s">
        <v>64</v>
      </c>
      <c r="C19" s="9" t="s">
        <v>61</v>
      </c>
      <c r="D19" s="9" t="s">
        <v>58</v>
      </c>
      <c r="E19" s="9" t="s">
        <v>2</v>
      </c>
      <c r="F19" s="9">
        <v>1</v>
      </c>
      <c r="G19" s="5">
        <v>66900</v>
      </c>
      <c r="H19" s="4">
        <v>0</v>
      </c>
      <c r="I19" s="9" t="s">
        <v>69</v>
      </c>
      <c r="J19" s="4">
        <v>12</v>
      </c>
      <c r="K19" s="4" t="s">
        <v>12</v>
      </c>
      <c r="L19" s="4" t="s">
        <v>55</v>
      </c>
      <c r="M19" s="4" t="s">
        <v>17</v>
      </c>
      <c r="N19" s="10">
        <v>39945</v>
      </c>
      <c r="O19" s="6">
        <v>1220.2339999999999</v>
      </c>
      <c r="P19" s="15">
        <f>IF(Table1[[#This Row],[Amount Spent]]&gt;3500, 3500,Table1[[#This Row],[Amount Spent]])</f>
        <v>1220.2339999999999</v>
      </c>
      <c r="AA19" t="str">
        <v>Washington</v>
      </c>
      <c r="AB19" s="15">
        <f>AVERAGEIF(Table1[State],AA19,Table1[Salary])</f>
        <v>61147.5</v>
      </c>
      <c r="AD19" s="14" t="s">
        <v>40</v>
      </c>
      <c r="AE19" s="16">
        <v>44872.222222222219</v>
      </c>
      <c r="AF19" s="16">
        <v>64483.333333333336</v>
      </c>
    </row>
    <row r="20" spans="1:32" x14ac:dyDescent="0.35">
      <c r="A20" s="8">
        <v>19</v>
      </c>
      <c r="B20" s="1" t="s">
        <v>63</v>
      </c>
      <c r="C20" s="8" t="s">
        <v>62</v>
      </c>
      <c r="D20" s="8" t="s">
        <v>66</v>
      </c>
      <c r="E20" s="8" t="s">
        <v>70</v>
      </c>
      <c r="F20" s="8">
        <v>1</v>
      </c>
      <c r="G20" s="2">
        <v>12400</v>
      </c>
      <c r="H20" s="1">
        <v>1</v>
      </c>
      <c r="I20" s="8" t="s">
        <v>8</v>
      </c>
      <c r="J20" s="1">
        <v>12</v>
      </c>
      <c r="K20" s="1" t="s">
        <v>14</v>
      </c>
      <c r="L20" s="1" t="s">
        <v>50</v>
      </c>
      <c r="M20" s="1" t="s">
        <v>34</v>
      </c>
      <c r="N20" s="10">
        <v>42117</v>
      </c>
      <c r="O20" s="3">
        <v>228.99600000000001</v>
      </c>
      <c r="P20" s="15">
        <f>IF(Table1[[#This Row],[Amount Spent]]&gt;3500, 3500,Table1[[#This Row],[Amount Spent]])</f>
        <v>228.99600000000001</v>
      </c>
      <c r="AD20" s="14" t="s">
        <v>54</v>
      </c>
      <c r="AE20" s="16">
        <v>26282.352941176472</v>
      </c>
      <c r="AF20" s="16">
        <v>75295.833333333328</v>
      </c>
    </row>
    <row r="21" spans="1:32" x14ac:dyDescent="0.35">
      <c r="A21" s="9">
        <v>20</v>
      </c>
      <c r="B21" s="4" t="s">
        <v>63</v>
      </c>
      <c r="C21" s="9" t="s">
        <v>61</v>
      </c>
      <c r="D21" s="9" t="s">
        <v>66</v>
      </c>
      <c r="E21" s="9" t="s">
        <v>2</v>
      </c>
      <c r="F21" s="9">
        <v>1</v>
      </c>
      <c r="G21" s="5">
        <v>52600</v>
      </c>
      <c r="H21" s="4">
        <v>1</v>
      </c>
      <c r="I21" s="9" t="s">
        <v>68</v>
      </c>
      <c r="J21" s="4">
        <v>12</v>
      </c>
      <c r="K21" s="4" t="s">
        <v>14</v>
      </c>
      <c r="L21" s="4" t="s">
        <v>51</v>
      </c>
      <c r="M21" s="4" t="s">
        <v>38</v>
      </c>
      <c r="N21" s="10">
        <v>40691</v>
      </c>
      <c r="O21" s="6">
        <v>1052.2629999999999</v>
      </c>
      <c r="P21" s="15">
        <f>IF(Table1[[#This Row],[Amount Spent]]&gt;3500, 3500,Table1[[#This Row],[Amount Spent]])</f>
        <v>1052.2629999999999</v>
      </c>
      <c r="AD21" s="14" t="s">
        <v>55</v>
      </c>
      <c r="AE21" s="16">
        <v>44347.058823529413</v>
      </c>
      <c r="AF21" s="16">
        <v>73565.217391304352</v>
      </c>
    </row>
    <row r="22" spans="1:32" x14ac:dyDescent="0.35">
      <c r="A22" s="8">
        <v>21</v>
      </c>
      <c r="B22" s="1" t="s">
        <v>65</v>
      </c>
      <c r="C22" s="8" t="s">
        <v>62</v>
      </c>
      <c r="D22" s="8" t="s">
        <v>58</v>
      </c>
      <c r="E22" s="8" t="s">
        <v>70</v>
      </c>
      <c r="F22" s="8">
        <v>0</v>
      </c>
      <c r="G22" s="2">
        <v>28300</v>
      </c>
      <c r="H22" s="1">
        <v>0</v>
      </c>
      <c r="I22" s="8" t="s">
        <v>68</v>
      </c>
      <c r="J22" s="1">
        <v>24</v>
      </c>
      <c r="K22" s="1" t="s">
        <v>13</v>
      </c>
      <c r="L22" s="1" t="s">
        <v>56</v>
      </c>
      <c r="M22" s="1" t="s">
        <v>24</v>
      </c>
      <c r="N22" s="10">
        <v>40112</v>
      </c>
      <c r="O22" s="3">
        <v>932.84299999999996</v>
      </c>
      <c r="P22" s="15">
        <f>IF(Table1[[#This Row],[Amount Spent]]&gt;3500, 3500,Table1[[#This Row],[Amount Spent]])</f>
        <v>932.84299999999996</v>
      </c>
    </row>
    <row r="23" spans="1:32" x14ac:dyDescent="0.35">
      <c r="A23" s="9">
        <v>22</v>
      </c>
      <c r="B23" s="4" t="s">
        <v>64</v>
      </c>
      <c r="C23" s="9" t="s">
        <v>61</v>
      </c>
      <c r="D23" s="9" t="s">
        <v>58</v>
      </c>
      <c r="E23" s="9" t="s">
        <v>70</v>
      </c>
      <c r="F23" s="9">
        <v>0</v>
      </c>
      <c r="G23" s="5">
        <v>53900</v>
      </c>
      <c r="H23" s="4">
        <v>0</v>
      </c>
      <c r="I23" s="9" t="s">
        <v>8</v>
      </c>
      <c r="J23" s="4">
        <v>12</v>
      </c>
      <c r="K23" s="4" t="s">
        <v>14</v>
      </c>
      <c r="L23" s="4" t="s">
        <v>40</v>
      </c>
      <c r="M23" s="4" t="s">
        <v>37</v>
      </c>
      <c r="N23" s="10">
        <v>42034</v>
      </c>
      <c r="O23" s="6">
        <v>1186.123</v>
      </c>
      <c r="P23" s="15">
        <f>IF(Table1[[#This Row],[Amount Spent]]&gt;3500, 3500,Table1[[#This Row],[Amount Spent]])</f>
        <v>1186.123</v>
      </c>
    </row>
    <row r="24" spans="1:32" x14ac:dyDescent="0.35">
      <c r="A24" s="8">
        <v>23</v>
      </c>
      <c r="B24" s="1" t="s">
        <v>65</v>
      </c>
      <c r="C24" s="8" t="s">
        <v>62</v>
      </c>
      <c r="D24" s="8" t="s">
        <v>66</v>
      </c>
      <c r="E24" s="8" t="s">
        <v>70</v>
      </c>
      <c r="F24" s="8">
        <v>1</v>
      </c>
      <c r="G24" s="2">
        <v>28900</v>
      </c>
      <c r="H24" s="1">
        <v>0</v>
      </c>
      <c r="I24" s="8" t="s">
        <v>67</v>
      </c>
      <c r="J24" s="1">
        <v>12</v>
      </c>
      <c r="K24" s="1" t="s">
        <v>14</v>
      </c>
      <c r="L24" s="1" t="s">
        <v>49</v>
      </c>
      <c r="M24" s="1" t="s">
        <v>39</v>
      </c>
      <c r="N24" s="10">
        <v>40552</v>
      </c>
      <c r="O24" s="3">
        <v>830.23299999999995</v>
      </c>
      <c r="P24" s="15">
        <f>IF(Table1[[#This Row],[Amount Spent]]&gt;3500, 3500,Table1[[#This Row],[Amount Spent]])</f>
        <v>830.23299999999995</v>
      </c>
    </row>
    <row r="25" spans="1:32" x14ac:dyDescent="0.35">
      <c r="A25" s="9">
        <v>24</v>
      </c>
      <c r="B25" s="4" t="s">
        <v>63</v>
      </c>
      <c r="C25" s="9" t="s">
        <v>62</v>
      </c>
      <c r="D25" s="9" t="s">
        <v>66</v>
      </c>
      <c r="E25" s="9" t="s">
        <v>70</v>
      </c>
      <c r="F25" s="9">
        <v>1</v>
      </c>
      <c r="G25" s="5">
        <v>15900</v>
      </c>
      <c r="H25" s="4">
        <v>0</v>
      </c>
      <c r="I25" s="9" t="s">
        <v>8</v>
      </c>
      <c r="J25" s="4">
        <v>18</v>
      </c>
      <c r="K25" s="4" t="s">
        <v>15</v>
      </c>
      <c r="L25" s="4" t="s">
        <v>42</v>
      </c>
      <c r="M25" s="4" t="s">
        <v>32</v>
      </c>
      <c r="N25" s="10">
        <v>42168</v>
      </c>
      <c r="O25" s="6">
        <v>405.62</v>
      </c>
      <c r="P25" s="15">
        <f>IF(Table1[[#This Row],[Amount Spent]]&gt;3500, 3500,Table1[[#This Row],[Amount Spent]])</f>
        <v>405.62</v>
      </c>
    </row>
    <row r="26" spans="1:32" x14ac:dyDescent="0.35">
      <c r="A26" s="8">
        <v>25</v>
      </c>
      <c r="B26" s="1" t="s">
        <v>64</v>
      </c>
      <c r="C26" s="8" t="s">
        <v>61</v>
      </c>
      <c r="D26" s="8" t="s">
        <v>66</v>
      </c>
      <c r="E26" s="8" t="s">
        <v>70</v>
      </c>
      <c r="F26" s="8">
        <v>1</v>
      </c>
      <c r="G26" s="2">
        <v>50700</v>
      </c>
      <c r="H26" s="1">
        <v>3</v>
      </c>
      <c r="I26" s="8" t="s">
        <v>67</v>
      </c>
      <c r="J26" s="1">
        <v>6</v>
      </c>
      <c r="K26" s="1" t="s">
        <v>13</v>
      </c>
      <c r="L26" s="1" t="s">
        <v>42</v>
      </c>
      <c r="M26" s="1" t="s">
        <v>25</v>
      </c>
      <c r="N26" s="10">
        <v>41784</v>
      </c>
      <c r="O26" s="3">
        <v>156.77199999999999</v>
      </c>
      <c r="P26" s="15">
        <f>IF(Table1[[#This Row],[Amount Spent]]&gt;3500, 3500,Table1[[#This Row],[Amount Spent]])</f>
        <v>156.77199999999999</v>
      </c>
    </row>
    <row r="27" spans="1:32" x14ac:dyDescent="0.35">
      <c r="A27" s="9">
        <v>26</v>
      </c>
      <c r="B27" s="4" t="s">
        <v>63</v>
      </c>
      <c r="C27" s="9" t="s">
        <v>61</v>
      </c>
      <c r="D27" s="9" t="s">
        <v>66</v>
      </c>
      <c r="E27" s="9" t="s">
        <v>70</v>
      </c>
      <c r="F27" s="9">
        <v>0</v>
      </c>
      <c r="G27" s="5">
        <v>17800</v>
      </c>
      <c r="H27" s="4">
        <v>1</v>
      </c>
      <c r="I27" s="9" t="s">
        <v>8</v>
      </c>
      <c r="J27" s="4">
        <v>18</v>
      </c>
      <c r="K27" s="4" t="s">
        <v>14</v>
      </c>
      <c r="L27" s="4" t="s">
        <v>50</v>
      </c>
      <c r="M27" s="4" t="s">
        <v>34</v>
      </c>
      <c r="N27" s="10">
        <v>42143</v>
      </c>
      <c r="O27" s="6">
        <v>588.625</v>
      </c>
      <c r="P27" s="15">
        <f>IF(Table1[[#This Row],[Amount Spent]]&gt;3500, 3500,Table1[[#This Row],[Amount Spent]])</f>
        <v>588.625</v>
      </c>
    </row>
    <row r="28" spans="1:32" x14ac:dyDescent="0.35">
      <c r="A28" s="8">
        <v>27</v>
      </c>
      <c r="B28" s="1" t="s">
        <v>64</v>
      </c>
      <c r="C28" s="8" t="s">
        <v>62</v>
      </c>
      <c r="D28" s="8" t="s">
        <v>58</v>
      </c>
      <c r="E28" s="8" t="s">
        <v>70</v>
      </c>
      <c r="F28" s="8">
        <v>1</v>
      </c>
      <c r="G28" s="2">
        <v>51300</v>
      </c>
      <c r="H28" s="1">
        <v>0</v>
      </c>
      <c r="I28" s="8" t="s">
        <v>68</v>
      </c>
      <c r="J28" s="1">
        <v>24</v>
      </c>
      <c r="K28" s="1" t="s">
        <v>12</v>
      </c>
      <c r="L28" s="1" t="s">
        <v>47</v>
      </c>
      <c r="M28" s="1" t="s">
        <v>16</v>
      </c>
      <c r="N28" s="10">
        <v>41999</v>
      </c>
      <c r="O28" s="3">
        <v>1423.5889999999999</v>
      </c>
      <c r="P28" s="15">
        <f>IF(Table1[[#This Row],[Amount Spent]]&gt;3500, 3500,Table1[[#This Row],[Amount Spent]])</f>
        <v>1423.5889999999999</v>
      </c>
    </row>
    <row r="29" spans="1:32" x14ac:dyDescent="0.35">
      <c r="A29" s="9">
        <v>28</v>
      </c>
      <c r="B29" s="4" t="s">
        <v>65</v>
      </c>
      <c r="C29" s="9" t="s">
        <v>62</v>
      </c>
      <c r="D29" s="9" t="s">
        <v>58</v>
      </c>
      <c r="E29" s="9" t="s">
        <v>2</v>
      </c>
      <c r="F29" s="9">
        <v>1</v>
      </c>
      <c r="G29" s="5">
        <v>74400</v>
      </c>
      <c r="H29" s="4">
        <v>0</v>
      </c>
      <c r="I29" s="9" t="s">
        <v>69</v>
      </c>
      <c r="J29" s="4">
        <v>18</v>
      </c>
      <c r="K29" s="4" t="s">
        <v>15</v>
      </c>
      <c r="L29" s="4" t="s">
        <v>28</v>
      </c>
      <c r="M29" s="4" t="s">
        <v>33</v>
      </c>
      <c r="N29" s="10">
        <v>40335</v>
      </c>
      <c r="O29" s="6">
        <v>2478.5219999999999</v>
      </c>
      <c r="P29" s="15">
        <f>IF(Table1[[#This Row],[Amount Spent]]&gt;3500, 3500,Table1[[#This Row],[Amount Spent]])</f>
        <v>2478.5219999999999</v>
      </c>
    </row>
    <row r="30" spans="1:32" x14ac:dyDescent="0.35">
      <c r="A30" s="8">
        <v>29</v>
      </c>
      <c r="B30" s="1" t="s">
        <v>64</v>
      </c>
      <c r="C30" s="8" t="s">
        <v>62</v>
      </c>
      <c r="D30" s="8" t="s">
        <v>58</v>
      </c>
      <c r="E30" s="8" t="s">
        <v>2</v>
      </c>
      <c r="F30" s="8">
        <v>1</v>
      </c>
      <c r="G30" s="2">
        <v>88200</v>
      </c>
      <c r="H30" s="1">
        <v>0</v>
      </c>
      <c r="I30" s="8" t="s">
        <v>8</v>
      </c>
      <c r="J30" s="1">
        <v>24</v>
      </c>
      <c r="K30" s="1" t="s">
        <v>14</v>
      </c>
      <c r="L30" s="1" t="s">
        <v>50</v>
      </c>
      <c r="M30" s="1" t="s">
        <v>34</v>
      </c>
      <c r="N30" s="10">
        <v>42073</v>
      </c>
      <c r="O30" s="3">
        <v>2748.8110000000001</v>
      </c>
      <c r="P30" s="15">
        <f>IF(Table1[[#This Row],[Amount Spent]]&gt;3500, 3500,Table1[[#This Row],[Amount Spent]])</f>
        <v>2748.8110000000001</v>
      </c>
    </row>
    <row r="31" spans="1:32" x14ac:dyDescent="0.35">
      <c r="A31" s="9">
        <v>30</v>
      </c>
      <c r="B31" s="4" t="s">
        <v>64</v>
      </c>
      <c r="C31" s="9" t="s">
        <v>61</v>
      </c>
      <c r="D31" s="9" t="s">
        <v>58</v>
      </c>
      <c r="E31" s="9" t="s">
        <v>2</v>
      </c>
      <c r="F31" s="9">
        <v>0</v>
      </c>
      <c r="G31" s="5">
        <v>79000</v>
      </c>
      <c r="H31" s="4">
        <v>1</v>
      </c>
      <c r="I31" s="9" t="s">
        <v>69</v>
      </c>
      <c r="J31" s="4">
        <v>18</v>
      </c>
      <c r="K31" s="4" t="s">
        <v>15</v>
      </c>
      <c r="L31" s="4" t="s">
        <v>44</v>
      </c>
      <c r="M31" s="4" t="s">
        <v>29</v>
      </c>
      <c r="N31" s="10">
        <v>41367</v>
      </c>
      <c r="O31" s="6">
        <v>2278.8359999999998</v>
      </c>
      <c r="P31" s="15">
        <f>IF(Table1[[#This Row],[Amount Spent]]&gt;3500, 3500,Table1[[#This Row],[Amount Spent]])</f>
        <v>2278.8359999999998</v>
      </c>
    </row>
    <row r="32" spans="1:32" x14ac:dyDescent="0.35">
      <c r="A32" s="8">
        <v>31</v>
      </c>
      <c r="B32" s="1" t="s">
        <v>64</v>
      </c>
      <c r="C32" s="8" t="s">
        <v>62</v>
      </c>
      <c r="D32" s="8" t="s">
        <v>58</v>
      </c>
      <c r="E32" s="8" t="s">
        <v>70</v>
      </c>
      <c r="F32" s="8">
        <v>0</v>
      </c>
      <c r="G32" s="2">
        <v>55200</v>
      </c>
      <c r="H32" s="1">
        <v>0</v>
      </c>
      <c r="I32" s="8" t="s">
        <v>69</v>
      </c>
      <c r="J32" s="1">
        <v>18</v>
      </c>
      <c r="K32" s="1" t="s">
        <v>15</v>
      </c>
      <c r="L32" s="1" t="s">
        <v>28</v>
      </c>
      <c r="M32" s="1" t="s">
        <v>28</v>
      </c>
      <c r="N32" s="10">
        <v>40422</v>
      </c>
      <c r="O32" s="3">
        <v>1713.624</v>
      </c>
      <c r="P32" s="15">
        <f>IF(Table1[[#This Row],[Amount Spent]]&gt;3500, 3500,Table1[[#This Row],[Amount Spent]])</f>
        <v>1713.624</v>
      </c>
    </row>
    <row r="33" spans="1:16" x14ac:dyDescent="0.35">
      <c r="A33" s="9">
        <v>32</v>
      </c>
      <c r="B33" s="4" t="s">
        <v>64</v>
      </c>
      <c r="C33" s="9" t="s">
        <v>61</v>
      </c>
      <c r="D33" s="9" t="s">
        <v>58</v>
      </c>
      <c r="E33" s="9" t="s">
        <v>2</v>
      </c>
      <c r="F33" s="9">
        <v>1</v>
      </c>
      <c r="G33" s="5">
        <v>95800</v>
      </c>
      <c r="H33" s="4">
        <v>3</v>
      </c>
      <c r="I33" s="9" t="s">
        <v>67</v>
      </c>
      <c r="J33" s="4">
        <v>12</v>
      </c>
      <c r="K33" s="4" t="s">
        <v>13</v>
      </c>
      <c r="L33" s="4" t="s">
        <v>56</v>
      </c>
      <c r="M33" s="4" t="s">
        <v>24</v>
      </c>
      <c r="N33" s="10">
        <v>41306</v>
      </c>
      <c r="O33" s="6">
        <v>678.37800000000004</v>
      </c>
      <c r="P33" s="15">
        <f>IF(Table1[[#This Row],[Amount Spent]]&gt;3500, 3500,Table1[[#This Row],[Amount Spent]])</f>
        <v>678.37800000000004</v>
      </c>
    </row>
    <row r="34" spans="1:16" x14ac:dyDescent="0.35">
      <c r="A34" s="8">
        <v>33</v>
      </c>
      <c r="B34" s="1" t="s">
        <v>63</v>
      </c>
      <c r="C34" s="8" t="s">
        <v>62</v>
      </c>
      <c r="D34" s="8" t="s">
        <v>66</v>
      </c>
      <c r="E34" s="8" t="s">
        <v>70</v>
      </c>
      <c r="F34" s="8">
        <v>0</v>
      </c>
      <c r="G34" s="2">
        <v>13700</v>
      </c>
      <c r="H34" s="1">
        <v>2</v>
      </c>
      <c r="I34" s="8" t="s">
        <v>8</v>
      </c>
      <c r="J34" s="1">
        <v>24</v>
      </c>
      <c r="K34" s="1" t="s">
        <v>12</v>
      </c>
      <c r="L34" s="1" t="s">
        <v>53</v>
      </c>
      <c r="M34" s="1" t="s">
        <v>19</v>
      </c>
      <c r="N34" s="10">
        <v>42210</v>
      </c>
      <c r="O34" s="3">
        <v>414.05200000000002</v>
      </c>
      <c r="P34" s="15">
        <f>IF(Table1[[#This Row],[Amount Spent]]&gt;3500, 3500,Table1[[#This Row],[Amount Spent]])</f>
        <v>414.05200000000002</v>
      </c>
    </row>
    <row r="35" spans="1:16" x14ac:dyDescent="0.35">
      <c r="A35" s="9">
        <v>34</v>
      </c>
      <c r="B35" s="4" t="s">
        <v>64</v>
      </c>
      <c r="C35" s="9" t="s">
        <v>62</v>
      </c>
      <c r="D35" s="9" t="s">
        <v>58</v>
      </c>
      <c r="E35" s="9" t="s">
        <v>70</v>
      </c>
      <c r="F35" s="9">
        <v>1</v>
      </c>
      <c r="G35" s="5">
        <v>41300</v>
      </c>
      <c r="H35" s="4">
        <v>1</v>
      </c>
      <c r="I35" s="9" t="s">
        <v>8</v>
      </c>
      <c r="J35" s="4">
        <v>18</v>
      </c>
      <c r="K35" s="4" t="s">
        <v>15</v>
      </c>
      <c r="L35" s="4" t="s">
        <v>28</v>
      </c>
      <c r="M35" s="4" t="s">
        <v>28</v>
      </c>
      <c r="N35" s="10">
        <v>42175</v>
      </c>
      <c r="O35" s="6">
        <v>932.21400000000006</v>
      </c>
      <c r="P35" s="15">
        <f>IF(Table1[[#This Row],[Amount Spent]]&gt;3500, 3500,Table1[[#This Row],[Amount Spent]])</f>
        <v>932.21400000000006</v>
      </c>
    </row>
    <row r="36" spans="1:16" x14ac:dyDescent="0.35">
      <c r="A36" s="8">
        <v>35</v>
      </c>
      <c r="B36" s="1" t="s">
        <v>64</v>
      </c>
      <c r="C36" s="8" t="s">
        <v>61</v>
      </c>
      <c r="D36" s="8" t="s">
        <v>58</v>
      </c>
      <c r="E36" s="8" t="s">
        <v>70</v>
      </c>
      <c r="F36" s="8">
        <v>0</v>
      </c>
      <c r="G36" s="2">
        <v>65400</v>
      </c>
      <c r="H36" s="1">
        <v>1</v>
      </c>
      <c r="I36" s="8" t="s">
        <v>69</v>
      </c>
      <c r="J36" s="1">
        <v>12</v>
      </c>
      <c r="K36" s="1" t="s">
        <v>14</v>
      </c>
      <c r="L36" s="1" t="s">
        <v>50</v>
      </c>
      <c r="M36" s="1" t="s">
        <v>35</v>
      </c>
      <c r="N36" s="10">
        <v>40659</v>
      </c>
      <c r="O36" s="3">
        <v>2289.9679999999998</v>
      </c>
      <c r="P36" s="15">
        <f>IF(Table1[[#This Row],[Amount Spent]]&gt;3500, 3500,Table1[[#This Row],[Amount Spent]])</f>
        <v>2289.9679999999998</v>
      </c>
    </row>
    <row r="37" spans="1:16" x14ac:dyDescent="0.35">
      <c r="A37" s="9">
        <v>36</v>
      </c>
      <c r="B37" s="4" t="s">
        <v>63</v>
      </c>
      <c r="C37" s="9" t="s">
        <v>62</v>
      </c>
      <c r="D37" s="9" t="s">
        <v>58</v>
      </c>
      <c r="E37" s="9" t="s">
        <v>70</v>
      </c>
      <c r="F37" s="9">
        <v>0</v>
      </c>
      <c r="G37" s="5">
        <v>29600</v>
      </c>
      <c r="H37" s="4">
        <v>3</v>
      </c>
      <c r="I37" s="9" t="s">
        <v>8</v>
      </c>
      <c r="J37" s="4">
        <v>12</v>
      </c>
      <c r="K37" s="4" t="s">
        <v>15</v>
      </c>
      <c r="L37" s="4" t="s">
        <v>42</v>
      </c>
      <c r="M37" s="4" t="s">
        <v>32</v>
      </c>
      <c r="N37" s="10">
        <v>42154</v>
      </c>
      <c r="O37" s="6">
        <v>774.1</v>
      </c>
      <c r="P37" s="15">
        <f>IF(Table1[[#This Row],[Amount Spent]]&gt;3500, 3500,Table1[[#This Row],[Amount Spent]])</f>
        <v>774.1</v>
      </c>
    </row>
    <row r="38" spans="1:16" x14ac:dyDescent="0.35">
      <c r="A38" s="8">
        <v>37</v>
      </c>
      <c r="B38" s="1" t="s">
        <v>63</v>
      </c>
      <c r="C38" s="8" t="s">
        <v>61</v>
      </c>
      <c r="D38" s="8" t="s">
        <v>66</v>
      </c>
      <c r="E38" s="8" t="s">
        <v>2</v>
      </c>
      <c r="F38" s="8">
        <v>1</v>
      </c>
      <c r="G38" s="2">
        <v>49800</v>
      </c>
      <c r="H38" s="1">
        <v>0</v>
      </c>
      <c r="I38" s="8" t="s">
        <v>68</v>
      </c>
      <c r="J38" s="1">
        <v>12</v>
      </c>
      <c r="K38" s="1" t="s">
        <v>13</v>
      </c>
      <c r="L38" s="1" t="s">
        <v>42</v>
      </c>
      <c r="M38" s="1" t="s">
        <v>25</v>
      </c>
      <c r="N38" s="10">
        <v>41737</v>
      </c>
      <c r="O38" s="3">
        <v>827.34400000000005</v>
      </c>
      <c r="P38" s="15">
        <f>IF(Table1[[#This Row],[Amount Spent]]&gt;3500, 3500,Table1[[#This Row],[Amount Spent]])</f>
        <v>827.34400000000005</v>
      </c>
    </row>
    <row r="39" spans="1:16" x14ac:dyDescent="0.35">
      <c r="A39" s="9">
        <v>38</v>
      </c>
      <c r="B39" s="4" t="s">
        <v>64</v>
      </c>
      <c r="C39" s="9" t="s">
        <v>61</v>
      </c>
      <c r="D39" s="9" t="s">
        <v>58</v>
      </c>
      <c r="E39" s="9" t="s">
        <v>70</v>
      </c>
      <c r="F39" s="9">
        <v>1</v>
      </c>
      <c r="G39" s="5">
        <v>73700</v>
      </c>
      <c r="H39" s="4">
        <v>1</v>
      </c>
      <c r="I39" s="9" t="s">
        <v>68</v>
      </c>
      <c r="J39" s="4">
        <v>12</v>
      </c>
      <c r="K39" s="4" t="s">
        <v>14</v>
      </c>
      <c r="L39" s="4" t="s">
        <v>40</v>
      </c>
      <c r="M39" s="4" t="s">
        <v>37</v>
      </c>
      <c r="N39" s="10">
        <v>41501</v>
      </c>
      <c r="O39" s="6">
        <v>1273.7729999999999</v>
      </c>
      <c r="P39" s="15">
        <f>IF(Table1[[#This Row],[Amount Spent]]&gt;3500, 3500,Table1[[#This Row],[Amount Spent]])</f>
        <v>1273.7729999999999</v>
      </c>
    </row>
    <row r="40" spans="1:16" x14ac:dyDescent="0.35">
      <c r="A40" s="8">
        <v>39</v>
      </c>
      <c r="B40" s="1" t="s">
        <v>65</v>
      </c>
      <c r="C40" s="8" t="s">
        <v>62</v>
      </c>
      <c r="D40" s="8" t="s">
        <v>58</v>
      </c>
      <c r="E40" s="8" t="s">
        <v>70</v>
      </c>
      <c r="F40" s="8">
        <v>1</v>
      </c>
      <c r="G40" s="2">
        <v>39900</v>
      </c>
      <c r="H40" s="1">
        <v>0</v>
      </c>
      <c r="I40" s="8" t="s">
        <v>8</v>
      </c>
      <c r="J40" s="1">
        <v>6</v>
      </c>
      <c r="K40" s="1" t="s">
        <v>15</v>
      </c>
      <c r="L40" s="1" t="s">
        <v>28</v>
      </c>
      <c r="M40" s="1" t="s">
        <v>28</v>
      </c>
      <c r="N40" s="10">
        <v>42034</v>
      </c>
      <c r="O40" s="3">
        <v>619.43799999999999</v>
      </c>
      <c r="P40" s="15">
        <f>IF(Table1[[#This Row],[Amount Spent]]&gt;3500, 3500,Table1[[#This Row],[Amount Spent]])</f>
        <v>619.43799999999999</v>
      </c>
    </row>
    <row r="41" spans="1:16" x14ac:dyDescent="0.35">
      <c r="A41" s="9">
        <v>40</v>
      </c>
      <c r="B41" s="4" t="s">
        <v>63</v>
      </c>
      <c r="C41" s="9" t="s">
        <v>62</v>
      </c>
      <c r="D41" s="9" t="s">
        <v>66</v>
      </c>
      <c r="E41" s="9" t="s">
        <v>2</v>
      </c>
      <c r="F41" s="9">
        <v>1</v>
      </c>
      <c r="G41" s="5">
        <v>36600</v>
      </c>
      <c r="H41" s="4">
        <v>0</v>
      </c>
      <c r="I41" s="9" t="s">
        <v>68</v>
      </c>
      <c r="J41" s="4">
        <v>6</v>
      </c>
      <c r="K41" s="4" t="s">
        <v>15</v>
      </c>
      <c r="L41" s="4" t="s">
        <v>28</v>
      </c>
      <c r="M41" s="4" t="s">
        <v>33</v>
      </c>
      <c r="N41" s="10">
        <v>41121</v>
      </c>
      <c r="O41" s="6">
        <v>833.35400000000004</v>
      </c>
      <c r="P41" s="15">
        <f>IF(Table1[[#This Row],[Amount Spent]]&gt;3500, 3500,Table1[[#This Row],[Amount Spent]])</f>
        <v>833.35400000000004</v>
      </c>
    </row>
    <row r="42" spans="1:16" x14ac:dyDescent="0.35">
      <c r="A42" s="8">
        <v>41</v>
      </c>
      <c r="B42" s="1" t="s">
        <v>65</v>
      </c>
      <c r="C42" s="8" t="s">
        <v>61</v>
      </c>
      <c r="D42" s="8" t="s">
        <v>58</v>
      </c>
      <c r="E42" s="8" t="s">
        <v>2</v>
      </c>
      <c r="F42" s="8">
        <v>1</v>
      </c>
      <c r="G42" s="2">
        <v>51200</v>
      </c>
      <c r="H42" s="1">
        <v>0</v>
      </c>
      <c r="I42" s="8" t="s">
        <v>68</v>
      </c>
      <c r="J42" s="1">
        <v>12</v>
      </c>
      <c r="K42" s="1" t="s">
        <v>13</v>
      </c>
      <c r="L42" s="1" t="s">
        <v>46</v>
      </c>
      <c r="M42" s="1" t="s">
        <v>22</v>
      </c>
      <c r="N42" s="10">
        <v>40906</v>
      </c>
      <c r="O42" s="3">
        <v>1293.43</v>
      </c>
      <c r="P42" s="15">
        <f>IF(Table1[[#This Row],[Amount Spent]]&gt;3500, 3500,Table1[[#This Row],[Amount Spent]])</f>
        <v>1293.43</v>
      </c>
    </row>
    <row r="43" spans="1:16" x14ac:dyDescent="0.35">
      <c r="A43" s="8">
        <v>43</v>
      </c>
      <c r="B43" s="1" t="s">
        <v>64</v>
      </c>
      <c r="C43" s="8" t="s">
        <v>61</v>
      </c>
      <c r="D43" s="8" t="s">
        <v>58</v>
      </c>
      <c r="E43" s="8" t="s">
        <v>2</v>
      </c>
      <c r="F43" s="8">
        <v>1</v>
      </c>
      <c r="G43" s="2">
        <v>107300</v>
      </c>
      <c r="H43" s="1">
        <v>2</v>
      </c>
      <c r="I43" s="8" t="s">
        <v>68</v>
      </c>
      <c r="J43" s="1">
        <v>18</v>
      </c>
      <c r="K43" s="1" t="s">
        <v>12</v>
      </c>
      <c r="L43" s="1" t="s">
        <v>55</v>
      </c>
      <c r="M43" s="1" t="s">
        <v>17</v>
      </c>
      <c r="N43" s="10">
        <v>40117</v>
      </c>
      <c r="O43" s="3">
        <v>1566.222</v>
      </c>
      <c r="P43" s="15">
        <f>IF(Table1[[#This Row],[Amount Spent]]&gt;3500, 3500,Table1[[#This Row],[Amount Spent]])</f>
        <v>1566.222</v>
      </c>
    </row>
    <row r="44" spans="1:16" x14ac:dyDescent="0.35">
      <c r="A44" s="9">
        <v>44</v>
      </c>
      <c r="B44" s="4" t="s">
        <v>64</v>
      </c>
      <c r="C44" s="9" t="s">
        <v>61</v>
      </c>
      <c r="D44" s="9" t="s">
        <v>58</v>
      </c>
      <c r="E44" s="9" t="s">
        <v>2</v>
      </c>
      <c r="F44" s="9">
        <v>0</v>
      </c>
      <c r="G44" s="5">
        <v>90700</v>
      </c>
      <c r="H44" s="4">
        <v>3</v>
      </c>
      <c r="I44" s="9" t="s">
        <v>69</v>
      </c>
      <c r="J44" s="4">
        <v>24</v>
      </c>
      <c r="K44" s="4" t="s">
        <v>14</v>
      </c>
      <c r="L44" s="4" t="s">
        <v>50</v>
      </c>
      <c r="M44" s="4" t="s">
        <v>34</v>
      </c>
      <c r="N44" s="10">
        <v>40675</v>
      </c>
      <c r="O44" s="6">
        <v>2265.2979999999998</v>
      </c>
      <c r="P44" s="15">
        <f>IF(Table1[[#This Row],[Amount Spent]]&gt;3500, 3500,Table1[[#This Row],[Amount Spent]])</f>
        <v>2265.2979999999998</v>
      </c>
    </row>
    <row r="45" spans="1:16" x14ac:dyDescent="0.35">
      <c r="A45" s="8">
        <v>45</v>
      </c>
      <c r="B45" s="1" t="s">
        <v>64</v>
      </c>
      <c r="C45" s="8" t="s">
        <v>61</v>
      </c>
      <c r="D45" s="8" t="s">
        <v>58</v>
      </c>
      <c r="E45" s="8" t="s">
        <v>2</v>
      </c>
      <c r="F45" s="8">
        <v>0</v>
      </c>
      <c r="G45" s="2">
        <v>74400</v>
      </c>
      <c r="H45" s="1">
        <v>0</v>
      </c>
      <c r="I45" s="8" t="s">
        <v>69</v>
      </c>
      <c r="J45" s="1">
        <v>6</v>
      </c>
      <c r="K45" s="1" t="s">
        <v>12</v>
      </c>
      <c r="L45" s="1" t="s">
        <v>53</v>
      </c>
      <c r="M45" s="1" t="s">
        <v>19</v>
      </c>
      <c r="N45" s="10">
        <v>39852</v>
      </c>
      <c r="O45" s="3">
        <v>1892.6949999999999</v>
      </c>
      <c r="P45" s="15">
        <f>IF(Table1[[#This Row],[Amount Spent]]&gt;3500, 3500,Table1[[#This Row],[Amount Spent]])</f>
        <v>1892.6949999999999</v>
      </c>
    </row>
    <row r="46" spans="1:16" x14ac:dyDescent="0.35">
      <c r="A46" s="9">
        <v>46</v>
      </c>
      <c r="B46" s="4" t="s">
        <v>65</v>
      </c>
      <c r="C46" s="9" t="s">
        <v>61</v>
      </c>
      <c r="D46" s="9" t="s">
        <v>58</v>
      </c>
      <c r="E46" s="9" t="s">
        <v>2</v>
      </c>
      <c r="F46" s="9">
        <v>0</v>
      </c>
      <c r="G46" s="5">
        <v>15400</v>
      </c>
      <c r="H46" s="4">
        <v>0</v>
      </c>
      <c r="I46" s="9" t="s">
        <v>67</v>
      </c>
      <c r="J46" s="4">
        <v>6</v>
      </c>
      <c r="K46" s="4" t="s">
        <v>14</v>
      </c>
      <c r="L46" s="4" t="s">
        <v>49</v>
      </c>
      <c r="M46" s="4" t="s">
        <v>39</v>
      </c>
      <c r="N46" s="10">
        <v>40111</v>
      </c>
      <c r="O46" s="6">
        <v>297.29700000000003</v>
      </c>
      <c r="P46" s="15">
        <f>IF(Table1[[#This Row],[Amount Spent]]&gt;3500, 3500,Table1[[#This Row],[Amount Spent]])</f>
        <v>297.29700000000003</v>
      </c>
    </row>
    <row r="47" spans="1:16" x14ac:dyDescent="0.35">
      <c r="A47" s="8">
        <v>47</v>
      </c>
      <c r="B47" s="1" t="s">
        <v>63</v>
      </c>
      <c r="C47" s="8" t="s">
        <v>62</v>
      </c>
      <c r="D47" s="8" t="s">
        <v>66</v>
      </c>
      <c r="E47" s="8" t="s">
        <v>2</v>
      </c>
      <c r="F47" s="8">
        <v>1</v>
      </c>
      <c r="G47" s="2">
        <v>60100</v>
      </c>
      <c r="H47" s="1">
        <v>0</v>
      </c>
      <c r="I47" s="8" t="s">
        <v>8</v>
      </c>
      <c r="J47" s="1">
        <v>18</v>
      </c>
      <c r="K47" s="1" t="s">
        <v>13</v>
      </c>
      <c r="L47" s="1" t="s">
        <v>46</v>
      </c>
      <c r="M47" s="1" t="s">
        <v>22</v>
      </c>
      <c r="N47" s="10">
        <v>42188</v>
      </c>
      <c r="O47" s="3">
        <v>1593.683</v>
      </c>
      <c r="P47" s="15">
        <f>IF(Table1[[#This Row],[Amount Spent]]&gt;3500, 3500,Table1[[#This Row],[Amount Spent]])</f>
        <v>1593.683</v>
      </c>
    </row>
    <row r="48" spans="1:16" x14ac:dyDescent="0.35">
      <c r="A48" s="9">
        <v>48</v>
      </c>
      <c r="B48" s="4" t="s">
        <v>64</v>
      </c>
      <c r="C48" s="9" t="s">
        <v>62</v>
      </c>
      <c r="D48" s="9" t="s">
        <v>58</v>
      </c>
      <c r="E48" s="9" t="s">
        <v>2</v>
      </c>
      <c r="F48" s="9">
        <v>1</v>
      </c>
      <c r="G48" s="5">
        <v>81700</v>
      </c>
      <c r="H48" s="4">
        <v>3</v>
      </c>
      <c r="I48" s="9" t="s">
        <v>67</v>
      </c>
      <c r="J48" s="4">
        <v>24</v>
      </c>
      <c r="K48" s="4" t="s">
        <v>15</v>
      </c>
      <c r="L48" s="4" t="s">
        <v>52</v>
      </c>
      <c r="M48" s="4" t="s">
        <v>30</v>
      </c>
      <c r="N48" s="10">
        <v>41021</v>
      </c>
      <c r="O48" s="6">
        <v>879.43899999999996</v>
      </c>
      <c r="P48" s="15">
        <f>IF(Table1[[#This Row],[Amount Spent]]&gt;3500, 3500,Table1[[#This Row],[Amount Spent]])</f>
        <v>879.43899999999996</v>
      </c>
    </row>
    <row r="49" spans="1:16" x14ac:dyDescent="0.35">
      <c r="A49" s="8">
        <v>49</v>
      </c>
      <c r="B49" s="1" t="s">
        <v>65</v>
      </c>
      <c r="C49" s="8" t="s">
        <v>62</v>
      </c>
      <c r="D49" s="8" t="s">
        <v>58</v>
      </c>
      <c r="E49" s="8" t="s">
        <v>70</v>
      </c>
      <c r="F49" s="8">
        <v>1</v>
      </c>
      <c r="G49" s="2">
        <v>36100</v>
      </c>
      <c r="H49" s="1">
        <v>0</v>
      </c>
      <c r="I49" s="8" t="s">
        <v>68</v>
      </c>
      <c r="J49" s="1">
        <v>12</v>
      </c>
      <c r="K49" s="1" t="s">
        <v>14</v>
      </c>
      <c r="L49" s="1" t="s">
        <v>50</v>
      </c>
      <c r="M49" s="1" t="s">
        <v>34</v>
      </c>
      <c r="N49" s="10">
        <v>40200</v>
      </c>
      <c r="O49" s="3">
        <v>437.774</v>
      </c>
      <c r="P49" s="15">
        <f>IF(Table1[[#This Row],[Amount Spent]]&gt;3500, 3500,Table1[[#This Row],[Amount Spent]])</f>
        <v>437.774</v>
      </c>
    </row>
    <row r="50" spans="1:16" x14ac:dyDescent="0.35">
      <c r="A50" s="9">
        <v>50</v>
      </c>
      <c r="B50" s="4" t="s">
        <v>64</v>
      </c>
      <c r="C50" s="9" t="s">
        <v>62</v>
      </c>
      <c r="D50" s="9" t="s">
        <v>66</v>
      </c>
      <c r="E50" s="9" t="s">
        <v>70</v>
      </c>
      <c r="F50" s="9">
        <v>1</v>
      </c>
      <c r="G50" s="5">
        <v>47000</v>
      </c>
      <c r="H50" s="4">
        <v>0</v>
      </c>
      <c r="I50" s="9" t="s">
        <v>8</v>
      </c>
      <c r="J50" s="4">
        <v>6</v>
      </c>
      <c r="K50" s="4" t="s">
        <v>15</v>
      </c>
      <c r="L50" s="4" t="s">
        <v>52</v>
      </c>
      <c r="M50" s="4" t="s">
        <v>30</v>
      </c>
      <c r="N50" s="10">
        <v>42208</v>
      </c>
      <c r="O50" s="6">
        <v>962.84100000000001</v>
      </c>
      <c r="P50" s="15">
        <f>IF(Table1[[#This Row],[Amount Spent]]&gt;3500, 3500,Table1[[#This Row],[Amount Spent]])</f>
        <v>962.84100000000001</v>
      </c>
    </row>
    <row r="51" spans="1:16" x14ac:dyDescent="0.35">
      <c r="A51" s="8">
        <v>51</v>
      </c>
      <c r="B51" s="1" t="s">
        <v>64</v>
      </c>
      <c r="C51" s="8" t="s">
        <v>62</v>
      </c>
      <c r="D51" s="8" t="s">
        <v>66</v>
      </c>
      <c r="E51" s="8" t="s">
        <v>70</v>
      </c>
      <c r="F51" s="8">
        <v>1</v>
      </c>
      <c r="G51" s="2">
        <v>28200</v>
      </c>
      <c r="H51" s="1">
        <v>1</v>
      </c>
      <c r="I51" s="8" t="s">
        <v>67</v>
      </c>
      <c r="J51" s="1">
        <v>6</v>
      </c>
      <c r="K51" s="1" t="s">
        <v>15</v>
      </c>
      <c r="L51" s="1" t="s">
        <v>52</v>
      </c>
      <c r="M51" s="1" t="s">
        <v>30</v>
      </c>
      <c r="N51" s="10">
        <v>41567</v>
      </c>
      <c r="O51" s="3">
        <v>223.565</v>
      </c>
      <c r="P51" s="15">
        <f>IF(Table1[[#This Row],[Amount Spent]]&gt;3500, 3500,Table1[[#This Row],[Amount Spent]])</f>
        <v>223.565</v>
      </c>
    </row>
    <row r="52" spans="1:16" x14ac:dyDescent="0.35">
      <c r="A52" s="9">
        <v>52</v>
      </c>
      <c r="B52" s="4" t="s">
        <v>64</v>
      </c>
      <c r="C52" s="9" t="s">
        <v>61</v>
      </c>
      <c r="D52" s="9" t="s">
        <v>58</v>
      </c>
      <c r="E52" s="9" t="s">
        <v>70</v>
      </c>
      <c r="F52" s="9">
        <v>1</v>
      </c>
      <c r="G52" s="5">
        <v>56700</v>
      </c>
      <c r="H52" s="4">
        <v>2</v>
      </c>
      <c r="I52" s="9" t="s">
        <v>67</v>
      </c>
      <c r="J52" s="4">
        <v>18</v>
      </c>
      <c r="K52" s="4" t="s">
        <v>15</v>
      </c>
      <c r="L52" s="4" t="s">
        <v>44</v>
      </c>
      <c r="M52" s="4" t="s">
        <v>29</v>
      </c>
      <c r="N52" s="10">
        <v>39831</v>
      </c>
      <c r="O52" s="6">
        <v>535.60199999999998</v>
      </c>
      <c r="P52" s="15">
        <f>IF(Table1[[#This Row],[Amount Spent]]&gt;3500, 3500,Table1[[#This Row],[Amount Spent]])</f>
        <v>535.60199999999998</v>
      </c>
    </row>
    <row r="53" spans="1:16" x14ac:dyDescent="0.35">
      <c r="A53" s="8">
        <v>53</v>
      </c>
      <c r="B53" s="1" t="s">
        <v>63</v>
      </c>
      <c r="C53" s="8" t="s">
        <v>62</v>
      </c>
      <c r="D53" s="8" t="s">
        <v>66</v>
      </c>
      <c r="E53" s="8" t="s">
        <v>70</v>
      </c>
      <c r="F53" s="8">
        <v>0</v>
      </c>
      <c r="G53" s="2">
        <v>12600</v>
      </c>
      <c r="H53" s="1">
        <v>0</v>
      </c>
      <c r="I53" s="8" t="s">
        <v>67</v>
      </c>
      <c r="J53" s="1">
        <v>6</v>
      </c>
      <c r="K53" s="1" t="s">
        <v>13</v>
      </c>
      <c r="L53" s="1" t="s">
        <v>48</v>
      </c>
      <c r="M53" s="1" t="s">
        <v>27</v>
      </c>
      <c r="N53" s="10">
        <v>40830</v>
      </c>
      <c r="O53" s="3">
        <v>241.113</v>
      </c>
      <c r="P53" s="15">
        <f>IF(Table1[[#This Row],[Amount Spent]]&gt;3500, 3500,Table1[[#This Row],[Amount Spent]])</f>
        <v>241.113</v>
      </c>
    </row>
    <row r="54" spans="1:16" x14ac:dyDescent="0.35">
      <c r="A54" s="9">
        <v>54</v>
      </c>
      <c r="B54" s="4" t="s">
        <v>65</v>
      </c>
      <c r="C54" s="9" t="s">
        <v>62</v>
      </c>
      <c r="D54" s="9" t="s">
        <v>58</v>
      </c>
      <c r="E54" s="9" t="s">
        <v>2</v>
      </c>
      <c r="F54" s="9">
        <v>1</v>
      </c>
      <c r="G54" s="5">
        <v>21500</v>
      </c>
      <c r="H54" s="4">
        <v>0</v>
      </c>
      <c r="I54" s="9" t="s">
        <v>67</v>
      </c>
      <c r="J54" s="4">
        <v>18</v>
      </c>
      <c r="K54" s="4" t="s">
        <v>15</v>
      </c>
      <c r="L54" s="4" t="s">
        <v>28</v>
      </c>
      <c r="M54" s="4" t="s">
        <v>28</v>
      </c>
      <c r="N54" s="10">
        <v>40868</v>
      </c>
      <c r="O54" s="6">
        <v>444.98700000000002</v>
      </c>
      <c r="P54" s="15">
        <f>IF(Table1[[#This Row],[Amount Spent]]&gt;3500, 3500,Table1[[#This Row],[Amount Spent]])</f>
        <v>444.98700000000002</v>
      </c>
    </row>
    <row r="55" spans="1:16" x14ac:dyDescent="0.35">
      <c r="A55" s="8">
        <v>55</v>
      </c>
      <c r="B55" s="1" t="s">
        <v>64</v>
      </c>
      <c r="C55" s="8" t="s">
        <v>61</v>
      </c>
      <c r="D55" s="8" t="s">
        <v>58</v>
      </c>
      <c r="E55" s="8" t="s">
        <v>2</v>
      </c>
      <c r="F55" s="8">
        <v>0</v>
      </c>
      <c r="G55" s="2">
        <v>96800</v>
      </c>
      <c r="H55" s="1">
        <v>2</v>
      </c>
      <c r="I55" s="8" t="s">
        <v>69</v>
      </c>
      <c r="J55" s="1">
        <v>18</v>
      </c>
      <c r="K55" s="1" t="s">
        <v>13</v>
      </c>
      <c r="L55" s="1" t="s">
        <v>43</v>
      </c>
      <c r="M55" s="1" t="s">
        <v>23</v>
      </c>
      <c r="N55" s="10">
        <v>40186</v>
      </c>
      <c r="O55" s="3">
        <v>2299.4699999999998</v>
      </c>
      <c r="P55" s="15">
        <f>IF(Table1[[#This Row],[Amount Spent]]&gt;3500, 3500,Table1[[#This Row],[Amount Spent]])</f>
        <v>2299.4699999999998</v>
      </c>
    </row>
    <row r="56" spans="1:16" x14ac:dyDescent="0.35">
      <c r="A56" s="9">
        <v>56</v>
      </c>
      <c r="B56" s="4" t="s">
        <v>65</v>
      </c>
      <c r="C56" s="9" t="s">
        <v>62</v>
      </c>
      <c r="D56" s="9" t="s">
        <v>58</v>
      </c>
      <c r="E56" s="9" t="s">
        <v>70</v>
      </c>
      <c r="F56" s="9">
        <v>0</v>
      </c>
      <c r="G56" s="5">
        <v>22000</v>
      </c>
      <c r="H56" s="4">
        <v>0</v>
      </c>
      <c r="I56" s="9" t="s">
        <v>68</v>
      </c>
      <c r="J56" s="4">
        <v>12</v>
      </c>
      <c r="K56" s="4" t="s">
        <v>15</v>
      </c>
      <c r="L56" s="4" t="s">
        <v>44</v>
      </c>
      <c r="M56" s="4" t="s">
        <v>29</v>
      </c>
      <c r="N56" s="10">
        <v>40121</v>
      </c>
      <c r="O56" s="6">
        <v>736.029</v>
      </c>
      <c r="P56" s="15">
        <f>IF(Table1[[#This Row],[Amount Spent]]&gt;3500, 3500,Table1[[#This Row],[Amount Spent]])</f>
        <v>736.029</v>
      </c>
    </row>
    <row r="57" spans="1:16" x14ac:dyDescent="0.35">
      <c r="A57" s="8">
        <v>57</v>
      </c>
      <c r="B57" s="1" t="s">
        <v>64</v>
      </c>
      <c r="C57" s="8" t="s">
        <v>61</v>
      </c>
      <c r="D57" s="8" t="s">
        <v>58</v>
      </c>
      <c r="E57" s="8" t="s">
        <v>70</v>
      </c>
      <c r="F57" s="8">
        <v>1</v>
      </c>
      <c r="G57" s="2">
        <v>57600</v>
      </c>
      <c r="H57" s="1">
        <v>1</v>
      </c>
      <c r="I57" s="8" t="s">
        <v>8</v>
      </c>
      <c r="J57" s="1">
        <v>6</v>
      </c>
      <c r="K57" s="1" t="s">
        <v>14</v>
      </c>
      <c r="L57" s="1" t="s">
        <v>40</v>
      </c>
      <c r="M57" s="1" t="s">
        <v>37</v>
      </c>
      <c r="N57" s="10">
        <v>42143</v>
      </c>
      <c r="O57" s="3">
        <v>1005.577</v>
      </c>
      <c r="P57" s="15">
        <f>IF(Table1[[#This Row],[Amount Spent]]&gt;3500, 3500,Table1[[#This Row],[Amount Spent]])</f>
        <v>1005.577</v>
      </c>
    </row>
    <row r="58" spans="1:16" x14ac:dyDescent="0.35">
      <c r="A58" s="9">
        <v>58</v>
      </c>
      <c r="B58" s="4" t="s">
        <v>65</v>
      </c>
      <c r="C58" s="9" t="s">
        <v>61</v>
      </c>
      <c r="D58" s="9" t="s">
        <v>58</v>
      </c>
      <c r="E58" s="9" t="s">
        <v>70</v>
      </c>
      <c r="F58" s="9">
        <v>1</v>
      </c>
      <c r="G58" s="5">
        <v>65300</v>
      </c>
      <c r="H58" s="4">
        <v>0</v>
      </c>
      <c r="I58" s="9" t="s">
        <v>69</v>
      </c>
      <c r="J58" s="4">
        <v>18</v>
      </c>
      <c r="K58" s="4" t="s">
        <v>12</v>
      </c>
      <c r="L58" s="4" t="s">
        <v>47</v>
      </c>
      <c r="M58" s="4" t="s">
        <v>16</v>
      </c>
      <c r="N58" s="10">
        <v>40948</v>
      </c>
      <c r="O58" s="6">
        <v>1443.44</v>
      </c>
      <c r="P58" s="15">
        <f>IF(Table1[[#This Row],[Amount Spent]]&gt;3500, 3500,Table1[[#This Row],[Amount Spent]])</f>
        <v>1443.44</v>
      </c>
    </row>
    <row r="59" spans="1:16" x14ac:dyDescent="0.35">
      <c r="A59" s="8">
        <v>59</v>
      </c>
      <c r="B59" s="1" t="s">
        <v>64</v>
      </c>
      <c r="C59" s="8" t="s">
        <v>62</v>
      </c>
      <c r="D59" s="8" t="s">
        <v>58</v>
      </c>
      <c r="E59" s="8" t="s">
        <v>2</v>
      </c>
      <c r="F59" s="8">
        <v>1</v>
      </c>
      <c r="G59" s="2">
        <v>63300</v>
      </c>
      <c r="H59" s="1">
        <v>2</v>
      </c>
      <c r="I59" s="8" t="s">
        <v>68</v>
      </c>
      <c r="J59" s="1">
        <v>24</v>
      </c>
      <c r="K59" s="1" t="s">
        <v>14</v>
      </c>
      <c r="L59" s="1" t="s">
        <v>40</v>
      </c>
      <c r="M59" s="1" t="s">
        <v>37</v>
      </c>
      <c r="N59" s="10">
        <v>39953</v>
      </c>
      <c r="O59" s="3">
        <v>678.88900000000001</v>
      </c>
      <c r="P59" s="15">
        <f>IF(Table1[[#This Row],[Amount Spent]]&gt;3500, 3500,Table1[[#This Row],[Amount Spent]])</f>
        <v>678.88900000000001</v>
      </c>
    </row>
    <row r="60" spans="1:16" x14ac:dyDescent="0.35">
      <c r="A60" s="9">
        <v>60</v>
      </c>
      <c r="B60" s="4" t="s">
        <v>65</v>
      </c>
      <c r="C60" s="9" t="s">
        <v>62</v>
      </c>
      <c r="D60" s="9" t="s">
        <v>66</v>
      </c>
      <c r="E60" s="9" t="s">
        <v>2</v>
      </c>
      <c r="F60" s="9">
        <v>1</v>
      </c>
      <c r="G60" s="5">
        <v>38200</v>
      </c>
      <c r="H60" s="4">
        <v>0</v>
      </c>
      <c r="I60" s="9" t="s">
        <v>68</v>
      </c>
      <c r="J60" s="4">
        <v>6</v>
      </c>
      <c r="K60" s="4" t="s">
        <v>13</v>
      </c>
      <c r="L60" s="4" t="s">
        <v>45</v>
      </c>
      <c r="M60" s="4" t="s">
        <v>26</v>
      </c>
      <c r="N60" s="10">
        <v>41638</v>
      </c>
      <c r="O60" s="6">
        <v>526.34299999999996</v>
      </c>
      <c r="P60" s="15">
        <f>IF(Table1[[#This Row],[Amount Spent]]&gt;3500, 3500,Table1[[#This Row],[Amount Spent]])</f>
        <v>526.34299999999996</v>
      </c>
    </row>
    <row r="61" spans="1:16" x14ac:dyDescent="0.35">
      <c r="A61" s="8">
        <v>61</v>
      </c>
      <c r="B61" s="1" t="s">
        <v>63</v>
      </c>
      <c r="C61" s="8" t="s">
        <v>62</v>
      </c>
      <c r="D61" s="8" t="s">
        <v>66</v>
      </c>
      <c r="E61" s="8" t="s">
        <v>70</v>
      </c>
      <c r="F61" s="8">
        <v>1</v>
      </c>
      <c r="G61" s="2">
        <v>11000</v>
      </c>
      <c r="H61" s="1">
        <v>2</v>
      </c>
      <c r="I61" s="8" t="s">
        <v>8</v>
      </c>
      <c r="J61" s="1">
        <v>18</v>
      </c>
      <c r="K61" s="1" t="s">
        <v>15</v>
      </c>
      <c r="L61" s="1" t="s">
        <v>52</v>
      </c>
      <c r="M61" s="1" t="s">
        <v>30</v>
      </c>
      <c r="N61" s="10">
        <v>42135</v>
      </c>
      <c r="O61" s="3">
        <v>393.488</v>
      </c>
      <c r="P61" s="15">
        <f>IF(Table1[[#This Row],[Amount Spent]]&gt;3500, 3500,Table1[[#This Row],[Amount Spent]])</f>
        <v>393.488</v>
      </c>
    </row>
    <row r="62" spans="1:16" x14ac:dyDescent="0.35">
      <c r="A62" s="9">
        <v>62</v>
      </c>
      <c r="B62" s="4" t="s">
        <v>65</v>
      </c>
      <c r="C62" s="9" t="s">
        <v>62</v>
      </c>
      <c r="D62" s="9" t="s">
        <v>58</v>
      </c>
      <c r="E62" s="9" t="s">
        <v>70</v>
      </c>
      <c r="F62" s="9">
        <v>0</v>
      </c>
      <c r="G62" s="5">
        <v>24000</v>
      </c>
      <c r="H62" s="4">
        <v>1</v>
      </c>
      <c r="I62" s="9" t="s">
        <v>67</v>
      </c>
      <c r="J62" s="4">
        <v>6</v>
      </c>
      <c r="K62" s="4" t="s">
        <v>15</v>
      </c>
      <c r="L62" s="4" t="s">
        <v>42</v>
      </c>
      <c r="M62" s="4" t="s">
        <v>32</v>
      </c>
      <c r="N62" s="10">
        <v>40098</v>
      </c>
      <c r="O62" s="6">
        <v>356.89699999999999</v>
      </c>
      <c r="P62" s="15">
        <f>IF(Table1[[#This Row],[Amount Spent]]&gt;3500, 3500,Table1[[#This Row],[Amount Spent]])</f>
        <v>356.89699999999999</v>
      </c>
    </row>
    <row r="63" spans="1:16" x14ac:dyDescent="0.35">
      <c r="A63" s="8">
        <v>63</v>
      </c>
      <c r="B63" s="1" t="s">
        <v>64</v>
      </c>
      <c r="C63" s="8" t="s">
        <v>62</v>
      </c>
      <c r="D63" s="8" t="s">
        <v>58</v>
      </c>
      <c r="E63" s="8" t="s">
        <v>70</v>
      </c>
      <c r="F63" s="8">
        <v>1</v>
      </c>
      <c r="G63" s="2">
        <v>47600</v>
      </c>
      <c r="H63" s="1">
        <v>1</v>
      </c>
      <c r="I63" s="8" t="s">
        <v>68</v>
      </c>
      <c r="J63" s="1">
        <v>12</v>
      </c>
      <c r="K63" s="1" t="s">
        <v>13</v>
      </c>
      <c r="L63" s="1" t="s">
        <v>46</v>
      </c>
      <c r="M63" s="1" t="s">
        <v>22</v>
      </c>
      <c r="N63" s="10">
        <v>40845</v>
      </c>
      <c r="O63" s="3">
        <v>800.60500000000002</v>
      </c>
      <c r="P63" s="15">
        <f>IF(Table1[[#This Row],[Amount Spent]]&gt;3500, 3500,Table1[[#This Row],[Amount Spent]])</f>
        <v>800.60500000000002</v>
      </c>
    </row>
    <row r="64" spans="1:16" x14ac:dyDescent="0.35">
      <c r="A64" s="9">
        <v>64</v>
      </c>
      <c r="B64" s="4" t="s">
        <v>64</v>
      </c>
      <c r="C64" s="9" t="s">
        <v>61</v>
      </c>
      <c r="D64" s="9" t="s">
        <v>58</v>
      </c>
      <c r="E64" s="9" t="s">
        <v>2</v>
      </c>
      <c r="F64" s="9">
        <v>1</v>
      </c>
      <c r="G64" s="5">
        <v>87000</v>
      </c>
      <c r="H64" s="4">
        <v>0</v>
      </c>
      <c r="I64" s="9" t="s">
        <v>69</v>
      </c>
      <c r="J64" s="4">
        <v>24</v>
      </c>
      <c r="K64" s="4" t="s">
        <v>15</v>
      </c>
      <c r="L64" s="4" t="s">
        <v>42</v>
      </c>
      <c r="M64" s="4" t="s">
        <v>32</v>
      </c>
      <c r="N64" s="10">
        <v>41395</v>
      </c>
      <c r="O64" s="6">
        <v>1594.4590000000001</v>
      </c>
      <c r="P64" s="15">
        <f>IF(Table1[[#This Row],[Amount Spent]]&gt;3500, 3500,Table1[[#This Row],[Amount Spent]])</f>
        <v>1594.4590000000001</v>
      </c>
    </row>
    <row r="65" spans="1:16" x14ac:dyDescent="0.35">
      <c r="A65" s="8">
        <v>65</v>
      </c>
      <c r="B65" s="1" t="s">
        <v>64</v>
      </c>
      <c r="C65" s="8" t="s">
        <v>61</v>
      </c>
      <c r="D65" s="8" t="s">
        <v>66</v>
      </c>
      <c r="E65" s="8" t="s">
        <v>2</v>
      </c>
      <c r="F65" s="8">
        <v>1</v>
      </c>
      <c r="G65" s="2">
        <v>117700</v>
      </c>
      <c r="H65" s="1">
        <v>1</v>
      </c>
      <c r="I65" s="8" t="s">
        <v>69</v>
      </c>
      <c r="J65" s="1">
        <v>12</v>
      </c>
      <c r="K65" s="1" t="s">
        <v>12</v>
      </c>
      <c r="L65" s="1" t="s">
        <v>41</v>
      </c>
      <c r="M65" s="1" t="s">
        <v>20</v>
      </c>
      <c r="N65" s="10">
        <v>39957</v>
      </c>
      <c r="O65" s="3">
        <v>2103.8409999999999</v>
      </c>
      <c r="P65" s="15">
        <f>IF(Table1[[#This Row],[Amount Spent]]&gt;3500, 3500,Table1[[#This Row],[Amount Spent]])</f>
        <v>2103.8409999999999</v>
      </c>
    </row>
    <row r="66" spans="1:16" x14ac:dyDescent="0.35">
      <c r="A66" s="9">
        <v>66</v>
      </c>
      <c r="B66" s="4" t="s">
        <v>63</v>
      </c>
      <c r="C66" s="9" t="s">
        <v>62</v>
      </c>
      <c r="D66" s="9" t="s">
        <v>66</v>
      </c>
      <c r="E66" s="9" t="s">
        <v>2</v>
      </c>
      <c r="F66" s="9">
        <v>0</v>
      </c>
      <c r="G66" s="5">
        <v>30100</v>
      </c>
      <c r="H66" s="4">
        <v>0</v>
      </c>
      <c r="I66" s="9" t="s">
        <v>68</v>
      </c>
      <c r="J66" s="4">
        <v>12</v>
      </c>
      <c r="K66" s="4" t="s">
        <v>15</v>
      </c>
      <c r="L66" s="4" t="s">
        <v>42</v>
      </c>
      <c r="M66" s="4" t="s">
        <v>32</v>
      </c>
      <c r="N66" s="10">
        <v>41194</v>
      </c>
      <c r="O66" s="6">
        <v>530.26199999999994</v>
      </c>
      <c r="P66" s="15">
        <f>IF(Table1[[#This Row],[Amount Spent]]&gt;3500, 3500,Table1[[#This Row],[Amount Spent]])</f>
        <v>530.26199999999994</v>
      </c>
    </row>
    <row r="67" spans="1:16" x14ac:dyDescent="0.35">
      <c r="A67" s="8">
        <v>67</v>
      </c>
      <c r="B67" s="1" t="s">
        <v>65</v>
      </c>
      <c r="C67" s="8" t="s">
        <v>62</v>
      </c>
      <c r="D67" s="8" t="s">
        <v>58</v>
      </c>
      <c r="E67" s="8" t="s">
        <v>70</v>
      </c>
      <c r="F67" s="8">
        <v>1</v>
      </c>
      <c r="G67" s="2">
        <v>12800</v>
      </c>
      <c r="H67" s="1">
        <v>0</v>
      </c>
      <c r="I67" s="8" t="s">
        <v>8</v>
      </c>
      <c r="J67" s="1">
        <v>12</v>
      </c>
      <c r="K67" s="1" t="s">
        <v>14</v>
      </c>
      <c r="L67" s="1" t="s">
        <v>51</v>
      </c>
      <c r="M67" s="1" t="s">
        <v>38</v>
      </c>
      <c r="N67" s="10">
        <v>42058</v>
      </c>
      <c r="O67" s="3">
        <v>230.249</v>
      </c>
      <c r="P67" s="15">
        <f>IF(Table1[[#This Row],[Amount Spent]]&gt;3500, 3500,Table1[[#This Row],[Amount Spent]])</f>
        <v>230.249</v>
      </c>
    </row>
    <row r="68" spans="1:16" x14ac:dyDescent="0.35">
      <c r="A68" s="9">
        <v>68</v>
      </c>
      <c r="B68" s="4" t="s">
        <v>64</v>
      </c>
      <c r="C68" s="9" t="s">
        <v>61</v>
      </c>
      <c r="D68" s="9" t="s">
        <v>58</v>
      </c>
      <c r="E68" s="9" t="s">
        <v>70</v>
      </c>
      <c r="F68" s="9">
        <v>1</v>
      </c>
      <c r="G68" s="5">
        <v>63200</v>
      </c>
      <c r="H68" s="4">
        <v>0</v>
      </c>
      <c r="I68" s="9" t="s">
        <v>69</v>
      </c>
      <c r="J68" s="4">
        <v>24</v>
      </c>
      <c r="K68" s="4" t="s">
        <v>14</v>
      </c>
      <c r="L68" s="4" t="s">
        <v>50</v>
      </c>
      <c r="M68" s="4" t="s">
        <v>34</v>
      </c>
      <c r="N68" s="10">
        <v>39832</v>
      </c>
      <c r="O68" s="6">
        <v>1932.4469999999999</v>
      </c>
      <c r="P68" s="15">
        <f>IF(Table1[[#This Row],[Amount Spent]]&gt;3500, 3500,Table1[[#This Row],[Amount Spent]])</f>
        <v>1932.4469999999999</v>
      </c>
    </row>
    <row r="69" spans="1:16" x14ac:dyDescent="0.35">
      <c r="A69" s="8">
        <v>69</v>
      </c>
      <c r="B69" s="1" t="s">
        <v>63</v>
      </c>
      <c r="C69" s="8" t="s">
        <v>61</v>
      </c>
      <c r="D69" s="8" t="s">
        <v>66</v>
      </c>
      <c r="E69" s="8" t="s">
        <v>2</v>
      </c>
      <c r="F69" s="8">
        <v>0</v>
      </c>
      <c r="G69" s="2">
        <v>41600</v>
      </c>
      <c r="H69" s="1">
        <v>0</v>
      </c>
      <c r="I69" s="8" t="s">
        <v>69</v>
      </c>
      <c r="J69" s="1">
        <v>24</v>
      </c>
      <c r="K69" s="1" t="s">
        <v>15</v>
      </c>
      <c r="L69" s="1" t="s">
        <v>52</v>
      </c>
      <c r="M69" s="1" t="s">
        <v>31</v>
      </c>
      <c r="N69" s="10">
        <v>41031</v>
      </c>
      <c r="O69" s="3">
        <v>1690.318</v>
      </c>
      <c r="P69" s="15">
        <f>IF(Table1[[#This Row],[Amount Spent]]&gt;3500, 3500,Table1[[#This Row],[Amount Spent]])</f>
        <v>1690.318</v>
      </c>
    </row>
    <row r="70" spans="1:16" x14ac:dyDescent="0.35">
      <c r="A70" s="9">
        <v>70</v>
      </c>
      <c r="B70" s="4" t="s">
        <v>64</v>
      </c>
      <c r="C70" s="9" t="s">
        <v>61</v>
      </c>
      <c r="D70" s="9" t="s">
        <v>58</v>
      </c>
      <c r="E70" s="9" t="s">
        <v>2</v>
      </c>
      <c r="F70" s="9">
        <v>0</v>
      </c>
      <c r="G70" s="5">
        <v>75500</v>
      </c>
      <c r="H70" s="4">
        <v>0</v>
      </c>
      <c r="I70" s="9" t="s">
        <v>8</v>
      </c>
      <c r="J70" s="4">
        <v>18</v>
      </c>
      <c r="K70" s="4" t="s">
        <v>12</v>
      </c>
      <c r="L70" s="4" t="s">
        <v>47</v>
      </c>
      <c r="M70" s="4" t="s">
        <v>16</v>
      </c>
      <c r="N70" s="10">
        <v>42187</v>
      </c>
      <c r="O70" s="6">
        <v>2449.6579999999999</v>
      </c>
      <c r="P70" s="15">
        <f>IF(Table1[[#This Row],[Amount Spent]]&gt;3500, 3500,Table1[[#This Row],[Amount Spent]])</f>
        <v>2449.6579999999999</v>
      </c>
    </row>
    <row r="71" spans="1:16" x14ac:dyDescent="0.35">
      <c r="A71" s="8">
        <v>71</v>
      </c>
      <c r="B71" s="1" t="s">
        <v>65</v>
      </c>
      <c r="C71" s="8" t="s">
        <v>62</v>
      </c>
      <c r="D71" s="8" t="s">
        <v>58</v>
      </c>
      <c r="E71" s="8" t="s">
        <v>2</v>
      </c>
      <c r="F71" s="8">
        <v>1</v>
      </c>
      <c r="G71" s="2">
        <v>74900</v>
      </c>
      <c r="H71" s="1">
        <v>0</v>
      </c>
      <c r="I71" s="8" t="s">
        <v>69</v>
      </c>
      <c r="J71" s="1">
        <v>12</v>
      </c>
      <c r="K71" s="1" t="s">
        <v>12</v>
      </c>
      <c r="L71" s="1" t="s">
        <v>53</v>
      </c>
      <c r="M71" s="1" t="s">
        <v>19</v>
      </c>
      <c r="N71" s="10">
        <v>41651</v>
      </c>
      <c r="O71" s="3">
        <v>1473.961</v>
      </c>
      <c r="P71" s="15">
        <f>IF(Table1[[#This Row],[Amount Spent]]&gt;3500, 3500,Table1[[#This Row],[Amount Spent]])</f>
        <v>1473.961</v>
      </c>
    </row>
    <row r="72" spans="1:16" x14ac:dyDescent="0.35">
      <c r="A72" s="9">
        <v>72</v>
      </c>
      <c r="B72" s="4" t="s">
        <v>64</v>
      </c>
      <c r="C72" s="9" t="s">
        <v>61</v>
      </c>
      <c r="D72" s="9" t="s">
        <v>66</v>
      </c>
      <c r="E72" s="9" t="s">
        <v>2</v>
      </c>
      <c r="F72" s="9">
        <v>0</v>
      </c>
      <c r="G72" s="5">
        <v>72200</v>
      </c>
      <c r="H72" s="4">
        <v>3</v>
      </c>
      <c r="I72" s="9" t="s">
        <v>68</v>
      </c>
      <c r="J72" s="4">
        <v>18</v>
      </c>
      <c r="K72" s="4" t="s">
        <v>15</v>
      </c>
      <c r="L72" s="4" t="s">
        <v>28</v>
      </c>
      <c r="M72" s="4" t="s">
        <v>33</v>
      </c>
      <c r="N72" s="10">
        <v>41702</v>
      </c>
      <c r="O72" s="6">
        <v>1810.5640000000001</v>
      </c>
      <c r="P72" s="15">
        <f>IF(Table1[[#This Row],[Amount Spent]]&gt;3500, 3500,Table1[[#This Row],[Amount Spent]])</f>
        <v>1810.5640000000001</v>
      </c>
    </row>
    <row r="73" spans="1:16" x14ac:dyDescent="0.35">
      <c r="A73" s="8">
        <v>73</v>
      </c>
      <c r="B73" s="1" t="s">
        <v>63</v>
      </c>
      <c r="C73" s="8" t="s">
        <v>62</v>
      </c>
      <c r="D73" s="8" t="s">
        <v>66</v>
      </c>
      <c r="E73" s="8" t="s">
        <v>2</v>
      </c>
      <c r="F73" s="8">
        <v>1</v>
      </c>
      <c r="G73" s="2">
        <v>36500</v>
      </c>
      <c r="H73" s="1">
        <v>1</v>
      </c>
      <c r="I73" s="8" t="s">
        <v>8</v>
      </c>
      <c r="J73" s="1">
        <v>18</v>
      </c>
      <c r="K73" s="1" t="s">
        <v>12</v>
      </c>
      <c r="L73" s="1" t="s">
        <v>47</v>
      </c>
      <c r="M73" s="1" t="s">
        <v>18</v>
      </c>
      <c r="N73" s="10">
        <v>42141</v>
      </c>
      <c r="O73" s="3">
        <v>747.43499999999995</v>
      </c>
      <c r="P73" s="15">
        <f>IF(Table1[[#This Row],[Amount Spent]]&gt;3500, 3500,Table1[[#This Row],[Amount Spent]])</f>
        <v>747.43499999999995</v>
      </c>
    </row>
    <row r="74" spans="1:16" x14ac:dyDescent="0.35">
      <c r="A74" s="9">
        <v>74</v>
      </c>
      <c r="B74" s="4" t="s">
        <v>64</v>
      </c>
      <c r="C74" s="9" t="s">
        <v>62</v>
      </c>
      <c r="D74" s="9" t="s">
        <v>66</v>
      </c>
      <c r="E74" s="9" t="s">
        <v>2</v>
      </c>
      <c r="F74" s="9">
        <v>1</v>
      </c>
      <c r="G74" s="5">
        <v>73000</v>
      </c>
      <c r="H74" s="4">
        <v>1</v>
      </c>
      <c r="I74" s="9" t="s">
        <v>68</v>
      </c>
      <c r="J74" s="4">
        <v>6</v>
      </c>
      <c r="K74" s="4" t="s">
        <v>14</v>
      </c>
      <c r="L74" s="4" t="s">
        <v>50</v>
      </c>
      <c r="M74" s="4" t="s">
        <v>34</v>
      </c>
      <c r="N74" s="10">
        <v>40256</v>
      </c>
      <c r="O74" s="6">
        <v>489.92899999999997</v>
      </c>
      <c r="P74" s="15">
        <f>IF(Table1[[#This Row],[Amount Spent]]&gt;3500, 3500,Table1[[#This Row],[Amount Spent]])</f>
        <v>489.92899999999997</v>
      </c>
    </row>
    <row r="75" spans="1:16" x14ac:dyDescent="0.35">
      <c r="A75" s="8">
        <v>75</v>
      </c>
      <c r="B75" s="1" t="s">
        <v>65</v>
      </c>
      <c r="C75" s="8" t="s">
        <v>62</v>
      </c>
      <c r="D75" s="8" t="s">
        <v>66</v>
      </c>
      <c r="E75" s="8" t="s">
        <v>70</v>
      </c>
      <c r="F75" s="8">
        <v>0</v>
      </c>
      <c r="G75" s="2">
        <v>15100</v>
      </c>
      <c r="H75" s="1">
        <v>0</v>
      </c>
      <c r="I75" s="8" t="s">
        <v>67</v>
      </c>
      <c r="J75" s="1">
        <v>6</v>
      </c>
      <c r="K75" s="1" t="s">
        <v>13</v>
      </c>
      <c r="L75" s="1" t="s">
        <v>43</v>
      </c>
      <c r="M75" s="1" t="s">
        <v>23</v>
      </c>
      <c r="N75" s="10">
        <v>41719</v>
      </c>
      <c r="O75" s="3">
        <v>348.45600000000002</v>
      </c>
      <c r="P75" s="15">
        <f>IF(Table1[[#This Row],[Amount Spent]]&gt;3500, 3500,Table1[[#This Row],[Amount Spent]])</f>
        <v>348.45600000000002</v>
      </c>
    </row>
    <row r="76" spans="1:16" x14ac:dyDescent="0.35">
      <c r="A76" s="9">
        <v>76</v>
      </c>
      <c r="B76" s="4" t="s">
        <v>63</v>
      </c>
      <c r="C76" s="9" t="s">
        <v>62</v>
      </c>
      <c r="D76" s="9" t="s">
        <v>66</v>
      </c>
      <c r="E76" s="9" t="s">
        <v>70</v>
      </c>
      <c r="F76" s="9">
        <v>0</v>
      </c>
      <c r="G76" s="5">
        <v>19800</v>
      </c>
      <c r="H76" s="4">
        <v>1</v>
      </c>
      <c r="I76" s="9" t="s">
        <v>67</v>
      </c>
      <c r="J76" s="4">
        <v>24</v>
      </c>
      <c r="K76" s="4" t="s">
        <v>12</v>
      </c>
      <c r="L76" s="4" t="s">
        <v>54</v>
      </c>
      <c r="M76" s="4" t="s">
        <v>21</v>
      </c>
      <c r="N76" s="10">
        <v>41658</v>
      </c>
      <c r="O76" s="6">
        <v>990.52499999999998</v>
      </c>
      <c r="P76" s="15">
        <f>IF(Table1[[#This Row],[Amount Spent]]&gt;3500, 3500,Table1[[#This Row],[Amount Spent]])</f>
        <v>990.52499999999998</v>
      </c>
    </row>
    <row r="77" spans="1:16" x14ac:dyDescent="0.35">
      <c r="A77" s="8">
        <v>77</v>
      </c>
      <c r="B77" s="1" t="s">
        <v>64</v>
      </c>
      <c r="C77" s="8" t="s">
        <v>61</v>
      </c>
      <c r="D77" s="8" t="s">
        <v>58</v>
      </c>
      <c r="E77" s="8" t="s">
        <v>70</v>
      </c>
      <c r="F77" s="8">
        <v>1</v>
      </c>
      <c r="G77" s="2">
        <v>64000</v>
      </c>
      <c r="H77" s="1">
        <v>3</v>
      </c>
      <c r="I77" s="8" t="s">
        <v>67</v>
      </c>
      <c r="J77" s="1">
        <v>12</v>
      </c>
      <c r="K77" s="1" t="s">
        <v>15</v>
      </c>
      <c r="L77" s="1" t="s">
        <v>52</v>
      </c>
      <c r="M77" s="1" t="s">
        <v>30</v>
      </c>
      <c r="N77" s="10">
        <v>40446</v>
      </c>
      <c r="O77" s="3">
        <v>410.02300000000002</v>
      </c>
      <c r="P77" s="15">
        <f>IF(Table1[[#This Row],[Amount Spent]]&gt;3500, 3500,Table1[[#This Row],[Amount Spent]])</f>
        <v>410.02300000000002</v>
      </c>
    </row>
    <row r="78" spans="1:16" x14ac:dyDescent="0.35">
      <c r="A78" s="9">
        <v>78</v>
      </c>
      <c r="B78" s="4" t="s">
        <v>63</v>
      </c>
      <c r="C78" s="9" t="s">
        <v>62</v>
      </c>
      <c r="D78" s="9" t="s">
        <v>66</v>
      </c>
      <c r="E78" s="9" t="s">
        <v>2</v>
      </c>
      <c r="F78" s="9">
        <v>1</v>
      </c>
      <c r="G78" s="5">
        <v>79400</v>
      </c>
      <c r="H78" s="4">
        <v>0</v>
      </c>
      <c r="I78" s="9" t="s">
        <v>8</v>
      </c>
      <c r="J78" s="4">
        <v>6</v>
      </c>
      <c r="K78" s="4" t="s">
        <v>15</v>
      </c>
      <c r="L78" s="4" t="s">
        <v>44</v>
      </c>
      <c r="M78" s="4" t="s">
        <v>29</v>
      </c>
      <c r="N78" s="10">
        <v>42125</v>
      </c>
      <c r="O78" s="6">
        <v>1175.433</v>
      </c>
      <c r="P78" s="15">
        <f>IF(Table1[[#This Row],[Amount Spent]]&gt;3500, 3500,Table1[[#This Row],[Amount Spent]])</f>
        <v>1175.433</v>
      </c>
    </row>
    <row r="79" spans="1:16" x14ac:dyDescent="0.35">
      <c r="A79" s="8">
        <v>79</v>
      </c>
      <c r="B79" s="1" t="s">
        <v>64</v>
      </c>
      <c r="C79" s="8" t="s">
        <v>62</v>
      </c>
      <c r="D79" s="8" t="s">
        <v>58</v>
      </c>
      <c r="E79" s="8" t="s">
        <v>2</v>
      </c>
      <c r="F79" s="8">
        <v>1</v>
      </c>
      <c r="G79" s="2">
        <v>82000</v>
      </c>
      <c r="H79" s="1">
        <v>0</v>
      </c>
      <c r="I79" s="8" t="s">
        <v>69</v>
      </c>
      <c r="J79" s="1">
        <v>18</v>
      </c>
      <c r="K79" s="1" t="s">
        <v>12</v>
      </c>
      <c r="L79" s="1" t="s">
        <v>47</v>
      </c>
      <c r="M79" s="1" t="s">
        <v>16</v>
      </c>
      <c r="N79" s="10">
        <v>41449</v>
      </c>
      <c r="O79" s="3">
        <v>1799.7629999999999</v>
      </c>
      <c r="P79" s="15">
        <f>IF(Table1[[#This Row],[Amount Spent]]&gt;3500, 3500,Table1[[#This Row],[Amount Spent]])</f>
        <v>1799.7629999999999</v>
      </c>
    </row>
    <row r="80" spans="1:16" x14ac:dyDescent="0.35">
      <c r="A80" s="9">
        <v>80</v>
      </c>
      <c r="B80" s="4" t="s">
        <v>64</v>
      </c>
      <c r="C80" s="9" t="s">
        <v>62</v>
      </c>
      <c r="D80" s="9" t="s">
        <v>66</v>
      </c>
      <c r="E80" s="9" t="s">
        <v>2</v>
      </c>
      <c r="F80" s="9">
        <v>1</v>
      </c>
      <c r="G80" s="5">
        <v>63500</v>
      </c>
      <c r="H80" s="4">
        <v>1</v>
      </c>
      <c r="I80" s="9" t="s">
        <v>68</v>
      </c>
      <c r="J80" s="4">
        <v>18</v>
      </c>
      <c r="K80" s="4" t="s">
        <v>12</v>
      </c>
      <c r="L80" s="4" t="s">
        <v>47</v>
      </c>
      <c r="M80" s="4" t="s">
        <v>16</v>
      </c>
      <c r="N80" s="10">
        <v>40772</v>
      </c>
      <c r="O80" s="6">
        <v>1023.379</v>
      </c>
      <c r="P80" s="15">
        <f>IF(Table1[[#This Row],[Amount Spent]]&gt;3500, 3500,Table1[[#This Row],[Amount Spent]])</f>
        <v>1023.379</v>
      </c>
    </row>
    <row r="81" spans="1:16" x14ac:dyDescent="0.35">
      <c r="A81" s="8">
        <v>81</v>
      </c>
      <c r="B81" s="1" t="s">
        <v>65</v>
      </c>
      <c r="C81" s="8" t="s">
        <v>62</v>
      </c>
      <c r="D81" s="8" t="s">
        <v>58</v>
      </c>
      <c r="E81" s="8" t="s">
        <v>2</v>
      </c>
      <c r="F81" s="8">
        <v>1</v>
      </c>
      <c r="G81" s="2">
        <v>118000</v>
      </c>
      <c r="H81" s="1">
        <v>3</v>
      </c>
      <c r="I81" s="8" t="s">
        <v>67</v>
      </c>
      <c r="J81" s="1">
        <v>12</v>
      </c>
      <c r="K81" s="1" t="s">
        <v>14</v>
      </c>
      <c r="L81" s="1" t="s">
        <v>51</v>
      </c>
      <c r="M81" s="1" t="s">
        <v>38</v>
      </c>
      <c r="N81" s="10">
        <v>42012</v>
      </c>
      <c r="O81" s="3">
        <v>581.20500000000004</v>
      </c>
      <c r="P81" s="15">
        <f>IF(Table1[[#This Row],[Amount Spent]]&gt;3500, 3500,Table1[[#This Row],[Amount Spent]])</f>
        <v>581.20500000000004</v>
      </c>
    </row>
    <row r="82" spans="1:16" x14ac:dyDescent="0.35">
      <c r="A82" s="9">
        <v>82</v>
      </c>
      <c r="B82" s="4" t="s">
        <v>63</v>
      </c>
      <c r="C82" s="9" t="s">
        <v>62</v>
      </c>
      <c r="D82" s="9" t="s">
        <v>66</v>
      </c>
      <c r="E82" s="9" t="s">
        <v>70</v>
      </c>
      <c r="F82" s="9">
        <v>1</v>
      </c>
      <c r="G82" s="5">
        <v>13300</v>
      </c>
      <c r="H82" s="4">
        <v>1</v>
      </c>
      <c r="I82" s="9" t="s">
        <v>8</v>
      </c>
      <c r="J82" s="4">
        <v>6</v>
      </c>
      <c r="K82" s="4" t="s">
        <v>15</v>
      </c>
      <c r="L82" s="4" t="s">
        <v>52</v>
      </c>
      <c r="M82" s="4" t="s">
        <v>31</v>
      </c>
      <c r="N82" s="10">
        <v>42144</v>
      </c>
      <c r="O82" s="6">
        <v>235.80799999999999</v>
      </c>
      <c r="P82" s="15">
        <f>IF(Table1[[#This Row],[Amount Spent]]&gt;3500, 3500,Table1[[#This Row],[Amount Spent]])</f>
        <v>235.80799999999999</v>
      </c>
    </row>
    <row r="83" spans="1:16" x14ac:dyDescent="0.35">
      <c r="A83" s="8">
        <v>83</v>
      </c>
      <c r="B83" s="1" t="s">
        <v>64</v>
      </c>
      <c r="C83" s="8" t="s">
        <v>61</v>
      </c>
      <c r="D83" s="8" t="s">
        <v>66</v>
      </c>
      <c r="E83" s="8" t="s">
        <v>70</v>
      </c>
      <c r="F83" s="8">
        <v>0</v>
      </c>
      <c r="G83" s="2">
        <v>45100</v>
      </c>
      <c r="H83" s="1">
        <v>1</v>
      </c>
      <c r="I83" s="8" t="s">
        <v>68</v>
      </c>
      <c r="J83" s="1">
        <v>12</v>
      </c>
      <c r="K83" s="1" t="s">
        <v>14</v>
      </c>
      <c r="L83" s="1" t="s">
        <v>40</v>
      </c>
      <c r="M83" s="1" t="s">
        <v>37</v>
      </c>
      <c r="N83" s="10">
        <v>42093</v>
      </c>
      <c r="O83" s="3">
        <v>793.74</v>
      </c>
      <c r="P83" s="15">
        <f>IF(Table1[[#This Row],[Amount Spent]]&gt;3500, 3500,Table1[[#This Row],[Amount Spent]])</f>
        <v>793.74</v>
      </c>
    </row>
    <row r="84" spans="1:16" x14ac:dyDescent="0.35">
      <c r="A84" s="9">
        <v>84</v>
      </c>
      <c r="B84" s="4" t="s">
        <v>65</v>
      </c>
      <c r="C84" s="9" t="s">
        <v>61</v>
      </c>
      <c r="D84" s="9" t="s">
        <v>58</v>
      </c>
      <c r="E84" s="9" t="s">
        <v>2</v>
      </c>
      <c r="F84" s="9">
        <v>1</v>
      </c>
      <c r="G84" s="5">
        <v>45900</v>
      </c>
      <c r="H84" s="4">
        <v>0</v>
      </c>
      <c r="I84" s="9" t="s">
        <v>68</v>
      </c>
      <c r="J84" s="4">
        <v>24</v>
      </c>
      <c r="K84" s="4" t="s">
        <v>14</v>
      </c>
      <c r="L84" s="4" t="s">
        <v>49</v>
      </c>
      <c r="M84" s="4" t="s">
        <v>39</v>
      </c>
      <c r="N84" s="10">
        <v>40569</v>
      </c>
      <c r="O84" s="6">
        <v>1645.453</v>
      </c>
      <c r="P84" s="15">
        <f>IF(Table1[[#This Row],[Amount Spent]]&gt;3500, 3500,Table1[[#This Row],[Amount Spent]])</f>
        <v>1645.453</v>
      </c>
    </row>
    <row r="85" spans="1:16" x14ac:dyDescent="0.35">
      <c r="A85" s="8">
        <v>85</v>
      </c>
      <c r="B85" s="1" t="s">
        <v>64</v>
      </c>
      <c r="C85" s="8" t="s">
        <v>62</v>
      </c>
      <c r="D85" s="8" t="s">
        <v>58</v>
      </c>
      <c r="E85" s="8" t="s">
        <v>70</v>
      </c>
      <c r="F85" s="8">
        <v>1</v>
      </c>
      <c r="G85" s="2">
        <v>43900</v>
      </c>
      <c r="H85" s="1">
        <v>2</v>
      </c>
      <c r="I85" s="8" t="s">
        <v>67</v>
      </c>
      <c r="J85" s="1">
        <v>6</v>
      </c>
      <c r="K85" s="1" t="s">
        <v>12</v>
      </c>
      <c r="L85" s="1" t="s">
        <v>41</v>
      </c>
      <c r="M85" s="1" t="s">
        <v>20</v>
      </c>
      <c r="N85" s="10">
        <v>40647</v>
      </c>
      <c r="O85" s="3">
        <v>357.50400000000002</v>
      </c>
      <c r="P85" s="15">
        <f>IF(Table1[[#This Row],[Amount Spent]]&gt;3500, 3500,Table1[[#This Row],[Amount Spent]])</f>
        <v>357.50400000000002</v>
      </c>
    </row>
    <row r="86" spans="1:16" x14ac:dyDescent="0.35">
      <c r="A86" s="9">
        <v>86</v>
      </c>
      <c r="B86" s="4" t="s">
        <v>65</v>
      </c>
      <c r="C86" s="9" t="s">
        <v>62</v>
      </c>
      <c r="D86" s="9" t="s">
        <v>58</v>
      </c>
      <c r="E86" s="9" t="s">
        <v>2</v>
      </c>
      <c r="F86" s="9">
        <v>0</v>
      </c>
      <c r="G86" s="5">
        <v>110000</v>
      </c>
      <c r="H86" s="4">
        <v>0</v>
      </c>
      <c r="I86" s="9" t="s">
        <v>69</v>
      </c>
      <c r="J86" s="4">
        <v>24</v>
      </c>
      <c r="K86" s="4" t="s">
        <v>15</v>
      </c>
      <c r="L86" s="4" t="s">
        <v>42</v>
      </c>
      <c r="M86" s="4" t="s">
        <v>32</v>
      </c>
      <c r="N86" s="10">
        <v>40452</v>
      </c>
      <c r="O86" s="6">
        <v>5564.1270000000004</v>
      </c>
      <c r="P86" s="15">
        <f>IF(Table1[[#This Row],[Amount Spent]]&gt;3500, 3500,Table1[[#This Row],[Amount Spent]])</f>
        <v>3500</v>
      </c>
    </row>
    <row r="87" spans="1:16" x14ac:dyDescent="0.35">
      <c r="A87" s="8">
        <v>87</v>
      </c>
      <c r="B87" s="1" t="s">
        <v>64</v>
      </c>
      <c r="C87" s="8" t="s">
        <v>61</v>
      </c>
      <c r="D87" s="8" t="s">
        <v>66</v>
      </c>
      <c r="E87" s="8" t="s">
        <v>70</v>
      </c>
      <c r="F87" s="8">
        <v>1</v>
      </c>
      <c r="G87" s="2">
        <v>63000</v>
      </c>
      <c r="H87" s="1">
        <v>0</v>
      </c>
      <c r="I87" s="8" t="s">
        <v>69</v>
      </c>
      <c r="J87" s="1">
        <v>24</v>
      </c>
      <c r="K87" s="1" t="s">
        <v>15</v>
      </c>
      <c r="L87" s="1" t="s">
        <v>42</v>
      </c>
      <c r="M87" s="1" t="s">
        <v>32</v>
      </c>
      <c r="N87" s="10">
        <v>40901</v>
      </c>
      <c r="O87" s="3">
        <v>1909.597</v>
      </c>
      <c r="P87" s="15">
        <f>IF(Table1[[#This Row],[Amount Spent]]&gt;3500, 3500,Table1[[#This Row],[Amount Spent]])</f>
        <v>1909.597</v>
      </c>
    </row>
    <row r="88" spans="1:16" x14ac:dyDescent="0.35">
      <c r="A88" s="9">
        <v>88</v>
      </c>
      <c r="B88" s="4" t="s">
        <v>64</v>
      </c>
      <c r="C88" s="9" t="s">
        <v>61</v>
      </c>
      <c r="D88" s="9" t="s">
        <v>66</v>
      </c>
      <c r="E88" s="9" t="s">
        <v>70</v>
      </c>
      <c r="F88" s="9">
        <v>1</v>
      </c>
      <c r="G88" s="5">
        <v>61800</v>
      </c>
      <c r="H88" s="4">
        <v>0</v>
      </c>
      <c r="I88" s="9" t="s">
        <v>69</v>
      </c>
      <c r="J88" s="4">
        <v>24</v>
      </c>
      <c r="K88" s="4" t="s">
        <v>14</v>
      </c>
      <c r="L88" s="4" t="s">
        <v>49</v>
      </c>
      <c r="M88" s="4" t="s">
        <v>39</v>
      </c>
      <c r="N88" s="10">
        <v>41990</v>
      </c>
      <c r="O88" s="6">
        <v>1155.684</v>
      </c>
      <c r="P88" s="15">
        <f>IF(Table1[[#This Row],[Amount Spent]]&gt;3500, 3500,Table1[[#This Row],[Amount Spent]])</f>
        <v>1155.684</v>
      </c>
    </row>
    <row r="89" spans="1:16" x14ac:dyDescent="0.35">
      <c r="A89" s="8">
        <v>89</v>
      </c>
      <c r="B89" s="1" t="s">
        <v>64</v>
      </c>
      <c r="C89" s="8" t="s">
        <v>62</v>
      </c>
      <c r="D89" s="8" t="s">
        <v>66</v>
      </c>
      <c r="E89" s="8" t="s">
        <v>2</v>
      </c>
      <c r="F89" s="8">
        <v>1</v>
      </c>
      <c r="G89" s="2">
        <v>53300</v>
      </c>
      <c r="H89" s="1">
        <v>0</v>
      </c>
      <c r="I89" s="8" t="s">
        <v>68</v>
      </c>
      <c r="J89" s="1">
        <v>24</v>
      </c>
      <c r="K89" s="1" t="s">
        <v>13</v>
      </c>
      <c r="L89" s="1" t="s">
        <v>42</v>
      </c>
      <c r="M89" s="1" t="s">
        <v>25</v>
      </c>
      <c r="N89" s="10">
        <v>42200</v>
      </c>
      <c r="O89" s="3">
        <v>1597.8409999999999</v>
      </c>
      <c r="P89" s="15">
        <f>IF(Table1[[#This Row],[Amount Spent]]&gt;3500, 3500,Table1[[#This Row],[Amount Spent]])</f>
        <v>1597.8409999999999</v>
      </c>
    </row>
    <row r="90" spans="1:16" x14ac:dyDescent="0.35">
      <c r="A90" s="9">
        <v>90</v>
      </c>
      <c r="B90" s="4" t="s">
        <v>63</v>
      </c>
      <c r="C90" s="9" t="s">
        <v>62</v>
      </c>
      <c r="D90" s="9" t="s">
        <v>66</v>
      </c>
      <c r="E90" s="9" t="s">
        <v>2</v>
      </c>
      <c r="F90" s="9">
        <v>1</v>
      </c>
      <c r="G90" s="5">
        <v>42000</v>
      </c>
      <c r="H90" s="4">
        <v>3</v>
      </c>
      <c r="I90" s="9" t="s">
        <v>67</v>
      </c>
      <c r="J90" s="4">
        <v>6</v>
      </c>
      <c r="K90" s="4" t="s">
        <v>12</v>
      </c>
      <c r="L90" s="4" t="s">
        <v>55</v>
      </c>
      <c r="M90" s="4" t="s">
        <v>17</v>
      </c>
      <c r="N90" s="10">
        <v>41043</v>
      </c>
      <c r="O90" s="6">
        <v>105.176</v>
      </c>
      <c r="P90" s="15">
        <f>IF(Table1[[#This Row],[Amount Spent]]&gt;3500, 3500,Table1[[#This Row],[Amount Spent]])</f>
        <v>105.176</v>
      </c>
    </row>
    <row r="91" spans="1:16" x14ac:dyDescent="0.35">
      <c r="A91" s="8">
        <v>91</v>
      </c>
      <c r="B91" s="1" t="s">
        <v>63</v>
      </c>
      <c r="C91" s="8" t="s">
        <v>62</v>
      </c>
      <c r="D91" s="8" t="s">
        <v>58</v>
      </c>
      <c r="E91" s="8" t="s">
        <v>70</v>
      </c>
      <c r="F91" s="8">
        <v>1</v>
      </c>
      <c r="G91" s="2">
        <v>25900</v>
      </c>
      <c r="H91" s="1">
        <v>2</v>
      </c>
      <c r="I91" s="8" t="s">
        <v>8</v>
      </c>
      <c r="J91" s="1">
        <v>12</v>
      </c>
      <c r="K91" s="1" t="s">
        <v>13</v>
      </c>
      <c r="L91" s="1" t="s">
        <v>43</v>
      </c>
      <c r="M91" s="1" t="s">
        <v>23</v>
      </c>
      <c r="N91" s="10">
        <v>42091</v>
      </c>
      <c r="O91" s="3">
        <v>449.19499999999999</v>
      </c>
      <c r="P91" s="15">
        <f>IF(Table1[[#This Row],[Amount Spent]]&gt;3500, 3500,Table1[[#This Row],[Amount Spent]])</f>
        <v>449.19499999999999</v>
      </c>
    </row>
    <row r="92" spans="1:16" x14ac:dyDescent="0.35">
      <c r="A92" s="9">
        <v>92</v>
      </c>
      <c r="B92" s="4" t="s">
        <v>63</v>
      </c>
      <c r="C92" s="9" t="s">
        <v>61</v>
      </c>
      <c r="D92" s="9" t="s">
        <v>66</v>
      </c>
      <c r="E92" s="9" t="s">
        <v>2</v>
      </c>
      <c r="F92" s="9">
        <v>0</v>
      </c>
      <c r="G92" s="5">
        <v>20200</v>
      </c>
      <c r="H92" s="4">
        <v>1</v>
      </c>
      <c r="I92" s="9" t="s">
        <v>67</v>
      </c>
      <c r="J92" s="4">
        <v>24</v>
      </c>
      <c r="K92" s="4" t="s">
        <v>15</v>
      </c>
      <c r="L92" s="4" t="s">
        <v>28</v>
      </c>
      <c r="M92" s="4" t="s">
        <v>33</v>
      </c>
      <c r="N92" s="10">
        <v>41257</v>
      </c>
      <c r="O92" s="6">
        <v>499.66500000000002</v>
      </c>
      <c r="P92" s="15">
        <f>IF(Table1[[#This Row],[Amount Spent]]&gt;3500, 3500,Table1[[#This Row],[Amount Spent]])</f>
        <v>499.66500000000002</v>
      </c>
    </row>
    <row r="93" spans="1:16" x14ac:dyDescent="0.35">
      <c r="A93" s="8">
        <v>93</v>
      </c>
      <c r="B93" s="1" t="s">
        <v>64</v>
      </c>
      <c r="C93" s="8" t="s">
        <v>62</v>
      </c>
      <c r="D93" s="8" t="s">
        <v>66</v>
      </c>
      <c r="E93" s="8" t="s">
        <v>70</v>
      </c>
      <c r="F93" s="8">
        <v>1</v>
      </c>
      <c r="G93" s="2">
        <v>46600</v>
      </c>
      <c r="H93" s="1">
        <v>0</v>
      </c>
      <c r="I93" s="8" t="s">
        <v>8</v>
      </c>
      <c r="J93" s="1">
        <v>12</v>
      </c>
      <c r="K93" s="1" t="s">
        <v>14</v>
      </c>
      <c r="L93" s="1" t="s">
        <v>40</v>
      </c>
      <c r="M93" s="1" t="s">
        <v>36</v>
      </c>
      <c r="N93" s="10">
        <v>42098</v>
      </c>
      <c r="O93" s="3">
        <v>546.41800000000001</v>
      </c>
      <c r="P93" s="15">
        <f>IF(Table1[[#This Row],[Amount Spent]]&gt;3500, 3500,Table1[[#This Row],[Amount Spent]])</f>
        <v>546.41800000000001</v>
      </c>
    </row>
    <row r="94" spans="1:16" x14ac:dyDescent="0.35">
      <c r="A94" s="9">
        <v>94</v>
      </c>
      <c r="B94" s="4" t="s">
        <v>63</v>
      </c>
      <c r="C94" s="9" t="s">
        <v>61</v>
      </c>
      <c r="D94" s="9" t="s">
        <v>66</v>
      </c>
      <c r="E94" s="9" t="s">
        <v>70</v>
      </c>
      <c r="F94" s="9">
        <v>1</v>
      </c>
      <c r="G94" s="5">
        <v>18700</v>
      </c>
      <c r="H94" s="4">
        <v>0</v>
      </c>
      <c r="I94" s="9" t="s">
        <v>67</v>
      </c>
      <c r="J94" s="4">
        <v>12</v>
      </c>
      <c r="K94" s="4" t="s">
        <v>14</v>
      </c>
      <c r="L94" s="4" t="s">
        <v>51</v>
      </c>
      <c r="M94" s="4" t="s">
        <v>38</v>
      </c>
      <c r="N94" s="10">
        <v>41024</v>
      </c>
      <c r="O94" s="6">
        <v>288.887</v>
      </c>
      <c r="P94" s="15">
        <f>IF(Table1[[#This Row],[Amount Spent]]&gt;3500, 3500,Table1[[#This Row],[Amount Spent]])</f>
        <v>288.887</v>
      </c>
    </row>
    <row r="95" spans="1:16" x14ac:dyDescent="0.35">
      <c r="A95" s="8">
        <v>95</v>
      </c>
      <c r="B95" s="1" t="s">
        <v>65</v>
      </c>
      <c r="C95" s="8" t="s">
        <v>61</v>
      </c>
      <c r="D95" s="8" t="s">
        <v>58</v>
      </c>
      <c r="E95" s="8" t="s">
        <v>70</v>
      </c>
      <c r="F95" s="8">
        <v>1</v>
      </c>
      <c r="G95" s="2">
        <v>45700</v>
      </c>
      <c r="H95" s="1">
        <v>0</v>
      </c>
      <c r="I95" s="8" t="s">
        <v>68</v>
      </c>
      <c r="J95" s="1">
        <v>18</v>
      </c>
      <c r="K95" s="1" t="s">
        <v>13</v>
      </c>
      <c r="L95" s="1" t="s">
        <v>56</v>
      </c>
      <c r="M95" s="1" t="s">
        <v>24</v>
      </c>
      <c r="N95" s="10">
        <v>40912</v>
      </c>
      <c r="O95" s="3">
        <v>724.17200000000003</v>
      </c>
      <c r="P95" s="15">
        <f>IF(Table1[[#This Row],[Amount Spent]]&gt;3500, 3500,Table1[[#This Row],[Amount Spent]])</f>
        <v>724.17200000000003</v>
      </c>
    </row>
    <row r="96" spans="1:16" x14ac:dyDescent="0.35">
      <c r="A96" s="9">
        <v>96</v>
      </c>
      <c r="B96" s="4" t="s">
        <v>63</v>
      </c>
      <c r="C96" s="9" t="s">
        <v>62</v>
      </c>
      <c r="D96" s="9" t="s">
        <v>58</v>
      </c>
      <c r="E96" s="9" t="s">
        <v>70</v>
      </c>
      <c r="F96" s="9">
        <v>1</v>
      </c>
      <c r="G96" s="5">
        <v>32600</v>
      </c>
      <c r="H96" s="4">
        <v>3</v>
      </c>
      <c r="I96" s="9" t="s">
        <v>67</v>
      </c>
      <c r="J96" s="4">
        <v>12</v>
      </c>
      <c r="K96" s="4" t="s">
        <v>14</v>
      </c>
      <c r="L96" s="4" t="s">
        <v>51</v>
      </c>
      <c r="M96" s="4" t="s">
        <v>38</v>
      </c>
      <c r="N96" s="10">
        <v>40993</v>
      </c>
      <c r="O96" s="6">
        <v>172.315</v>
      </c>
      <c r="P96" s="15">
        <f>IF(Table1[[#This Row],[Amount Spent]]&gt;3500, 3500,Table1[[#This Row],[Amount Spent]])</f>
        <v>172.315</v>
      </c>
    </row>
    <row r="97" spans="1:16" x14ac:dyDescent="0.35">
      <c r="A97" s="8">
        <v>97</v>
      </c>
      <c r="B97" s="1" t="s">
        <v>64</v>
      </c>
      <c r="C97" s="8" t="s">
        <v>61</v>
      </c>
      <c r="D97" s="8" t="s">
        <v>58</v>
      </c>
      <c r="E97" s="8" t="s">
        <v>2</v>
      </c>
      <c r="F97" s="8">
        <v>1</v>
      </c>
      <c r="G97" s="2">
        <v>96100</v>
      </c>
      <c r="H97" s="1">
        <v>0</v>
      </c>
      <c r="I97" s="8" t="s">
        <v>69</v>
      </c>
      <c r="J97" s="1">
        <v>6</v>
      </c>
      <c r="K97" s="1" t="s">
        <v>14</v>
      </c>
      <c r="L97" s="1" t="s">
        <v>50</v>
      </c>
      <c r="M97" s="1" t="s">
        <v>34</v>
      </c>
      <c r="N97" s="10">
        <v>41791</v>
      </c>
      <c r="O97" s="3">
        <v>1588.377</v>
      </c>
      <c r="P97" s="15">
        <f>IF(Table1[[#This Row],[Amount Spent]]&gt;3500, 3500,Table1[[#This Row],[Amount Spent]])</f>
        <v>1588.377</v>
      </c>
    </row>
    <row r="98" spans="1:16" x14ac:dyDescent="0.35">
      <c r="A98" s="9">
        <v>98</v>
      </c>
      <c r="B98" s="4" t="s">
        <v>63</v>
      </c>
      <c r="C98" s="9" t="s">
        <v>62</v>
      </c>
      <c r="D98" s="9" t="s">
        <v>66</v>
      </c>
      <c r="E98" s="9" t="s">
        <v>70</v>
      </c>
      <c r="F98" s="9">
        <v>0</v>
      </c>
      <c r="G98" s="5">
        <v>14400</v>
      </c>
      <c r="H98" s="4">
        <v>1</v>
      </c>
      <c r="I98" s="9" t="s">
        <v>67</v>
      </c>
      <c r="J98" s="4">
        <v>6</v>
      </c>
      <c r="K98" s="4" t="s">
        <v>15</v>
      </c>
      <c r="L98" s="4" t="s">
        <v>28</v>
      </c>
      <c r="M98" s="4" t="s">
        <v>33</v>
      </c>
      <c r="N98" s="10">
        <v>40372</v>
      </c>
      <c r="O98" s="6">
        <v>389.86399999999998</v>
      </c>
      <c r="P98" s="15">
        <f>IF(Table1[[#This Row],[Amount Spent]]&gt;3500, 3500,Table1[[#This Row],[Amount Spent]])</f>
        <v>389.86399999999998</v>
      </c>
    </row>
    <row r="99" spans="1:16" x14ac:dyDescent="0.35">
      <c r="A99" s="8">
        <v>99</v>
      </c>
      <c r="B99" s="1" t="s">
        <v>64</v>
      </c>
      <c r="C99" s="8" t="s">
        <v>61</v>
      </c>
      <c r="D99" s="8" t="s">
        <v>66</v>
      </c>
      <c r="E99" s="8" t="s">
        <v>70</v>
      </c>
      <c r="F99" s="8">
        <v>1</v>
      </c>
      <c r="G99" s="2">
        <v>54200</v>
      </c>
      <c r="H99" s="1">
        <v>0</v>
      </c>
      <c r="I99" s="8" t="s">
        <v>8</v>
      </c>
      <c r="J99" s="1">
        <v>18</v>
      </c>
      <c r="K99" s="1" t="s">
        <v>14</v>
      </c>
      <c r="L99" s="1" t="s">
        <v>50</v>
      </c>
      <c r="M99" s="1" t="s">
        <v>34</v>
      </c>
      <c r="N99" s="10">
        <v>42086</v>
      </c>
      <c r="O99" s="3">
        <v>1405.1890000000001</v>
      </c>
      <c r="P99" s="15">
        <f>IF(Table1[[#This Row],[Amount Spent]]&gt;3500, 3500,Table1[[#This Row],[Amount Spent]])</f>
        <v>1405.1890000000001</v>
      </c>
    </row>
    <row r="100" spans="1:16" x14ac:dyDescent="0.35">
      <c r="A100" s="9">
        <v>100</v>
      </c>
      <c r="B100" s="4" t="s">
        <v>64</v>
      </c>
      <c r="C100" s="9" t="s">
        <v>62</v>
      </c>
      <c r="D100" s="9" t="s">
        <v>58</v>
      </c>
      <c r="E100" s="9" t="s">
        <v>2</v>
      </c>
      <c r="F100" s="9">
        <v>0</v>
      </c>
      <c r="G100" s="5">
        <v>80600</v>
      </c>
      <c r="H100" s="4">
        <v>0</v>
      </c>
      <c r="I100" s="9" t="s">
        <v>69</v>
      </c>
      <c r="J100" s="4">
        <v>24</v>
      </c>
      <c r="K100" s="4" t="s">
        <v>15</v>
      </c>
      <c r="L100" s="4" t="s">
        <v>52</v>
      </c>
      <c r="M100" s="4" t="s">
        <v>31</v>
      </c>
      <c r="N100" s="10">
        <v>40931</v>
      </c>
      <c r="O100" s="6">
        <v>2839.63</v>
      </c>
      <c r="P100" s="15">
        <f>IF(Table1[[#This Row],[Amount Spent]]&gt;3500, 3500,Table1[[#This Row],[Amount Spent]])</f>
        <v>2839.63</v>
      </c>
    </row>
    <row r="101" spans="1:16" x14ac:dyDescent="0.35">
      <c r="A101" s="8">
        <v>101</v>
      </c>
      <c r="B101" s="1" t="s">
        <v>64</v>
      </c>
      <c r="C101" s="8" t="s">
        <v>62</v>
      </c>
      <c r="D101" s="8" t="s">
        <v>58</v>
      </c>
      <c r="E101" s="8" t="s">
        <v>2</v>
      </c>
      <c r="F101" s="8">
        <v>1</v>
      </c>
      <c r="G101" s="2">
        <v>48900</v>
      </c>
      <c r="H101" s="1">
        <v>3</v>
      </c>
      <c r="I101" s="8" t="s">
        <v>8</v>
      </c>
      <c r="J101" s="1">
        <v>18</v>
      </c>
      <c r="K101" s="1" t="s">
        <v>15</v>
      </c>
      <c r="L101" s="1" t="s">
        <v>52</v>
      </c>
      <c r="M101" s="1" t="s">
        <v>30</v>
      </c>
      <c r="N101" s="10">
        <v>42183</v>
      </c>
      <c r="O101" s="3">
        <v>914.94600000000003</v>
      </c>
      <c r="P101" s="15">
        <f>IF(Table1[[#This Row],[Amount Spent]]&gt;3500, 3500,Table1[[#This Row],[Amount Spent]])</f>
        <v>914.94600000000003</v>
      </c>
    </row>
    <row r="102" spans="1:16" x14ac:dyDescent="0.35">
      <c r="A102" s="9">
        <v>102</v>
      </c>
      <c r="B102" s="4" t="s">
        <v>65</v>
      </c>
      <c r="C102" s="9" t="s">
        <v>62</v>
      </c>
      <c r="D102" s="9" t="s">
        <v>58</v>
      </c>
      <c r="E102" s="9" t="s">
        <v>70</v>
      </c>
      <c r="F102" s="9">
        <v>1</v>
      </c>
      <c r="G102" s="5">
        <v>30300</v>
      </c>
      <c r="H102" s="4">
        <v>0</v>
      </c>
      <c r="I102" s="9" t="s">
        <v>67</v>
      </c>
      <c r="J102" s="4">
        <v>18</v>
      </c>
      <c r="K102" s="4" t="s">
        <v>14</v>
      </c>
      <c r="L102" s="4" t="s">
        <v>49</v>
      </c>
      <c r="M102" s="4" t="s">
        <v>39</v>
      </c>
      <c r="N102" s="10">
        <v>41231</v>
      </c>
      <c r="O102" s="6">
        <v>1061.9000000000001</v>
      </c>
      <c r="P102" s="15">
        <f>IF(Table1[[#This Row],[Amount Spent]]&gt;3500, 3500,Table1[[#This Row],[Amount Spent]])</f>
        <v>1061.9000000000001</v>
      </c>
    </row>
    <row r="103" spans="1:16" x14ac:dyDescent="0.35">
      <c r="A103" s="8">
        <v>103</v>
      </c>
      <c r="B103" s="1" t="s">
        <v>65</v>
      </c>
      <c r="C103" s="8" t="s">
        <v>61</v>
      </c>
      <c r="D103" s="8" t="s">
        <v>58</v>
      </c>
      <c r="E103" s="8" t="s">
        <v>2</v>
      </c>
      <c r="F103" s="8">
        <v>1</v>
      </c>
      <c r="G103" s="2">
        <v>124900</v>
      </c>
      <c r="H103" s="1">
        <v>0</v>
      </c>
      <c r="I103" s="8" t="s">
        <v>69</v>
      </c>
      <c r="J103" s="1">
        <v>18</v>
      </c>
      <c r="K103" s="1" t="s">
        <v>12</v>
      </c>
      <c r="L103" s="1" t="s">
        <v>54</v>
      </c>
      <c r="M103" s="1" t="s">
        <v>21</v>
      </c>
      <c r="N103" s="10">
        <v>42148</v>
      </c>
      <c r="O103" s="3">
        <v>4108.9679999999998</v>
      </c>
      <c r="P103" s="15">
        <f>IF(Table1[[#This Row],[Amount Spent]]&gt;3500, 3500,Table1[[#This Row],[Amount Spent]])</f>
        <v>3500</v>
      </c>
    </row>
    <row r="104" spans="1:16" x14ac:dyDescent="0.35">
      <c r="A104" s="9">
        <v>104</v>
      </c>
      <c r="B104" s="4" t="s">
        <v>63</v>
      </c>
      <c r="C104" s="9" t="s">
        <v>62</v>
      </c>
      <c r="D104" s="9" t="s">
        <v>66</v>
      </c>
      <c r="E104" s="9" t="s">
        <v>70</v>
      </c>
      <c r="F104" s="9">
        <v>1</v>
      </c>
      <c r="G104" s="5">
        <v>13700</v>
      </c>
      <c r="H104" s="4">
        <v>1</v>
      </c>
      <c r="I104" s="9" t="s">
        <v>8</v>
      </c>
      <c r="J104" s="4">
        <v>6</v>
      </c>
      <c r="K104" s="4" t="s">
        <v>13</v>
      </c>
      <c r="L104" s="4" t="s">
        <v>48</v>
      </c>
      <c r="M104" s="4" t="s">
        <v>27</v>
      </c>
      <c r="N104" s="10">
        <v>42143</v>
      </c>
      <c r="O104" s="6">
        <v>162.971</v>
      </c>
      <c r="P104" s="15">
        <f>IF(Table1[[#This Row],[Amount Spent]]&gt;3500, 3500,Table1[[#This Row],[Amount Spent]])</f>
        <v>162.971</v>
      </c>
    </row>
    <row r="105" spans="1:16" x14ac:dyDescent="0.35">
      <c r="A105" s="8">
        <v>105</v>
      </c>
      <c r="B105" s="1" t="s">
        <v>63</v>
      </c>
      <c r="C105" s="8" t="s">
        <v>61</v>
      </c>
      <c r="D105" s="8" t="s">
        <v>66</v>
      </c>
      <c r="E105" s="8" t="s">
        <v>2</v>
      </c>
      <c r="F105" s="8">
        <v>0</v>
      </c>
      <c r="G105" s="2">
        <v>60300</v>
      </c>
      <c r="H105" s="1">
        <v>1</v>
      </c>
      <c r="I105" s="8" t="s">
        <v>8</v>
      </c>
      <c r="J105" s="1">
        <v>6</v>
      </c>
      <c r="K105" s="1" t="s">
        <v>13</v>
      </c>
      <c r="L105" s="1" t="s">
        <v>42</v>
      </c>
      <c r="M105" s="1" t="s">
        <v>25</v>
      </c>
      <c r="N105" s="10">
        <v>42196</v>
      </c>
      <c r="O105" s="3">
        <v>1252.3240000000001</v>
      </c>
      <c r="P105" s="15">
        <f>IF(Table1[[#This Row],[Amount Spent]]&gt;3500, 3500,Table1[[#This Row],[Amount Spent]])</f>
        <v>1252.3240000000001</v>
      </c>
    </row>
    <row r="106" spans="1:16" x14ac:dyDescent="0.35">
      <c r="A106" s="9">
        <v>106</v>
      </c>
      <c r="B106" s="4" t="s">
        <v>64</v>
      </c>
      <c r="C106" s="9" t="s">
        <v>61</v>
      </c>
      <c r="D106" s="9" t="s">
        <v>66</v>
      </c>
      <c r="E106" s="9" t="s">
        <v>70</v>
      </c>
      <c r="F106" s="9">
        <v>1</v>
      </c>
      <c r="G106" s="5">
        <v>43100</v>
      </c>
      <c r="H106" s="4">
        <v>1</v>
      </c>
      <c r="I106" s="9" t="s">
        <v>8</v>
      </c>
      <c r="J106" s="4">
        <v>12</v>
      </c>
      <c r="K106" s="4" t="s">
        <v>14</v>
      </c>
      <c r="L106" s="4" t="s">
        <v>40</v>
      </c>
      <c r="M106" s="4" t="s">
        <v>37</v>
      </c>
      <c r="N106" s="10">
        <v>42089</v>
      </c>
      <c r="O106" s="6">
        <v>1224.433</v>
      </c>
      <c r="P106" s="15">
        <f>IF(Table1[[#This Row],[Amount Spent]]&gt;3500, 3500,Table1[[#This Row],[Amount Spent]])</f>
        <v>1224.433</v>
      </c>
    </row>
    <row r="107" spans="1:16" x14ac:dyDescent="0.35">
      <c r="A107" s="8">
        <v>107</v>
      </c>
      <c r="B107" s="1" t="s">
        <v>65</v>
      </c>
      <c r="C107" s="8" t="s">
        <v>62</v>
      </c>
      <c r="D107" s="8" t="s">
        <v>58</v>
      </c>
      <c r="E107" s="8" t="s">
        <v>2</v>
      </c>
      <c r="F107" s="8">
        <v>0</v>
      </c>
      <c r="G107" s="2">
        <v>128700</v>
      </c>
      <c r="H107" s="1">
        <v>0</v>
      </c>
      <c r="I107" s="8" t="s">
        <v>69</v>
      </c>
      <c r="J107" s="1">
        <v>24</v>
      </c>
      <c r="K107" s="1" t="s">
        <v>13</v>
      </c>
      <c r="L107" s="1" t="s">
        <v>48</v>
      </c>
      <c r="M107" s="1" t="s">
        <v>27</v>
      </c>
      <c r="N107" s="10">
        <v>41678</v>
      </c>
      <c r="O107" s="3">
        <v>3995.0120000000002</v>
      </c>
      <c r="P107" s="15">
        <f>IF(Table1[[#This Row],[Amount Spent]]&gt;3500, 3500,Table1[[#This Row],[Amount Spent]])</f>
        <v>3500</v>
      </c>
    </row>
    <row r="108" spans="1:16" x14ac:dyDescent="0.35">
      <c r="A108" s="9">
        <v>108</v>
      </c>
      <c r="B108" s="4" t="s">
        <v>64</v>
      </c>
      <c r="C108" s="9" t="s">
        <v>62</v>
      </c>
      <c r="D108" s="9" t="s">
        <v>66</v>
      </c>
      <c r="E108" s="9" t="s">
        <v>2</v>
      </c>
      <c r="F108" s="9">
        <v>1</v>
      </c>
      <c r="G108" s="5">
        <v>118300</v>
      </c>
      <c r="H108" s="4">
        <v>1</v>
      </c>
      <c r="I108" s="9" t="s">
        <v>8</v>
      </c>
      <c r="J108" s="4">
        <v>18</v>
      </c>
      <c r="K108" s="4" t="s">
        <v>15</v>
      </c>
      <c r="L108" s="4" t="s">
        <v>52</v>
      </c>
      <c r="M108" s="4" t="s">
        <v>31</v>
      </c>
      <c r="N108" s="10">
        <v>42155</v>
      </c>
      <c r="O108" s="6">
        <v>2680.51</v>
      </c>
      <c r="P108" s="15">
        <f>IF(Table1[[#This Row],[Amount Spent]]&gt;3500, 3500,Table1[[#This Row],[Amount Spent]])</f>
        <v>2680.51</v>
      </c>
    </row>
    <row r="109" spans="1:16" x14ac:dyDescent="0.35">
      <c r="A109" s="8">
        <v>109</v>
      </c>
      <c r="B109" s="1" t="s">
        <v>63</v>
      </c>
      <c r="C109" s="8" t="s">
        <v>61</v>
      </c>
      <c r="D109" s="8" t="s">
        <v>66</v>
      </c>
      <c r="E109" s="8" t="s">
        <v>2</v>
      </c>
      <c r="F109" s="8">
        <v>1</v>
      </c>
      <c r="G109" s="2">
        <v>36500</v>
      </c>
      <c r="H109" s="1">
        <v>0</v>
      </c>
      <c r="I109" s="8" t="s">
        <v>68</v>
      </c>
      <c r="J109" s="1">
        <v>24</v>
      </c>
      <c r="K109" s="1" t="s">
        <v>14</v>
      </c>
      <c r="L109" s="1" t="s">
        <v>50</v>
      </c>
      <c r="M109" s="1" t="s">
        <v>35</v>
      </c>
      <c r="N109" s="10">
        <v>41477</v>
      </c>
      <c r="O109" s="3">
        <v>1140.258</v>
      </c>
      <c r="P109" s="15">
        <f>IF(Table1[[#This Row],[Amount Spent]]&gt;3500, 3500,Table1[[#This Row],[Amount Spent]])</f>
        <v>1140.258</v>
      </c>
    </row>
    <row r="110" spans="1:16" x14ac:dyDescent="0.35">
      <c r="A110" s="9">
        <v>110</v>
      </c>
      <c r="B110" s="4" t="s">
        <v>63</v>
      </c>
      <c r="C110" s="9" t="s">
        <v>61</v>
      </c>
      <c r="D110" s="9" t="s">
        <v>66</v>
      </c>
      <c r="E110" s="9" t="s">
        <v>70</v>
      </c>
      <c r="F110" s="9">
        <v>1</v>
      </c>
      <c r="G110" s="5">
        <v>13400</v>
      </c>
      <c r="H110" s="4">
        <v>0</v>
      </c>
      <c r="I110" s="9" t="s">
        <v>67</v>
      </c>
      <c r="J110" s="4">
        <v>18</v>
      </c>
      <c r="K110" s="4" t="s">
        <v>13</v>
      </c>
      <c r="L110" s="4" t="s">
        <v>46</v>
      </c>
      <c r="M110" s="4" t="s">
        <v>22</v>
      </c>
      <c r="N110" s="10">
        <v>41506</v>
      </c>
      <c r="O110" s="6">
        <v>424.07400000000001</v>
      </c>
      <c r="P110" s="15">
        <f>IF(Table1[[#This Row],[Amount Spent]]&gt;3500, 3500,Table1[[#This Row],[Amount Spent]])</f>
        <v>424.07400000000001</v>
      </c>
    </row>
    <row r="111" spans="1:16" x14ac:dyDescent="0.35">
      <c r="A111" s="8">
        <v>111</v>
      </c>
      <c r="B111" s="1" t="s">
        <v>64</v>
      </c>
      <c r="C111" s="8" t="s">
        <v>61</v>
      </c>
      <c r="D111" s="8" t="s">
        <v>58</v>
      </c>
      <c r="E111" s="8" t="s">
        <v>2</v>
      </c>
      <c r="F111" s="8">
        <v>1</v>
      </c>
      <c r="G111" s="2">
        <v>101700</v>
      </c>
      <c r="H111" s="1">
        <v>1</v>
      </c>
      <c r="I111" s="8" t="s">
        <v>8</v>
      </c>
      <c r="J111" s="1">
        <v>6</v>
      </c>
      <c r="K111" s="1" t="s">
        <v>12</v>
      </c>
      <c r="L111" s="1" t="s">
        <v>47</v>
      </c>
      <c r="M111" s="1" t="s">
        <v>18</v>
      </c>
      <c r="N111" s="10">
        <v>42213</v>
      </c>
      <c r="O111" s="3">
        <v>940.64400000000001</v>
      </c>
      <c r="P111" s="15">
        <f>IF(Table1[[#This Row],[Amount Spent]]&gt;3500, 3500,Table1[[#This Row],[Amount Spent]])</f>
        <v>940.64400000000001</v>
      </c>
    </row>
    <row r="112" spans="1:16" x14ac:dyDescent="0.35">
      <c r="A112" s="9">
        <v>112</v>
      </c>
      <c r="B112" s="4" t="s">
        <v>64</v>
      </c>
      <c r="C112" s="9" t="s">
        <v>61</v>
      </c>
      <c r="D112" s="9" t="s">
        <v>58</v>
      </c>
      <c r="E112" s="9" t="s">
        <v>70</v>
      </c>
      <c r="F112" s="9">
        <v>1</v>
      </c>
      <c r="G112" s="5">
        <v>76800</v>
      </c>
      <c r="H112" s="4">
        <v>1</v>
      </c>
      <c r="I112" s="9" t="s">
        <v>68</v>
      </c>
      <c r="J112" s="4">
        <v>18</v>
      </c>
      <c r="K112" s="4" t="s">
        <v>15</v>
      </c>
      <c r="L112" s="4" t="s">
        <v>42</v>
      </c>
      <c r="M112" s="4" t="s">
        <v>32</v>
      </c>
      <c r="N112" s="10">
        <v>41565</v>
      </c>
      <c r="O112" s="6">
        <v>1060.702</v>
      </c>
      <c r="P112" s="15">
        <f>IF(Table1[[#This Row],[Amount Spent]]&gt;3500, 3500,Table1[[#This Row],[Amount Spent]])</f>
        <v>1060.702</v>
      </c>
    </row>
    <row r="113" spans="1:16" x14ac:dyDescent="0.35">
      <c r="A113" s="8">
        <v>113</v>
      </c>
      <c r="B113" s="1" t="s">
        <v>63</v>
      </c>
      <c r="C113" s="8" t="s">
        <v>61</v>
      </c>
      <c r="D113" s="8" t="s">
        <v>66</v>
      </c>
      <c r="E113" s="8" t="s">
        <v>70</v>
      </c>
      <c r="F113" s="8">
        <v>1</v>
      </c>
      <c r="G113" s="2">
        <v>21900</v>
      </c>
      <c r="H113" s="1">
        <v>0</v>
      </c>
      <c r="I113" s="8" t="s">
        <v>67</v>
      </c>
      <c r="J113" s="1">
        <v>12</v>
      </c>
      <c r="K113" s="1" t="s">
        <v>15</v>
      </c>
      <c r="L113" s="1" t="s">
        <v>52</v>
      </c>
      <c r="M113" s="1" t="s">
        <v>30</v>
      </c>
      <c r="N113" s="10">
        <v>40392</v>
      </c>
      <c r="O113" s="3">
        <v>275.64400000000001</v>
      </c>
      <c r="P113" s="15">
        <f>IF(Table1[[#This Row],[Amount Spent]]&gt;3500, 3500,Table1[[#This Row],[Amount Spent]])</f>
        <v>275.64400000000001</v>
      </c>
    </row>
    <row r="114" spans="1:16" x14ac:dyDescent="0.35">
      <c r="A114" s="9">
        <v>114</v>
      </c>
      <c r="B114" s="4" t="s">
        <v>63</v>
      </c>
      <c r="C114" s="9" t="s">
        <v>62</v>
      </c>
      <c r="D114" s="9" t="s">
        <v>66</v>
      </c>
      <c r="E114" s="9" t="s">
        <v>70</v>
      </c>
      <c r="F114" s="9">
        <v>0</v>
      </c>
      <c r="G114" s="5">
        <v>16100</v>
      </c>
      <c r="H114" s="4">
        <v>0</v>
      </c>
      <c r="I114" s="9" t="s">
        <v>8</v>
      </c>
      <c r="J114" s="4">
        <v>6</v>
      </c>
      <c r="K114" s="4" t="s">
        <v>15</v>
      </c>
      <c r="L114" s="4" t="s">
        <v>42</v>
      </c>
      <c r="M114" s="4" t="s">
        <v>32</v>
      </c>
      <c r="N114" s="10">
        <v>42092</v>
      </c>
      <c r="O114" s="6">
        <v>202.40100000000001</v>
      </c>
      <c r="P114" s="15">
        <f>IF(Table1[[#This Row],[Amount Spent]]&gt;3500, 3500,Table1[[#This Row],[Amount Spent]])</f>
        <v>202.40100000000001</v>
      </c>
    </row>
    <row r="115" spans="1:16" x14ac:dyDescent="0.35">
      <c r="A115" s="8">
        <v>115</v>
      </c>
      <c r="B115" s="1" t="s">
        <v>64</v>
      </c>
      <c r="C115" s="8" t="s">
        <v>62</v>
      </c>
      <c r="D115" s="8" t="s">
        <v>58</v>
      </c>
      <c r="E115" s="8" t="s">
        <v>70</v>
      </c>
      <c r="F115" s="8">
        <v>0</v>
      </c>
      <c r="G115" s="2">
        <v>64100</v>
      </c>
      <c r="H115" s="1">
        <v>2</v>
      </c>
      <c r="I115" s="8" t="s">
        <v>69</v>
      </c>
      <c r="J115" s="1">
        <v>24</v>
      </c>
      <c r="K115" s="1" t="s">
        <v>13</v>
      </c>
      <c r="L115" s="1" t="s">
        <v>42</v>
      </c>
      <c r="M115" s="1" t="s">
        <v>25</v>
      </c>
      <c r="N115" s="10">
        <v>40388</v>
      </c>
      <c r="O115" s="3">
        <v>1594.8420000000001</v>
      </c>
      <c r="P115" s="15">
        <f>IF(Table1[[#This Row],[Amount Spent]]&gt;3500, 3500,Table1[[#This Row],[Amount Spent]])</f>
        <v>1594.8420000000001</v>
      </c>
    </row>
    <row r="116" spans="1:16" x14ac:dyDescent="0.35">
      <c r="A116" s="9">
        <v>116</v>
      </c>
      <c r="B116" s="4" t="s">
        <v>64</v>
      </c>
      <c r="C116" s="9" t="s">
        <v>62</v>
      </c>
      <c r="D116" s="9" t="s">
        <v>66</v>
      </c>
      <c r="E116" s="9" t="s">
        <v>2</v>
      </c>
      <c r="F116" s="9">
        <v>1</v>
      </c>
      <c r="G116" s="5">
        <v>95900</v>
      </c>
      <c r="H116" s="4">
        <v>0</v>
      </c>
      <c r="I116" s="9" t="s">
        <v>8</v>
      </c>
      <c r="J116" s="4">
        <v>24</v>
      </c>
      <c r="K116" s="4" t="s">
        <v>13</v>
      </c>
      <c r="L116" s="4" t="s">
        <v>46</v>
      </c>
      <c r="M116" s="4" t="s">
        <v>22</v>
      </c>
      <c r="N116" s="10">
        <v>42062</v>
      </c>
      <c r="O116" s="6">
        <v>3168.2649999999999</v>
      </c>
      <c r="P116" s="15">
        <f>IF(Table1[[#This Row],[Amount Spent]]&gt;3500, 3500,Table1[[#This Row],[Amount Spent]])</f>
        <v>3168.2649999999999</v>
      </c>
    </row>
    <row r="117" spans="1:16" x14ac:dyDescent="0.35">
      <c r="A117" s="8">
        <v>117</v>
      </c>
      <c r="B117" s="1" t="s">
        <v>65</v>
      </c>
      <c r="C117" s="8" t="s">
        <v>62</v>
      </c>
      <c r="D117" s="8" t="s">
        <v>58</v>
      </c>
      <c r="E117" s="8" t="s">
        <v>70</v>
      </c>
      <c r="F117" s="8">
        <v>1</v>
      </c>
      <c r="G117" s="2">
        <v>58200</v>
      </c>
      <c r="H117" s="1">
        <v>0</v>
      </c>
      <c r="I117" s="8" t="s">
        <v>68</v>
      </c>
      <c r="J117" s="1">
        <v>18</v>
      </c>
      <c r="K117" s="1" t="s">
        <v>12</v>
      </c>
      <c r="L117" s="1" t="s">
        <v>53</v>
      </c>
      <c r="M117" s="1" t="s">
        <v>19</v>
      </c>
      <c r="N117" s="10">
        <v>41165</v>
      </c>
      <c r="O117" s="3">
        <v>981.35500000000002</v>
      </c>
      <c r="P117" s="15">
        <f>IF(Table1[[#This Row],[Amount Spent]]&gt;3500, 3500,Table1[[#This Row],[Amount Spent]])</f>
        <v>981.35500000000002</v>
      </c>
    </row>
    <row r="118" spans="1:16" x14ac:dyDescent="0.35">
      <c r="A118" s="9">
        <v>118</v>
      </c>
      <c r="B118" s="4" t="s">
        <v>64</v>
      </c>
      <c r="C118" s="9" t="s">
        <v>61</v>
      </c>
      <c r="D118" s="9" t="s">
        <v>58</v>
      </c>
      <c r="E118" s="9" t="s">
        <v>2</v>
      </c>
      <c r="F118" s="9">
        <v>0</v>
      </c>
      <c r="G118" s="5">
        <v>120000</v>
      </c>
      <c r="H118" s="4">
        <v>3</v>
      </c>
      <c r="I118" s="9" t="s">
        <v>69</v>
      </c>
      <c r="J118" s="4">
        <v>18</v>
      </c>
      <c r="K118" s="4" t="s">
        <v>12</v>
      </c>
      <c r="L118" s="4" t="s">
        <v>41</v>
      </c>
      <c r="M118" s="4" t="s">
        <v>20</v>
      </c>
      <c r="N118" s="10">
        <v>41061</v>
      </c>
      <c r="O118" s="6">
        <v>1925.519</v>
      </c>
      <c r="P118" s="15">
        <f>IF(Table1[[#This Row],[Amount Spent]]&gt;3500, 3500,Table1[[#This Row],[Amount Spent]])</f>
        <v>1925.519</v>
      </c>
    </row>
    <row r="119" spans="1:16" x14ac:dyDescent="0.35">
      <c r="A119" s="8">
        <v>119</v>
      </c>
      <c r="B119" s="1" t="s">
        <v>64</v>
      </c>
      <c r="C119" s="8" t="s">
        <v>61</v>
      </c>
      <c r="D119" s="8" t="s">
        <v>58</v>
      </c>
      <c r="E119" s="8" t="s">
        <v>70</v>
      </c>
      <c r="F119" s="8">
        <v>1</v>
      </c>
      <c r="G119" s="2">
        <v>68400</v>
      </c>
      <c r="H119" s="1">
        <v>0</v>
      </c>
      <c r="I119" s="8" t="s">
        <v>69</v>
      </c>
      <c r="J119" s="1">
        <v>18</v>
      </c>
      <c r="K119" s="1" t="s">
        <v>14</v>
      </c>
      <c r="L119" s="1" t="s">
        <v>50</v>
      </c>
      <c r="M119" s="1" t="s">
        <v>35</v>
      </c>
      <c r="N119" s="10">
        <v>41279</v>
      </c>
      <c r="O119" s="3">
        <v>1154.914</v>
      </c>
      <c r="P119" s="15">
        <f>IF(Table1[[#This Row],[Amount Spent]]&gt;3500, 3500,Table1[[#This Row],[Amount Spent]])</f>
        <v>1154.914</v>
      </c>
    </row>
    <row r="120" spans="1:16" x14ac:dyDescent="0.35">
      <c r="A120" s="9">
        <v>120</v>
      </c>
      <c r="B120" s="4" t="s">
        <v>64</v>
      </c>
      <c r="C120" s="9" t="s">
        <v>61</v>
      </c>
      <c r="D120" s="9" t="s">
        <v>58</v>
      </c>
      <c r="E120" s="9" t="s">
        <v>2</v>
      </c>
      <c r="F120" s="9">
        <v>1</v>
      </c>
      <c r="G120" s="5">
        <v>83600</v>
      </c>
      <c r="H120" s="4">
        <v>2</v>
      </c>
      <c r="I120" s="9" t="s">
        <v>68</v>
      </c>
      <c r="J120" s="4">
        <v>6</v>
      </c>
      <c r="K120" s="4" t="s">
        <v>15</v>
      </c>
      <c r="L120" s="4" t="s">
        <v>42</v>
      </c>
      <c r="M120" s="4" t="s">
        <v>32</v>
      </c>
      <c r="N120" s="10">
        <v>40889</v>
      </c>
      <c r="O120" s="6">
        <v>537.726</v>
      </c>
      <c r="P120" s="15">
        <f>IF(Table1[[#This Row],[Amount Spent]]&gt;3500, 3500,Table1[[#This Row],[Amount Spent]])</f>
        <v>537.726</v>
      </c>
    </row>
    <row r="121" spans="1:16" x14ac:dyDescent="0.35">
      <c r="A121" s="8">
        <v>121</v>
      </c>
      <c r="B121" s="1" t="s">
        <v>63</v>
      </c>
      <c r="C121" s="8" t="s">
        <v>62</v>
      </c>
      <c r="D121" s="8" t="s">
        <v>66</v>
      </c>
      <c r="E121" s="8" t="s">
        <v>70</v>
      </c>
      <c r="F121" s="8">
        <v>1</v>
      </c>
      <c r="G121" s="2">
        <v>13400</v>
      </c>
      <c r="H121" s="1">
        <v>1</v>
      </c>
      <c r="I121" s="8" t="s">
        <v>67</v>
      </c>
      <c r="J121" s="1">
        <v>12</v>
      </c>
      <c r="K121" s="1" t="s">
        <v>13</v>
      </c>
      <c r="L121" s="1" t="s">
        <v>56</v>
      </c>
      <c r="M121" s="1" t="s">
        <v>24</v>
      </c>
      <c r="N121" s="10">
        <v>41434</v>
      </c>
      <c r="O121" s="3">
        <v>142.547</v>
      </c>
      <c r="P121" s="15">
        <f>IF(Table1[[#This Row],[Amount Spent]]&gt;3500, 3500,Table1[[#This Row],[Amount Spent]])</f>
        <v>142.547</v>
      </c>
    </row>
    <row r="122" spans="1:16" x14ac:dyDescent="0.35">
      <c r="A122" s="9">
        <v>122</v>
      </c>
      <c r="B122" s="4" t="s">
        <v>65</v>
      </c>
      <c r="C122" s="9" t="s">
        <v>62</v>
      </c>
      <c r="D122" s="9" t="s">
        <v>58</v>
      </c>
      <c r="E122" s="9" t="s">
        <v>2</v>
      </c>
      <c r="F122" s="9">
        <v>1</v>
      </c>
      <c r="G122" s="5">
        <v>54700</v>
      </c>
      <c r="H122" s="4">
        <v>0</v>
      </c>
      <c r="I122" s="9" t="s">
        <v>68</v>
      </c>
      <c r="J122" s="4">
        <v>24</v>
      </c>
      <c r="K122" s="4" t="s">
        <v>12</v>
      </c>
      <c r="L122" s="4" t="s">
        <v>41</v>
      </c>
      <c r="M122" s="4" t="s">
        <v>20</v>
      </c>
      <c r="N122" s="10">
        <v>40015</v>
      </c>
      <c r="O122" s="6">
        <v>1403.8309999999999</v>
      </c>
      <c r="P122" s="15">
        <f>IF(Table1[[#This Row],[Amount Spent]]&gt;3500, 3500,Table1[[#This Row],[Amount Spent]])</f>
        <v>1403.8309999999999</v>
      </c>
    </row>
    <row r="123" spans="1:16" x14ac:dyDescent="0.35">
      <c r="A123" s="8">
        <v>123</v>
      </c>
      <c r="B123" s="1" t="s">
        <v>65</v>
      </c>
      <c r="C123" s="8" t="s">
        <v>61</v>
      </c>
      <c r="D123" s="8" t="s">
        <v>58</v>
      </c>
      <c r="E123" s="8" t="s">
        <v>2</v>
      </c>
      <c r="F123" s="8">
        <v>0</v>
      </c>
      <c r="G123" s="2">
        <v>41300</v>
      </c>
      <c r="H123" s="1">
        <v>0</v>
      </c>
      <c r="I123" s="8" t="s">
        <v>69</v>
      </c>
      <c r="J123" s="1">
        <v>24</v>
      </c>
      <c r="K123" s="1" t="s">
        <v>12</v>
      </c>
      <c r="L123" s="1" t="s">
        <v>41</v>
      </c>
      <c r="M123" s="1" t="s">
        <v>20</v>
      </c>
      <c r="N123" s="10">
        <v>41509</v>
      </c>
      <c r="O123" s="3">
        <v>1985.325</v>
      </c>
      <c r="P123" s="15">
        <f>IF(Table1[[#This Row],[Amount Spent]]&gt;3500, 3500,Table1[[#This Row],[Amount Spent]])</f>
        <v>1985.325</v>
      </c>
    </row>
    <row r="124" spans="1:16" x14ac:dyDescent="0.35">
      <c r="A124" s="9">
        <v>124</v>
      </c>
      <c r="B124" s="4" t="s">
        <v>64</v>
      </c>
      <c r="C124" s="9" t="s">
        <v>62</v>
      </c>
      <c r="D124" s="9" t="s">
        <v>58</v>
      </c>
      <c r="E124" s="9" t="s">
        <v>2</v>
      </c>
      <c r="F124" s="9">
        <v>1</v>
      </c>
      <c r="G124" s="5">
        <v>130700</v>
      </c>
      <c r="H124" s="4">
        <v>3</v>
      </c>
      <c r="I124" s="9" t="s">
        <v>8</v>
      </c>
      <c r="J124" s="4">
        <v>6</v>
      </c>
      <c r="K124" s="4" t="s">
        <v>14</v>
      </c>
      <c r="L124" s="4" t="s">
        <v>50</v>
      </c>
      <c r="M124" s="4" t="s">
        <v>34</v>
      </c>
      <c r="N124" s="10">
        <v>42241</v>
      </c>
      <c r="O124" s="6">
        <v>2070.2570000000001</v>
      </c>
      <c r="P124" s="15">
        <f>IF(Table1[[#This Row],[Amount Spent]]&gt;3500, 3500,Table1[[#This Row],[Amount Spent]])</f>
        <v>2070.2570000000001</v>
      </c>
    </row>
    <row r="125" spans="1:16" x14ac:dyDescent="0.35">
      <c r="A125" s="8">
        <v>125</v>
      </c>
      <c r="B125" s="1" t="s">
        <v>65</v>
      </c>
      <c r="C125" s="8" t="s">
        <v>62</v>
      </c>
      <c r="D125" s="8" t="s">
        <v>66</v>
      </c>
      <c r="E125" s="8" t="s">
        <v>2</v>
      </c>
      <c r="F125" s="8">
        <v>1</v>
      </c>
      <c r="G125" s="2">
        <v>39500</v>
      </c>
      <c r="H125" s="1">
        <v>0</v>
      </c>
      <c r="I125" s="8" t="s">
        <v>68</v>
      </c>
      <c r="J125" s="1">
        <v>12</v>
      </c>
      <c r="K125" s="1" t="s">
        <v>12</v>
      </c>
      <c r="L125" s="1" t="s">
        <v>47</v>
      </c>
      <c r="M125" s="1" t="s">
        <v>16</v>
      </c>
      <c r="N125" s="10">
        <v>42075</v>
      </c>
      <c r="O125" s="3">
        <v>1006.258</v>
      </c>
      <c r="P125" s="15">
        <f>IF(Table1[[#This Row],[Amount Spent]]&gt;3500, 3500,Table1[[#This Row],[Amount Spent]])</f>
        <v>1006.258</v>
      </c>
    </row>
    <row r="126" spans="1:16" x14ac:dyDescent="0.35">
      <c r="A126" s="9">
        <v>126</v>
      </c>
      <c r="B126" s="4" t="s">
        <v>64</v>
      </c>
      <c r="C126" s="9" t="s">
        <v>62</v>
      </c>
      <c r="D126" s="9" t="s">
        <v>58</v>
      </c>
      <c r="E126" s="9" t="s">
        <v>2</v>
      </c>
      <c r="F126" s="9">
        <v>1</v>
      </c>
      <c r="G126" s="5">
        <v>93400</v>
      </c>
      <c r="H126" s="4">
        <v>2</v>
      </c>
      <c r="I126" s="9" t="s">
        <v>8</v>
      </c>
      <c r="J126" s="4">
        <v>24</v>
      </c>
      <c r="K126" s="4" t="s">
        <v>12</v>
      </c>
      <c r="L126" s="4" t="s">
        <v>55</v>
      </c>
      <c r="M126" s="4" t="s">
        <v>17</v>
      </c>
      <c r="N126" s="10">
        <v>42029</v>
      </c>
      <c r="O126" s="6">
        <v>3079.0740000000001</v>
      </c>
      <c r="P126" s="15">
        <f>IF(Table1[[#This Row],[Amount Spent]]&gt;3500, 3500,Table1[[#This Row],[Amount Spent]])</f>
        <v>3079.0740000000001</v>
      </c>
    </row>
    <row r="127" spans="1:16" x14ac:dyDescent="0.35">
      <c r="A127" s="8">
        <v>127</v>
      </c>
      <c r="B127" s="1" t="s">
        <v>64</v>
      </c>
      <c r="C127" s="8" t="s">
        <v>61</v>
      </c>
      <c r="D127" s="8" t="s">
        <v>58</v>
      </c>
      <c r="E127" s="8" t="s">
        <v>2</v>
      </c>
      <c r="F127" s="8">
        <v>1</v>
      </c>
      <c r="G127" s="2">
        <v>83100</v>
      </c>
      <c r="H127" s="1">
        <v>2</v>
      </c>
      <c r="I127" s="8" t="s">
        <v>68</v>
      </c>
      <c r="J127" s="1">
        <v>6</v>
      </c>
      <c r="K127" s="1" t="s">
        <v>12</v>
      </c>
      <c r="L127" s="1" t="s">
        <v>54</v>
      </c>
      <c r="M127" s="1" t="s">
        <v>21</v>
      </c>
      <c r="N127" s="10">
        <v>41079</v>
      </c>
      <c r="O127" s="3">
        <v>586.34100000000001</v>
      </c>
      <c r="P127" s="15">
        <f>IF(Table1[[#This Row],[Amount Spent]]&gt;3500, 3500,Table1[[#This Row],[Amount Spent]])</f>
        <v>586.34100000000001</v>
      </c>
    </row>
    <row r="128" spans="1:16" x14ac:dyDescent="0.35">
      <c r="A128" s="9">
        <v>128</v>
      </c>
      <c r="B128" s="4" t="s">
        <v>64</v>
      </c>
      <c r="C128" s="9" t="s">
        <v>61</v>
      </c>
      <c r="D128" s="9" t="s">
        <v>58</v>
      </c>
      <c r="E128" s="9" t="s">
        <v>70</v>
      </c>
      <c r="F128" s="9">
        <v>1</v>
      </c>
      <c r="G128" s="5">
        <v>55900</v>
      </c>
      <c r="H128" s="4">
        <v>1</v>
      </c>
      <c r="I128" s="9" t="s">
        <v>8</v>
      </c>
      <c r="J128" s="4">
        <v>24</v>
      </c>
      <c r="K128" s="4" t="s">
        <v>12</v>
      </c>
      <c r="L128" s="4" t="s">
        <v>41</v>
      </c>
      <c r="M128" s="4" t="s">
        <v>20</v>
      </c>
      <c r="N128" s="10">
        <v>42104</v>
      </c>
      <c r="O128" s="6">
        <v>2555.4499999999998</v>
      </c>
      <c r="P128" s="15">
        <f>IF(Table1[[#This Row],[Amount Spent]]&gt;3500, 3500,Table1[[#This Row],[Amount Spent]])</f>
        <v>2555.4499999999998</v>
      </c>
    </row>
    <row r="129" spans="1:16" x14ac:dyDescent="0.35">
      <c r="A129" s="8">
        <v>129</v>
      </c>
      <c r="B129" s="1" t="s">
        <v>65</v>
      </c>
      <c r="C129" s="8" t="s">
        <v>61</v>
      </c>
      <c r="D129" s="8" t="s">
        <v>58</v>
      </c>
      <c r="E129" s="8" t="s">
        <v>2</v>
      </c>
      <c r="F129" s="8">
        <v>1</v>
      </c>
      <c r="G129" s="2">
        <v>71200</v>
      </c>
      <c r="H129" s="1">
        <v>1</v>
      </c>
      <c r="I129" s="8" t="s">
        <v>68</v>
      </c>
      <c r="J129" s="1">
        <v>12</v>
      </c>
      <c r="K129" s="1" t="s">
        <v>15</v>
      </c>
      <c r="L129" s="1" t="s">
        <v>28</v>
      </c>
      <c r="M129" s="1" t="s">
        <v>33</v>
      </c>
      <c r="N129" s="10">
        <v>40971</v>
      </c>
      <c r="O129" s="3">
        <v>637.80100000000004</v>
      </c>
      <c r="P129" s="15">
        <f>IF(Table1[[#This Row],[Amount Spent]]&gt;3500, 3500,Table1[[#This Row],[Amount Spent]])</f>
        <v>637.80100000000004</v>
      </c>
    </row>
    <row r="130" spans="1:16" x14ac:dyDescent="0.35">
      <c r="A130" s="9">
        <v>130</v>
      </c>
      <c r="B130" s="4" t="s">
        <v>64</v>
      </c>
      <c r="C130" s="9" t="s">
        <v>61</v>
      </c>
      <c r="D130" s="9" t="s">
        <v>66</v>
      </c>
      <c r="E130" s="9" t="s">
        <v>70</v>
      </c>
      <c r="F130" s="9">
        <v>1</v>
      </c>
      <c r="G130" s="5">
        <v>57800</v>
      </c>
      <c r="H130" s="4">
        <v>0</v>
      </c>
      <c r="I130" s="9" t="s">
        <v>68</v>
      </c>
      <c r="J130" s="4">
        <v>24</v>
      </c>
      <c r="K130" s="4" t="s">
        <v>12</v>
      </c>
      <c r="L130" s="4" t="s">
        <v>47</v>
      </c>
      <c r="M130" s="4" t="s">
        <v>16</v>
      </c>
      <c r="N130" s="10">
        <v>41111</v>
      </c>
      <c r="O130" s="6">
        <v>1148.6099999999999</v>
      </c>
      <c r="P130" s="15">
        <f>IF(Table1[[#This Row],[Amount Spent]]&gt;3500, 3500,Table1[[#This Row],[Amount Spent]])</f>
        <v>1148.6099999999999</v>
      </c>
    </row>
    <row r="131" spans="1:16" x14ac:dyDescent="0.35">
      <c r="A131" s="8">
        <v>131</v>
      </c>
      <c r="B131" s="1" t="s">
        <v>64</v>
      </c>
      <c r="C131" s="8" t="s">
        <v>61</v>
      </c>
      <c r="D131" s="8" t="s">
        <v>66</v>
      </c>
      <c r="E131" s="8" t="s">
        <v>70</v>
      </c>
      <c r="F131" s="8">
        <v>1</v>
      </c>
      <c r="G131" s="2">
        <v>59100</v>
      </c>
      <c r="H131" s="1">
        <v>2</v>
      </c>
      <c r="I131" s="8" t="s">
        <v>67</v>
      </c>
      <c r="J131" s="1">
        <v>18</v>
      </c>
      <c r="K131" s="1" t="s">
        <v>12</v>
      </c>
      <c r="L131" s="1" t="s">
        <v>47</v>
      </c>
      <c r="M131" s="1" t="s">
        <v>18</v>
      </c>
      <c r="N131" s="10">
        <v>41361</v>
      </c>
      <c r="O131" s="3">
        <v>579.54100000000005</v>
      </c>
      <c r="P131" s="15">
        <f>IF(Table1[[#This Row],[Amount Spent]]&gt;3500, 3500,Table1[[#This Row],[Amount Spent]])</f>
        <v>579.54100000000005</v>
      </c>
    </row>
    <row r="132" spans="1:16" x14ac:dyDescent="0.35">
      <c r="A132" s="9">
        <v>132</v>
      </c>
      <c r="B132" s="4" t="s">
        <v>63</v>
      </c>
      <c r="C132" s="9" t="s">
        <v>62</v>
      </c>
      <c r="D132" s="9" t="s">
        <v>66</v>
      </c>
      <c r="E132" s="9" t="s">
        <v>70</v>
      </c>
      <c r="F132" s="9">
        <v>0</v>
      </c>
      <c r="G132" s="5">
        <v>23100</v>
      </c>
      <c r="H132" s="4">
        <v>2</v>
      </c>
      <c r="I132" s="9" t="s">
        <v>67</v>
      </c>
      <c r="J132" s="4">
        <v>6</v>
      </c>
      <c r="K132" s="4" t="s">
        <v>14</v>
      </c>
      <c r="L132" s="4" t="s">
        <v>51</v>
      </c>
      <c r="M132" s="4" t="s">
        <v>38</v>
      </c>
      <c r="N132" s="10">
        <v>41068</v>
      </c>
      <c r="O132" s="6">
        <v>465.55399999999997</v>
      </c>
      <c r="P132" s="15">
        <f>IF(Table1[[#This Row],[Amount Spent]]&gt;3500, 3500,Table1[[#This Row],[Amount Spent]])</f>
        <v>465.55399999999997</v>
      </c>
    </row>
    <row r="133" spans="1:16" x14ac:dyDescent="0.35">
      <c r="A133" s="8">
        <v>133</v>
      </c>
      <c r="B133" s="1" t="s">
        <v>63</v>
      </c>
      <c r="C133" s="8" t="s">
        <v>61</v>
      </c>
      <c r="D133" s="8" t="s">
        <v>66</v>
      </c>
      <c r="E133" s="8" t="s">
        <v>70</v>
      </c>
      <c r="F133" s="8">
        <v>0</v>
      </c>
      <c r="G133" s="2">
        <v>10900</v>
      </c>
      <c r="H133" s="1">
        <v>0</v>
      </c>
      <c r="I133" s="8" t="s">
        <v>67</v>
      </c>
      <c r="J133" s="1">
        <v>24</v>
      </c>
      <c r="K133" s="1" t="s">
        <v>14</v>
      </c>
      <c r="L133" s="1" t="s">
        <v>51</v>
      </c>
      <c r="M133" s="1" t="s">
        <v>38</v>
      </c>
      <c r="N133" s="10">
        <v>41649</v>
      </c>
      <c r="O133" s="3">
        <v>407.30200000000002</v>
      </c>
      <c r="P133" s="15">
        <f>IF(Table1[[#This Row],[Amount Spent]]&gt;3500, 3500,Table1[[#This Row],[Amount Spent]])</f>
        <v>407.30200000000002</v>
      </c>
    </row>
    <row r="134" spans="1:16" x14ac:dyDescent="0.35">
      <c r="A134" s="9">
        <v>134</v>
      </c>
      <c r="B134" s="4" t="s">
        <v>64</v>
      </c>
      <c r="C134" s="9" t="s">
        <v>62</v>
      </c>
      <c r="D134" s="9" t="s">
        <v>58</v>
      </c>
      <c r="E134" s="9" t="s">
        <v>70</v>
      </c>
      <c r="F134" s="9">
        <v>0</v>
      </c>
      <c r="G134" s="5">
        <v>47500</v>
      </c>
      <c r="H134" s="4">
        <v>0</v>
      </c>
      <c r="I134" s="9" t="s">
        <v>69</v>
      </c>
      <c r="J134" s="4">
        <v>6</v>
      </c>
      <c r="K134" s="4" t="s">
        <v>13</v>
      </c>
      <c r="L134" s="4" t="s">
        <v>46</v>
      </c>
      <c r="M134" s="4" t="s">
        <v>22</v>
      </c>
      <c r="N134" s="10">
        <v>41993</v>
      </c>
      <c r="O134" s="6">
        <v>847.46900000000005</v>
      </c>
      <c r="P134" s="15">
        <f>IF(Table1[[#This Row],[Amount Spent]]&gt;3500, 3500,Table1[[#This Row],[Amount Spent]])</f>
        <v>847.46900000000005</v>
      </c>
    </row>
    <row r="135" spans="1:16" x14ac:dyDescent="0.35">
      <c r="A135" s="8">
        <v>135</v>
      </c>
      <c r="B135" s="1" t="s">
        <v>64</v>
      </c>
      <c r="C135" s="8" t="s">
        <v>61</v>
      </c>
      <c r="D135" s="8" t="s">
        <v>66</v>
      </c>
      <c r="E135" s="8" t="s">
        <v>2</v>
      </c>
      <c r="F135" s="8">
        <v>1</v>
      </c>
      <c r="G135" s="2">
        <v>76200</v>
      </c>
      <c r="H135" s="1">
        <v>1</v>
      </c>
      <c r="I135" s="8" t="s">
        <v>8</v>
      </c>
      <c r="J135" s="1">
        <v>24</v>
      </c>
      <c r="K135" s="1" t="s">
        <v>12</v>
      </c>
      <c r="L135" s="1" t="s">
        <v>41</v>
      </c>
      <c r="M135" s="1" t="s">
        <v>20</v>
      </c>
      <c r="N135" s="10">
        <v>42100</v>
      </c>
      <c r="O135" s="3">
        <v>2436.88</v>
      </c>
      <c r="P135" s="15">
        <f>IF(Table1[[#This Row],[Amount Spent]]&gt;3500, 3500,Table1[[#This Row],[Amount Spent]])</f>
        <v>2436.88</v>
      </c>
    </row>
    <row r="136" spans="1:16" x14ac:dyDescent="0.35">
      <c r="A136" s="9">
        <v>136</v>
      </c>
      <c r="B136" s="4" t="s">
        <v>63</v>
      </c>
      <c r="C136" s="9" t="s">
        <v>61</v>
      </c>
      <c r="D136" s="9" t="s">
        <v>66</v>
      </c>
      <c r="E136" s="9" t="s">
        <v>70</v>
      </c>
      <c r="F136" s="9">
        <v>1</v>
      </c>
      <c r="G136" s="5">
        <v>14200</v>
      </c>
      <c r="H136" s="4">
        <v>1</v>
      </c>
      <c r="I136" s="9" t="s">
        <v>8</v>
      </c>
      <c r="J136" s="4">
        <v>24</v>
      </c>
      <c r="K136" s="4" t="s">
        <v>15</v>
      </c>
      <c r="L136" s="4" t="s">
        <v>42</v>
      </c>
      <c r="M136" s="4" t="s">
        <v>32</v>
      </c>
      <c r="N136" s="10">
        <v>42167</v>
      </c>
      <c r="O136" s="6">
        <v>399.82400000000001</v>
      </c>
      <c r="P136" s="15">
        <f>IF(Table1[[#This Row],[Amount Spent]]&gt;3500, 3500,Table1[[#This Row],[Amount Spent]])</f>
        <v>399.82400000000001</v>
      </c>
    </row>
    <row r="137" spans="1:16" x14ac:dyDescent="0.35">
      <c r="A137" s="8">
        <v>137</v>
      </c>
      <c r="B137" s="1" t="s">
        <v>65</v>
      </c>
      <c r="C137" s="8" t="s">
        <v>62</v>
      </c>
      <c r="D137" s="8" t="s">
        <v>66</v>
      </c>
      <c r="E137" s="8" t="s">
        <v>2</v>
      </c>
      <c r="F137" s="8">
        <v>0</v>
      </c>
      <c r="G137" s="2">
        <v>52500</v>
      </c>
      <c r="H137" s="1">
        <v>0</v>
      </c>
      <c r="I137" s="8" t="s">
        <v>69</v>
      </c>
      <c r="J137" s="1">
        <v>24</v>
      </c>
      <c r="K137" s="1" t="s">
        <v>12</v>
      </c>
      <c r="L137" s="1" t="s">
        <v>53</v>
      </c>
      <c r="M137" s="1" t="s">
        <v>19</v>
      </c>
      <c r="N137" s="10">
        <v>40901</v>
      </c>
      <c r="O137" s="3">
        <v>2037.5160000000001</v>
      </c>
      <c r="P137" s="15">
        <f>IF(Table1[[#This Row],[Amount Spent]]&gt;3500, 3500,Table1[[#This Row],[Amount Spent]])</f>
        <v>2037.5160000000001</v>
      </c>
    </row>
    <row r="138" spans="1:16" x14ac:dyDescent="0.35">
      <c r="A138" s="9">
        <v>138</v>
      </c>
      <c r="B138" s="4" t="s">
        <v>64</v>
      </c>
      <c r="C138" s="9" t="s">
        <v>62</v>
      </c>
      <c r="D138" s="9" t="s">
        <v>66</v>
      </c>
      <c r="E138" s="9" t="s">
        <v>2</v>
      </c>
      <c r="F138" s="9">
        <v>0</v>
      </c>
      <c r="G138" s="5">
        <v>43300</v>
      </c>
      <c r="H138" s="4">
        <v>3</v>
      </c>
      <c r="I138" s="9" t="s">
        <v>68</v>
      </c>
      <c r="J138" s="4">
        <v>24</v>
      </c>
      <c r="K138" s="4" t="s">
        <v>13</v>
      </c>
      <c r="L138" s="4" t="s">
        <v>42</v>
      </c>
      <c r="M138" s="4" t="s">
        <v>25</v>
      </c>
      <c r="N138" s="10">
        <v>40245</v>
      </c>
      <c r="O138" s="6">
        <v>715.83500000000004</v>
      </c>
      <c r="P138" s="15">
        <f>IF(Table1[[#This Row],[Amount Spent]]&gt;3500, 3500,Table1[[#This Row],[Amount Spent]])</f>
        <v>715.83500000000004</v>
      </c>
    </row>
    <row r="139" spans="1:16" x14ac:dyDescent="0.35">
      <c r="A139" s="8">
        <v>139</v>
      </c>
      <c r="B139" s="1" t="s">
        <v>64</v>
      </c>
      <c r="C139" s="8" t="s">
        <v>61</v>
      </c>
      <c r="D139" s="8" t="s">
        <v>58</v>
      </c>
      <c r="E139" s="8" t="s">
        <v>70</v>
      </c>
      <c r="F139" s="8">
        <v>1</v>
      </c>
      <c r="G139" s="2">
        <v>66600</v>
      </c>
      <c r="H139" s="1">
        <v>0</v>
      </c>
      <c r="I139" s="8" t="s">
        <v>69</v>
      </c>
      <c r="J139" s="1">
        <v>18</v>
      </c>
      <c r="K139" s="1" t="s">
        <v>12</v>
      </c>
      <c r="L139" s="1" t="s">
        <v>55</v>
      </c>
      <c r="M139" s="1" t="s">
        <v>17</v>
      </c>
      <c r="N139" s="10">
        <v>41943</v>
      </c>
      <c r="O139" s="3">
        <v>1177.31</v>
      </c>
      <c r="P139" s="15">
        <f>IF(Table1[[#This Row],[Amount Spent]]&gt;3500, 3500,Table1[[#This Row],[Amount Spent]])</f>
        <v>1177.31</v>
      </c>
    </row>
    <row r="140" spans="1:16" x14ac:dyDescent="0.35">
      <c r="A140" s="9">
        <v>140</v>
      </c>
      <c r="B140" s="4" t="s">
        <v>64</v>
      </c>
      <c r="C140" s="9" t="s">
        <v>61</v>
      </c>
      <c r="D140" s="9" t="s">
        <v>66</v>
      </c>
      <c r="E140" s="9" t="s">
        <v>70</v>
      </c>
      <c r="F140" s="9">
        <v>1</v>
      </c>
      <c r="G140" s="5">
        <v>55100</v>
      </c>
      <c r="H140" s="4">
        <v>2</v>
      </c>
      <c r="I140" s="9" t="s">
        <v>8</v>
      </c>
      <c r="J140" s="4">
        <v>6</v>
      </c>
      <c r="K140" s="4" t="s">
        <v>14</v>
      </c>
      <c r="L140" s="4" t="s">
        <v>40</v>
      </c>
      <c r="M140" s="4" t="s">
        <v>37</v>
      </c>
      <c r="N140" s="10">
        <v>42043</v>
      </c>
      <c r="O140" s="6">
        <v>825.66600000000005</v>
      </c>
      <c r="P140" s="15">
        <f>IF(Table1[[#This Row],[Amount Spent]]&gt;3500, 3500,Table1[[#This Row],[Amount Spent]])</f>
        <v>825.66600000000005</v>
      </c>
    </row>
    <row r="141" spans="1:16" x14ac:dyDescent="0.35">
      <c r="A141" s="8">
        <v>141</v>
      </c>
      <c r="B141" s="1" t="s">
        <v>63</v>
      </c>
      <c r="C141" s="8" t="s">
        <v>62</v>
      </c>
      <c r="D141" s="8" t="s">
        <v>66</v>
      </c>
      <c r="E141" s="8" t="s">
        <v>70</v>
      </c>
      <c r="F141" s="8">
        <v>1</v>
      </c>
      <c r="G141" s="2">
        <v>10600</v>
      </c>
      <c r="H141" s="1">
        <v>2</v>
      </c>
      <c r="I141" s="8" t="s">
        <v>67</v>
      </c>
      <c r="J141" s="1">
        <v>12</v>
      </c>
      <c r="K141" s="1" t="s">
        <v>14</v>
      </c>
      <c r="L141" s="1" t="s">
        <v>49</v>
      </c>
      <c r="M141" s="1" t="s">
        <v>39</v>
      </c>
      <c r="N141" s="10">
        <v>41505</v>
      </c>
      <c r="O141" s="3">
        <v>114.02800000000001</v>
      </c>
      <c r="P141" s="15">
        <f>IF(Table1[[#This Row],[Amount Spent]]&gt;3500, 3500,Table1[[#This Row],[Amount Spent]])</f>
        <v>114.02800000000001</v>
      </c>
    </row>
    <row r="142" spans="1:16" x14ac:dyDescent="0.35">
      <c r="A142" s="9">
        <v>142</v>
      </c>
      <c r="B142" s="4" t="s">
        <v>65</v>
      </c>
      <c r="C142" s="9" t="s">
        <v>61</v>
      </c>
      <c r="D142" s="9" t="s">
        <v>66</v>
      </c>
      <c r="E142" s="9" t="s">
        <v>70</v>
      </c>
      <c r="F142" s="9">
        <v>1</v>
      </c>
      <c r="G142" s="5">
        <v>56300</v>
      </c>
      <c r="H142" s="4">
        <v>0</v>
      </c>
      <c r="I142" s="9" t="s">
        <v>68</v>
      </c>
      <c r="J142" s="4">
        <v>6</v>
      </c>
      <c r="K142" s="4" t="s">
        <v>15</v>
      </c>
      <c r="L142" s="4" t="s">
        <v>44</v>
      </c>
      <c r="M142" s="4" t="s">
        <v>29</v>
      </c>
      <c r="N142" s="10">
        <v>40619</v>
      </c>
      <c r="O142" s="6">
        <v>873.13900000000001</v>
      </c>
      <c r="P142" s="15">
        <f>IF(Table1[[#This Row],[Amount Spent]]&gt;3500, 3500,Table1[[#This Row],[Amount Spent]])</f>
        <v>873.13900000000001</v>
      </c>
    </row>
    <row r="143" spans="1:16" x14ac:dyDescent="0.35">
      <c r="A143" s="8">
        <v>143</v>
      </c>
      <c r="B143" s="1" t="s">
        <v>63</v>
      </c>
      <c r="C143" s="8" t="s">
        <v>61</v>
      </c>
      <c r="D143" s="8" t="s">
        <v>58</v>
      </c>
      <c r="E143" s="8" t="s">
        <v>2</v>
      </c>
      <c r="F143" s="8">
        <v>1</v>
      </c>
      <c r="G143" s="2">
        <v>58900</v>
      </c>
      <c r="H143" s="1">
        <v>0</v>
      </c>
      <c r="I143" s="8" t="s">
        <v>8</v>
      </c>
      <c r="J143" s="1">
        <v>18</v>
      </c>
      <c r="K143" s="1" t="s">
        <v>15</v>
      </c>
      <c r="L143" s="1" t="s">
        <v>28</v>
      </c>
      <c r="M143" s="1" t="s">
        <v>28</v>
      </c>
      <c r="N143" s="10">
        <v>42101</v>
      </c>
      <c r="O143" s="3">
        <v>1214.607</v>
      </c>
      <c r="P143" s="15">
        <f>IF(Table1[[#This Row],[Amount Spent]]&gt;3500, 3500,Table1[[#This Row],[Amount Spent]])</f>
        <v>1214.607</v>
      </c>
    </row>
    <row r="144" spans="1:16" x14ac:dyDescent="0.35">
      <c r="A144" s="9">
        <v>144</v>
      </c>
      <c r="B144" s="4" t="s">
        <v>64</v>
      </c>
      <c r="C144" s="9" t="s">
        <v>62</v>
      </c>
      <c r="D144" s="9" t="s">
        <v>58</v>
      </c>
      <c r="E144" s="9" t="s">
        <v>2</v>
      </c>
      <c r="F144" s="9">
        <v>1</v>
      </c>
      <c r="G144" s="5">
        <v>102500</v>
      </c>
      <c r="H144" s="4">
        <v>3</v>
      </c>
      <c r="I144" s="9" t="s">
        <v>67</v>
      </c>
      <c r="J144" s="4">
        <v>12</v>
      </c>
      <c r="K144" s="4" t="s">
        <v>15</v>
      </c>
      <c r="L144" s="4" t="s">
        <v>52</v>
      </c>
      <c r="M144" s="4" t="s">
        <v>31</v>
      </c>
      <c r="N144" s="10">
        <v>39956</v>
      </c>
      <c r="O144" s="6">
        <v>548.21199999999999</v>
      </c>
      <c r="P144" s="15">
        <f>IF(Table1[[#This Row],[Amount Spent]]&gt;3500, 3500,Table1[[#This Row],[Amount Spent]])</f>
        <v>548.21199999999999</v>
      </c>
    </row>
    <row r="145" spans="1:16" x14ac:dyDescent="0.35">
      <c r="A145" s="8">
        <v>145</v>
      </c>
      <c r="B145" s="1" t="s">
        <v>64</v>
      </c>
      <c r="C145" s="8" t="s">
        <v>61</v>
      </c>
      <c r="D145" s="8" t="s">
        <v>58</v>
      </c>
      <c r="E145" s="8" t="s">
        <v>70</v>
      </c>
      <c r="F145" s="8">
        <v>0</v>
      </c>
      <c r="G145" s="2">
        <v>71500</v>
      </c>
      <c r="H145" s="1">
        <v>0</v>
      </c>
      <c r="I145" s="8" t="s">
        <v>8</v>
      </c>
      <c r="J145" s="1">
        <v>6</v>
      </c>
      <c r="K145" s="1" t="s">
        <v>13</v>
      </c>
      <c r="L145" s="1" t="s">
        <v>42</v>
      </c>
      <c r="M145" s="1" t="s">
        <v>25</v>
      </c>
      <c r="N145" s="10">
        <v>42079</v>
      </c>
      <c r="O145" s="3">
        <v>963.64</v>
      </c>
      <c r="P145" s="15">
        <f>IF(Table1[[#This Row],[Amount Spent]]&gt;3500, 3500,Table1[[#This Row],[Amount Spent]])</f>
        <v>963.64</v>
      </c>
    </row>
    <row r="146" spans="1:16" x14ac:dyDescent="0.35">
      <c r="A146" s="9">
        <v>146</v>
      </c>
      <c r="B146" s="4" t="s">
        <v>65</v>
      </c>
      <c r="C146" s="9" t="s">
        <v>61</v>
      </c>
      <c r="D146" s="9" t="s">
        <v>58</v>
      </c>
      <c r="E146" s="9" t="s">
        <v>2</v>
      </c>
      <c r="F146" s="9">
        <v>1</v>
      </c>
      <c r="G146" s="5">
        <v>73300</v>
      </c>
      <c r="H146" s="4">
        <v>0</v>
      </c>
      <c r="I146" s="9" t="s">
        <v>8</v>
      </c>
      <c r="J146" s="4">
        <v>12</v>
      </c>
      <c r="K146" s="4" t="s">
        <v>13</v>
      </c>
      <c r="L146" s="4" t="s">
        <v>43</v>
      </c>
      <c r="M146" s="4" t="s">
        <v>23</v>
      </c>
      <c r="N146" s="10">
        <v>42035</v>
      </c>
      <c r="O146" s="6">
        <v>1694.4670000000001</v>
      </c>
      <c r="P146" s="15">
        <f>IF(Table1[[#This Row],[Amount Spent]]&gt;3500, 3500,Table1[[#This Row],[Amount Spent]])</f>
        <v>1694.4670000000001</v>
      </c>
    </row>
    <row r="147" spans="1:16" x14ac:dyDescent="0.35">
      <c r="A147" s="8">
        <v>147</v>
      </c>
      <c r="B147" s="1" t="s">
        <v>64</v>
      </c>
      <c r="C147" s="8" t="s">
        <v>61</v>
      </c>
      <c r="D147" s="8" t="s">
        <v>58</v>
      </c>
      <c r="E147" s="8" t="s">
        <v>2</v>
      </c>
      <c r="F147" s="8">
        <v>1</v>
      </c>
      <c r="G147" s="2">
        <v>69900</v>
      </c>
      <c r="H147" s="1">
        <v>1</v>
      </c>
      <c r="I147" s="8" t="s">
        <v>8</v>
      </c>
      <c r="J147" s="1">
        <v>18</v>
      </c>
      <c r="K147" s="1" t="s">
        <v>14</v>
      </c>
      <c r="L147" s="1" t="s">
        <v>51</v>
      </c>
      <c r="M147" s="1" t="s">
        <v>38</v>
      </c>
      <c r="N147" s="10">
        <v>42078</v>
      </c>
      <c r="O147" s="3">
        <v>2100.8910000000001</v>
      </c>
      <c r="P147" s="15">
        <f>IF(Table1[[#This Row],[Amount Spent]]&gt;3500, 3500,Table1[[#This Row],[Amount Spent]])</f>
        <v>2100.8910000000001</v>
      </c>
    </row>
    <row r="148" spans="1:16" x14ac:dyDescent="0.35">
      <c r="A148" s="9">
        <v>148</v>
      </c>
      <c r="B148" s="4" t="s">
        <v>63</v>
      </c>
      <c r="C148" s="9" t="s">
        <v>62</v>
      </c>
      <c r="D148" s="9" t="s">
        <v>66</v>
      </c>
      <c r="E148" s="9" t="s">
        <v>70</v>
      </c>
      <c r="F148" s="9">
        <v>1</v>
      </c>
      <c r="G148" s="5">
        <v>12100</v>
      </c>
      <c r="H148" s="4">
        <v>1</v>
      </c>
      <c r="I148" s="9" t="s">
        <v>67</v>
      </c>
      <c r="J148" s="4">
        <v>6</v>
      </c>
      <c r="K148" s="4" t="s">
        <v>12</v>
      </c>
      <c r="L148" s="4" t="s">
        <v>53</v>
      </c>
      <c r="M148" s="4" t="s">
        <v>19</v>
      </c>
      <c r="N148" s="10">
        <v>41529</v>
      </c>
      <c r="O148" s="6">
        <v>89.703000000000003</v>
      </c>
      <c r="P148" s="15">
        <f>IF(Table1[[#This Row],[Amount Spent]]&gt;3500, 3500,Table1[[#This Row],[Amount Spent]])</f>
        <v>89.703000000000003</v>
      </c>
    </row>
    <row r="149" spans="1:16" x14ac:dyDescent="0.35">
      <c r="A149" s="8">
        <v>149</v>
      </c>
      <c r="B149" s="1" t="s">
        <v>63</v>
      </c>
      <c r="C149" s="8" t="s">
        <v>62</v>
      </c>
      <c r="D149" s="8" t="s">
        <v>66</v>
      </c>
      <c r="E149" s="8" t="s">
        <v>70</v>
      </c>
      <c r="F149" s="8">
        <v>1</v>
      </c>
      <c r="G149" s="2">
        <v>23000</v>
      </c>
      <c r="H149" s="1">
        <v>3</v>
      </c>
      <c r="I149" s="8" t="s">
        <v>67</v>
      </c>
      <c r="J149" s="1">
        <v>6</v>
      </c>
      <c r="K149" s="1" t="s">
        <v>13</v>
      </c>
      <c r="L149" s="1" t="s">
        <v>43</v>
      </c>
      <c r="M149" s="1" t="s">
        <v>23</v>
      </c>
      <c r="N149" s="10">
        <v>42024</v>
      </c>
      <c r="O149" s="3">
        <v>78.701999999999998</v>
      </c>
      <c r="P149" s="15">
        <f>IF(Table1[[#This Row],[Amount Spent]]&gt;3500, 3500,Table1[[#This Row],[Amount Spent]])</f>
        <v>78.701999999999998</v>
      </c>
    </row>
    <row r="150" spans="1:16" x14ac:dyDescent="0.35">
      <c r="A150" s="9">
        <v>150</v>
      </c>
      <c r="B150" s="4" t="s">
        <v>64</v>
      </c>
      <c r="C150" s="9" t="s">
        <v>61</v>
      </c>
      <c r="D150" s="9" t="s">
        <v>66</v>
      </c>
      <c r="E150" s="9" t="s">
        <v>70</v>
      </c>
      <c r="F150" s="9">
        <v>1</v>
      </c>
      <c r="G150" s="5">
        <v>39500</v>
      </c>
      <c r="H150" s="4">
        <v>1</v>
      </c>
      <c r="I150" s="9" t="s">
        <v>8</v>
      </c>
      <c r="J150" s="4">
        <v>6</v>
      </c>
      <c r="K150" s="4" t="s">
        <v>14</v>
      </c>
      <c r="L150" s="4" t="s">
        <v>49</v>
      </c>
      <c r="M150" s="4" t="s">
        <v>39</v>
      </c>
      <c r="N150" s="10">
        <v>42132</v>
      </c>
      <c r="O150" s="6">
        <v>411.964</v>
      </c>
      <c r="P150" s="15">
        <f>IF(Table1[[#This Row],[Amount Spent]]&gt;3500, 3500,Table1[[#This Row],[Amount Spent]])</f>
        <v>411.964</v>
      </c>
    </row>
    <row r="151" spans="1:16" x14ac:dyDescent="0.35">
      <c r="A151" s="8">
        <v>151</v>
      </c>
      <c r="B151" s="1" t="s">
        <v>65</v>
      </c>
      <c r="C151" s="8" t="s">
        <v>61</v>
      </c>
      <c r="D151" s="8" t="s">
        <v>58</v>
      </c>
      <c r="E151" s="8" t="s">
        <v>2</v>
      </c>
      <c r="F151" s="8">
        <v>1</v>
      </c>
      <c r="G151" s="2">
        <v>55500</v>
      </c>
      <c r="H151" s="1">
        <v>0</v>
      </c>
      <c r="I151" s="8" t="s">
        <v>68</v>
      </c>
      <c r="J151" s="1">
        <v>18</v>
      </c>
      <c r="K151" s="1" t="s">
        <v>14</v>
      </c>
      <c r="L151" s="1" t="s">
        <v>50</v>
      </c>
      <c r="M151" s="1" t="s">
        <v>34</v>
      </c>
      <c r="N151" s="10">
        <v>39945</v>
      </c>
      <c r="O151" s="3">
        <v>857.976</v>
      </c>
      <c r="P151" s="15">
        <f>IF(Table1[[#This Row],[Amount Spent]]&gt;3500, 3500,Table1[[#This Row],[Amount Spent]])</f>
        <v>857.976</v>
      </c>
    </row>
    <row r="152" spans="1:16" x14ac:dyDescent="0.35">
      <c r="A152" s="9">
        <v>152</v>
      </c>
      <c r="B152" s="4" t="s">
        <v>64</v>
      </c>
      <c r="C152" s="9" t="s">
        <v>61</v>
      </c>
      <c r="D152" s="9" t="s">
        <v>66</v>
      </c>
      <c r="E152" s="9" t="s">
        <v>70</v>
      </c>
      <c r="F152" s="9">
        <v>1</v>
      </c>
      <c r="G152" s="5">
        <v>45600</v>
      </c>
      <c r="H152" s="4">
        <v>0</v>
      </c>
      <c r="I152" s="9" t="s">
        <v>68</v>
      </c>
      <c r="J152" s="4">
        <v>18</v>
      </c>
      <c r="K152" s="4" t="s">
        <v>12</v>
      </c>
      <c r="L152" s="4" t="s">
        <v>54</v>
      </c>
      <c r="M152" s="4" t="s">
        <v>21</v>
      </c>
      <c r="N152" s="10">
        <v>41915</v>
      </c>
      <c r="O152" s="6">
        <v>1387.9690000000001</v>
      </c>
      <c r="P152" s="15">
        <f>IF(Table1[[#This Row],[Amount Spent]]&gt;3500, 3500,Table1[[#This Row],[Amount Spent]])</f>
        <v>1387.9690000000001</v>
      </c>
    </row>
    <row r="153" spans="1:16" x14ac:dyDescent="0.35">
      <c r="A153" s="8">
        <v>153</v>
      </c>
      <c r="B153" s="1" t="s">
        <v>63</v>
      </c>
      <c r="C153" s="8" t="s">
        <v>61</v>
      </c>
      <c r="D153" s="8" t="s">
        <v>66</v>
      </c>
      <c r="E153" s="8" t="s">
        <v>70</v>
      </c>
      <c r="F153" s="8">
        <v>0</v>
      </c>
      <c r="G153" s="2">
        <v>19500</v>
      </c>
      <c r="H153" s="1">
        <v>0</v>
      </c>
      <c r="I153" s="8" t="s">
        <v>8</v>
      </c>
      <c r="J153" s="1">
        <v>24</v>
      </c>
      <c r="K153" s="1" t="s">
        <v>15</v>
      </c>
      <c r="L153" s="1" t="s">
        <v>42</v>
      </c>
      <c r="M153" s="1" t="s">
        <v>32</v>
      </c>
      <c r="N153" s="10">
        <v>42205</v>
      </c>
      <c r="O153" s="3">
        <v>571.447</v>
      </c>
      <c r="P153" s="15">
        <f>IF(Table1[[#This Row],[Amount Spent]]&gt;3500, 3500,Table1[[#This Row],[Amount Spent]])</f>
        <v>571.447</v>
      </c>
    </row>
    <row r="154" spans="1:16" x14ac:dyDescent="0.35">
      <c r="A154" s="9">
        <v>154</v>
      </c>
      <c r="B154" s="4" t="s">
        <v>64</v>
      </c>
      <c r="C154" s="9" t="s">
        <v>62</v>
      </c>
      <c r="D154" s="9" t="s">
        <v>58</v>
      </c>
      <c r="E154" s="9" t="s">
        <v>2</v>
      </c>
      <c r="F154" s="9">
        <v>0</v>
      </c>
      <c r="G154" s="5">
        <v>96800</v>
      </c>
      <c r="H154" s="4">
        <v>3</v>
      </c>
      <c r="I154" s="9" t="s">
        <v>8</v>
      </c>
      <c r="J154" s="4">
        <v>24</v>
      </c>
      <c r="K154" s="4" t="s">
        <v>13</v>
      </c>
      <c r="L154" s="4" t="s">
        <v>48</v>
      </c>
      <c r="M154" s="4" t="s">
        <v>27</v>
      </c>
      <c r="N154" s="10">
        <v>42122</v>
      </c>
      <c r="O154" s="6">
        <v>3081.5630000000001</v>
      </c>
      <c r="P154" s="15">
        <f>IF(Table1[[#This Row],[Amount Spent]]&gt;3500, 3500,Table1[[#This Row],[Amount Spent]])</f>
        <v>3081.5630000000001</v>
      </c>
    </row>
    <row r="155" spans="1:16" x14ac:dyDescent="0.35">
      <c r="A155" s="8">
        <v>155</v>
      </c>
      <c r="B155" s="1" t="s">
        <v>63</v>
      </c>
      <c r="C155" s="8" t="s">
        <v>62</v>
      </c>
      <c r="D155" s="8" t="s">
        <v>66</v>
      </c>
      <c r="E155" s="8" t="s">
        <v>70</v>
      </c>
      <c r="F155" s="8">
        <v>1</v>
      </c>
      <c r="G155" s="2">
        <v>10200</v>
      </c>
      <c r="H155" s="1">
        <v>3</v>
      </c>
      <c r="I155" s="8" t="s">
        <v>8</v>
      </c>
      <c r="J155" s="1">
        <v>6</v>
      </c>
      <c r="K155" s="1" t="s">
        <v>13</v>
      </c>
      <c r="L155" s="1" t="s">
        <v>45</v>
      </c>
      <c r="M155" s="1" t="s">
        <v>26</v>
      </c>
      <c r="N155" s="10">
        <v>42100</v>
      </c>
      <c r="O155" s="3">
        <v>198.50800000000001</v>
      </c>
      <c r="P155" s="15">
        <f>IF(Table1[[#This Row],[Amount Spent]]&gt;3500, 3500,Table1[[#This Row],[Amount Spent]])</f>
        <v>198.50800000000001</v>
      </c>
    </row>
    <row r="156" spans="1:16" x14ac:dyDescent="0.35">
      <c r="A156" s="9">
        <v>156</v>
      </c>
      <c r="B156" s="4" t="s">
        <v>64</v>
      </c>
      <c r="C156" s="9" t="s">
        <v>61</v>
      </c>
      <c r="D156" s="9" t="s">
        <v>58</v>
      </c>
      <c r="E156" s="9" t="s">
        <v>2</v>
      </c>
      <c r="F156" s="9">
        <v>1</v>
      </c>
      <c r="G156" s="5">
        <v>83700</v>
      </c>
      <c r="H156" s="4">
        <v>0</v>
      </c>
      <c r="I156" s="9" t="s">
        <v>69</v>
      </c>
      <c r="J156" s="4">
        <v>24</v>
      </c>
      <c r="K156" s="4" t="s">
        <v>15</v>
      </c>
      <c r="L156" s="4" t="s">
        <v>52</v>
      </c>
      <c r="M156" s="4" t="s">
        <v>31</v>
      </c>
      <c r="N156" s="10">
        <v>40395</v>
      </c>
      <c r="O156" s="6">
        <v>3343.9789999999998</v>
      </c>
      <c r="P156" s="15">
        <f>IF(Table1[[#This Row],[Amount Spent]]&gt;3500, 3500,Table1[[#This Row],[Amount Spent]])</f>
        <v>3343.9789999999998</v>
      </c>
    </row>
    <row r="157" spans="1:16" x14ac:dyDescent="0.35">
      <c r="A157" s="8">
        <v>157</v>
      </c>
      <c r="B157" s="1" t="s">
        <v>64</v>
      </c>
      <c r="C157" s="8" t="s">
        <v>62</v>
      </c>
      <c r="D157" s="8" t="s">
        <v>58</v>
      </c>
      <c r="E157" s="8" t="s">
        <v>2</v>
      </c>
      <c r="F157" s="8">
        <v>1</v>
      </c>
      <c r="G157" s="2">
        <v>72600</v>
      </c>
      <c r="H157" s="1">
        <v>1</v>
      </c>
      <c r="I157" s="8" t="s">
        <v>8</v>
      </c>
      <c r="J157" s="1">
        <v>18</v>
      </c>
      <c r="K157" s="1" t="s">
        <v>14</v>
      </c>
      <c r="L157" s="1" t="s">
        <v>49</v>
      </c>
      <c r="M157" s="1" t="s">
        <v>39</v>
      </c>
      <c r="N157" s="10">
        <v>42241</v>
      </c>
      <c r="O157" s="3">
        <v>1999.115</v>
      </c>
      <c r="P157" s="15">
        <f>IF(Table1[[#This Row],[Amount Spent]]&gt;3500, 3500,Table1[[#This Row],[Amount Spent]])</f>
        <v>1999.115</v>
      </c>
    </row>
    <row r="158" spans="1:16" x14ac:dyDescent="0.35">
      <c r="A158" s="9">
        <v>158</v>
      </c>
      <c r="B158" s="4" t="s">
        <v>64</v>
      </c>
      <c r="C158" s="9" t="s">
        <v>61</v>
      </c>
      <c r="D158" s="9" t="s">
        <v>66</v>
      </c>
      <c r="E158" s="9" t="s">
        <v>70</v>
      </c>
      <c r="F158" s="9">
        <v>0</v>
      </c>
      <c r="G158" s="5">
        <v>40500</v>
      </c>
      <c r="H158" s="4">
        <v>1</v>
      </c>
      <c r="I158" s="9" t="s">
        <v>8</v>
      </c>
      <c r="J158" s="4">
        <v>18</v>
      </c>
      <c r="K158" s="4" t="s">
        <v>15</v>
      </c>
      <c r="L158" s="4" t="s">
        <v>28</v>
      </c>
      <c r="M158" s="4" t="s">
        <v>33</v>
      </c>
      <c r="N158" s="10">
        <v>42177</v>
      </c>
      <c r="O158" s="6">
        <v>1072.8620000000001</v>
      </c>
      <c r="P158" s="15">
        <f>IF(Table1[[#This Row],[Amount Spent]]&gt;3500, 3500,Table1[[#This Row],[Amount Spent]])</f>
        <v>1072.8620000000001</v>
      </c>
    </row>
    <row r="159" spans="1:16" x14ac:dyDescent="0.35">
      <c r="A159" s="8">
        <v>159</v>
      </c>
      <c r="B159" s="1" t="s">
        <v>64</v>
      </c>
      <c r="C159" s="8" t="s">
        <v>61</v>
      </c>
      <c r="D159" s="8" t="s">
        <v>58</v>
      </c>
      <c r="E159" s="8" t="s">
        <v>2</v>
      </c>
      <c r="F159" s="8">
        <v>1</v>
      </c>
      <c r="G159" s="2">
        <v>63300</v>
      </c>
      <c r="H159" s="1">
        <v>2</v>
      </c>
      <c r="I159" s="8" t="s">
        <v>8</v>
      </c>
      <c r="J159" s="1">
        <v>6</v>
      </c>
      <c r="K159" s="1" t="s">
        <v>15</v>
      </c>
      <c r="L159" s="1" t="s">
        <v>44</v>
      </c>
      <c r="M159" s="1" t="s">
        <v>29</v>
      </c>
      <c r="N159" s="10">
        <v>42100</v>
      </c>
      <c r="O159" s="3">
        <v>632.70299999999997</v>
      </c>
      <c r="P159" s="15">
        <f>IF(Table1[[#This Row],[Amount Spent]]&gt;3500, 3500,Table1[[#This Row],[Amount Spent]])</f>
        <v>632.70299999999997</v>
      </c>
    </row>
    <row r="160" spans="1:16" x14ac:dyDescent="0.35">
      <c r="A160" s="9">
        <v>160</v>
      </c>
      <c r="B160" s="4" t="s">
        <v>63</v>
      </c>
      <c r="C160" s="9" t="s">
        <v>61</v>
      </c>
      <c r="D160" s="9" t="s">
        <v>66</v>
      </c>
      <c r="E160" s="9" t="s">
        <v>70</v>
      </c>
      <c r="F160" s="9">
        <v>1</v>
      </c>
      <c r="G160" s="5">
        <v>14800</v>
      </c>
      <c r="H160" s="4">
        <v>3</v>
      </c>
      <c r="I160" s="9" t="s">
        <v>8</v>
      </c>
      <c r="J160" s="4">
        <v>12</v>
      </c>
      <c r="K160" s="4" t="s">
        <v>15</v>
      </c>
      <c r="L160" s="4" t="s">
        <v>28</v>
      </c>
      <c r="M160" s="4" t="s">
        <v>28</v>
      </c>
      <c r="N160" s="10">
        <v>42065</v>
      </c>
      <c r="O160" s="6">
        <v>435.74700000000001</v>
      </c>
      <c r="P160" s="15">
        <f>IF(Table1[[#This Row],[Amount Spent]]&gt;3500, 3500,Table1[[#This Row],[Amount Spent]])</f>
        <v>435.74700000000001</v>
      </c>
    </row>
    <row r="161" spans="1:16" x14ac:dyDescent="0.35">
      <c r="A161" s="8">
        <v>161</v>
      </c>
      <c r="B161" s="1" t="s">
        <v>65</v>
      </c>
      <c r="C161" s="8" t="s">
        <v>62</v>
      </c>
      <c r="D161" s="8" t="s">
        <v>66</v>
      </c>
      <c r="E161" s="8" t="s">
        <v>2</v>
      </c>
      <c r="F161" s="8">
        <v>1</v>
      </c>
      <c r="G161" s="2">
        <v>84800</v>
      </c>
      <c r="H161" s="1">
        <v>0</v>
      </c>
      <c r="I161" s="8" t="s">
        <v>69</v>
      </c>
      <c r="J161" s="1">
        <v>18</v>
      </c>
      <c r="K161" s="1" t="s">
        <v>13</v>
      </c>
      <c r="L161" s="1" t="s">
        <v>45</v>
      </c>
      <c r="M161" s="1" t="s">
        <v>26</v>
      </c>
      <c r="N161" s="10">
        <v>40263</v>
      </c>
      <c r="O161" s="3">
        <v>2623.6680000000001</v>
      </c>
      <c r="P161" s="15">
        <f>IF(Table1[[#This Row],[Amount Spent]]&gt;3500, 3500,Table1[[#This Row],[Amount Spent]])</f>
        <v>2623.6680000000001</v>
      </c>
    </row>
    <row r="162" spans="1:16" x14ac:dyDescent="0.35">
      <c r="A162" s="9">
        <v>162</v>
      </c>
      <c r="B162" s="4" t="s">
        <v>64</v>
      </c>
      <c r="C162" s="9" t="s">
        <v>62</v>
      </c>
      <c r="D162" s="9" t="s">
        <v>58</v>
      </c>
      <c r="E162" s="9" t="s">
        <v>2</v>
      </c>
      <c r="F162" s="9">
        <v>1</v>
      </c>
      <c r="G162" s="5">
        <v>62200</v>
      </c>
      <c r="H162" s="4">
        <v>3</v>
      </c>
      <c r="I162" s="9" t="s">
        <v>8</v>
      </c>
      <c r="J162" s="4">
        <v>24</v>
      </c>
      <c r="K162" s="4" t="s">
        <v>13</v>
      </c>
      <c r="L162" s="4" t="s">
        <v>45</v>
      </c>
      <c r="M162" s="4" t="s">
        <v>26</v>
      </c>
      <c r="N162" s="10">
        <v>40701</v>
      </c>
      <c r="O162" s="6">
        <v>2119.13</v>
      </c>
      <c r="P162" s="15">
        <f>IF(Table1[[#This Row],[Amount Spent]]&gt;3500, 3500,Table1[[#This Row],[Amount Spent]])</f>
        <v>2119.13</v>
      </c>
    </row>
    <row r="163" spans="1:16" x14ac:dyDescent="0.35">
      <c r="A163" s="8">
        <v>163</v>
      </c>
      <c r="B163" s="1" t="s">
        <v>64</v>
      </c>
      <c r="C163" s="8" t="s">
        <v>61</v>
      </c>
      <c r="D163" s="8" t="s">
        <v>66</v>
      </c>
      <c r="E163" s="8" t="s">
        <v>2</v>
      </c>
      <c r="F163" s="8">
        <v>0</v>
      </c>
      <c r="G163" s="2">
        <v>84100</v>
      </c>
      <c r="H163" s="1">
        <v>1</v>
      </c>
      <c r="I163" s="8" t="s">
        <v>69</v>
      </c>
      <c r="J163" s="1">
        <v>24</v>
      </c>
      <c r="K163" s="1" t="s">
        <v>14</v>
      </c>
      <c r="L163" s="1" t="s">
        <v>50</v>
      </c>
      <c r="M163" s="1" t="s">
        <v>34</v>
      </c>
      <c r="N163" s="10">
        <v>41561</v>
      </c>
      <c r="O163" s="3">
        <v>2362.0300000000002</v>
      </c>
      <c r="P163" s="15">
        <f>IF(Table1[[#This Row],[Amount Spent]]&gt;3500, 3500,Table1[[#This Row],[Amount Spent]])</f>
        <v>2362.0300000000002</v>
      </c>
    </row>
    <row r="164" spans="1:16" x14ac:dyDescent="0.35">
      <c r="A164" s="9">
        <v>164</v>
      </c>
      <c r="B164" s="4" t="s">
        <v>63</v>
      </c>
      <c r="C164" s="9" t="s">
        <v>62</v>
      </c>
      <c r="D164" s="9" t="s">
        <v>66</v>
      </c>
      <c r="E164" s="9" t="s">
        <v>70</v>
      </c>
      <c r="F164" s="9">
        <v>1</v>
      </c>
      <c r="G164" s="5">
        <v>26600</v>
      </c>
      <c r="H164" s="4">
        <v>2</v>
      </c>
      <c r="I164" s="9" t="s">
        <v>67</v>
      </c>
      <c r="J164" s="4">
        <v>24</v>
      </c>
      <c r="K164" s="4" t="s">
        <v>14</v>
      </c>
      <c r="L164" s="4" t="s">
        <v>40</v>
      </c>
      <c r="M164" s="4" t="s">
        <v>37</v>
      </c>
      <c r="N164" s="10">
        <v>41138</v>
      </c>
      <c r="O164" s="6">
        <v>245.21299999999999</v>
      </c>
      <c r="P164" s="15">
        <f>IF(Table1[[#This Row],[Amount Spent]]&gt;3500, 3500,Table1[[#This Row],[Amount Spent]])</f>
        <v>245.21299999999999</v>
      </c>
    </row>
    <row r="165" spans="1:16" x14ac:dyDescent="0.35">
      <c r="A165" s="8">
        <v>165</v>
      </c>
      <c r="B165" s="1" t="s">
        <v>65</v>
      </c>
      <c r="C165" s="8" t="s">
        <v>62</v>
      </c>
      <c r="D165" s="8" t="s">
        <v>66</v>
      </c>
      <c r="E165" s="8" t="s">
        <v>70</v>
      </c>
      <c r="F165" s="8">
        <v>1</v>
      </c>
      <c r="G165" s="2">
        <v>42500</v>
      </c>
      <c r="H165" s="1">
        <v>0</v>
      </c>
      <c r="I165" s="8" t="s">
        <v>68</v>
      </c>
      <c r="J165" s="1">
        <v>24</v>
      </c>
      <c r="K165" s="1" t="s">
        <v>14</v>
      </c>
      <c r="L165" s="1" t="s">
        <v>51</v>
      </c>
      <c r="M165" s="1" t="s">
        <v>38</v>
      </c>
      <c r="N165" s="10">
        <v>41057</v>
      </c>
      <c r="O165" s="3">
        <v>918.16600000000005</v>
      </c>
      <c r="P165" s="15">
        <f>IF(Table1[[#This Row],[Amount Spent]]&gt;3500, 3500,Table1[[#This Row],[Amount Spent]])</f>
        <v>918.16600000000005</v>
      </c>
    </row>
    <row r="166" spans="1:16" x14ac:dyDescent="0.35">
      <c r="A166" s="9">
        <v>166</v>
      </c>
      <c r="B166" s="4" t="s">
        <v>63</v>
      </c>
      <c r="C166" s="9" t="s">
        <v>61</v>
      </c>
      <c r="D166" s="9" t="s">
        <v>66</v>
      </c>
      <c r="E166" s="9" t="s">
        <v>70</v>
      </c>
      <c r="F166" s="9">
        <v>0</v>
      </c>
      <c r="G166" s="5">
        <v>15300</v>
      </c>
      <c r="H166" s="4">
        <v>0</v>
      </c>
      <c r="I166" s="9" t="s">
        <v>67</v>
      </c>
      <c r="J166" s="4">
        <v>24</v>
      </c>
      <c r="K166" s="4" t="s">
        <v>13</v>
      </c>
      <c r="L166" s="4" t="s">
        <v>42</v>
      </c>
      <c r="M166" s="4" t="s">
        <v>25</v>
      </c>
      <c r="N166" s="10">
        <v>40050</v>
      </c>
      <c r="O166" s="6">
        <v>644.75800000000004</v>
      </c>
      <c r="P166" s="15">
        <f>IF(Table1[[#This Row],[Amount Spent]]&gt;3500, 3500,Table1[[#This Row],[Amount Spent]])</f>
        <v>644.75800000000004</v>
      </c>
    </row>
    <row r="167" spans="1:16" x14ac:dyDescent="0.35">
      <c r="A167" s="8">
        <v>167</v>
      </c>
      <c r="B167" s="1" t="s">
        <v>64</v>
      </c>
      <c r="C167" s="8" t="s">
        <v>61</v>
      </c>
      <c r="D167" s="8" t="s">
        <v>58</v>
      </c>
      <c r="E167" s="8" t="s">
        <v>2</v>
      </c>
      <c r="F167" s="8">
        <v>1</v>
      </c>
      <c r="G167" s="2">
        <v>67600</v>
      </c>
      <c r="H167" s="1">
        <v>1</v>
      </c>
      <c r="I167" s="8" t="s">
        <v>68</v>
      </c>
      <c r="J167" s="1">
        <v>18</v>
      </c>
      <c r="K167" s="1" t="s">
        <v>15</v>
      </c>
      <c r="L167" s="1" t="s">
        <v>52</v>
      </c>
      <c r="M167" s="1" t="s">
        <v>31</v>
      </c>
      <c r="N167" s="10">
        <v>40932</v>
      </c>
      <c r="O167" s="3">
        <v>1172.373</v>
      </c>
      <c r="P167" s="15">
        <f>IF(Table1[[#This Row],[Amount Spent]]&gt;3500, 3500,Table1[[#This Row],[Amount Spent]])</f>
        <v>1172.373</v>
      </c>
    </row>
    <row r="168" spans="1:16" x14ac:dyDescent="0.35">
      <c r="A168" s="9">
        <v>168</v>
      </c>
      <c r="B168" s="4" t="s">
        <v>63</v>
      </c>
      <c r="C168" s="9" t="s">
        <v>61</v>
      </c>
      <c r="D168" s="9" t="s">
        <v>66</v>
      </c>
      <c r="E168" s="9" t="s">
        <v>70</v>
      </c>
      <c r="F168" s="9">
        <v>1</v>
      </c>
      <c r="G168" s="5">
        <v>15200</v>
      </c>
      <c r="H168" s="4">
        <v>0</v>
      </c>
      <c r="I168" s="9" t="s">
        <v>8</v>
      </c>
      <c r="J168" s="4">
        <v>12</v>
      </c>
      <c r="K168" s="4" t="s">
        <v>14</v>
      </c>
      <c r="L168" s="4" t="s">
        <v>40</v>
      </c>
      <c r="M168" s="4" t="s">
        <v>36</v>
      </c>
      <c r="N168" s="10">
        <v>42034</v>
      </c>
      <c r="O168" s="6">
        <v>323.86399999999998</v>
      </c>
      <c r="P168" s="15">
        <f>IF(Table1[[#This Row],[Amount Spent]]&gt;3500, 3500,Table1[[#This Row],[Amount Spent]])</f>
        <v>323.86399999999998</v>
      </c>
    </row>
    <row r="169" spans="1:16" x14ac:dyDescent="0.35">
      <c r="A169" s="8">
        <v>169</v>
      </c>
      <c r="B169" s="1" t="s">
        <v>64</v>
      </c>
      <c r="C169" s="8" t="s">
        <v>62</v>
      </c>
      <c r="D169" s="8" t="s">
        <v>58</v>
      </c>
      <c r="E169" s="8" t="s">
        <v>70</v>
      </c>
      <c r="F169" s="8">
        <v>0</v>
      </c>
      <c r="G169" s="2">
        <v>56000</v>
      </c>
      <c r="H169" s="1">
        <v>3</v>
      </c>
      <c r="I169" s="8" t="s">
        <v>68</v>
      </c>
      <c r="J169" s="1">
        <v>6</v>
      </c>
      <c r="K169" s="1" t="s">
        <v>14</v>
      </c>
      <c r="L169" s="1" t="s">
        <v>51</v>
      </c>
      <c r="M169" s="1" t="s">
        <v>38</v>
      </c>
      <c r="N169" s="10">
        <v>41973</v>
      </c>
      <c r="O169" s="3">
        <v>530.26700000000005</v>
      </c>
      <c r="P169" s="15">
        <f>IF(Table1[[#This Row],[Amount Spent]]&gt;3500, 3500,Table1[[#This Row],[Amount Spent]])</f>
        <v>530.26700000000005</v>
      </c>
    </row>
    <row r="170" spans="1:16" x14ac:dyDescent="0.35">
      <c r="A170" s="9">
        <v>170</v>
      </c>
      <c r="B170" s="4" t="s">
        <v>64</v>
      </c>
      <c r="C170" s="9" t="s">
        <v>62</v>
      </c>
      <c r="D170" s="9" t="s">
        <v>58</v>
      </c>
      <c r="E170" s="9" t="s">
        <v>2</v>
      </c>
      <c r="F170" s="9">
        <v>1</v>
      </c>
      <c r="G170" s="5">
        <v>84800</v>
      </c>
      <c r="H170" s="4">
        <v>1</v>
      </c>
      <c r="I170" s="9" t="s">
        <v>8</v>
      </c>
      <c r="J170" s="4">
        <v>12</v>
      </c>
      <c r="K170" s="4" t="s">
        <v>14</v>
      </c>
      <c r="L170" s="4" t="s">
        <v>40</v>
      </c>
      <c r="M170" s="4" t="s">
        <v>36</v>
      </c>
      <c r="N170" s="10">
        <v>42081</v>
      </c>
      <c r="O170" s="6">
        <v>1826.338</v>
      </c>
      <c r="P170" s="15">
        <f>IF(Table1[[#This Row],[Amount Spent]]&gt;3500, 3500,Table1[[#This Row],[Amount Spent]])</f>
        <v>1826.338</v>
      </c>
    </row>
    <row r="171" spans="1:16" x14ac:dyDescent="0.35">
      <c r="A171" s="8">
        <v>171</v>
      </c>
      <c r="B171" s="1" t="s">
        <v>63</v>
      </c>
      <c r="C171" s="8" t="s">
        <v>62</v>
      </c>
      <c r="D171" s="8" t="s">
        <v>66</v>
      </c>
      <c r="E171" s="8" t="s">
        <v>70</v>
      </c>
      <c r="F171" s="8">
        <v>1</v>
      </c>
      <c r="G171" s="2">
        <v>10600</v>
      </c>
      <c r="H171" s="1">
        <v>2</v>
      </c>
      <c r="I171" s="8" t="s">
        <v>8</v>
      </c>
      <c r="J171" s="1">
        <v>24</v>
      </c>
      <c r="K171" s="1" t="s">
        <v>14</v>
      </c>
      <c r="L171" s="1" t="s">
        <v>50</v>
      </c>
      <c r="M171" s="1" t="s">
        <v>34</v>
      </c>
      <c r="N171" s="10">
        <v>42112</v>
      </c>
      <c r="O171" s="3">
        <v>516.68700000000001</v>
      </c>
      <c r="P171" s="15">
        <f>IF(Table1[[#This Row],[Amount Spent]]&gt;3500, 3500,Table1[[#This Row],[Amount Spent]])</f>
        <v>516.68700000000001</v>
      </c>
    </row>
    <row r="172" spans="1:16" x14ac:dyDescent="0.35">
      <c r="A172" s="9">
        <v>172</v>
      </c>
      <c r="B172" s="4" t="s">
        <v>65</v>
      </c>
      <c r="C172" s="9" t="s">
        <v>62</v>
      </c>
      <c r="D172" s="9" t="s">
        <v>66</v>
      </c>
      <c r="E172" s="9" t="s">
        <v>2</v>
      </c>
      <c r="F172" s="9">
        <v>0</v>
      </c>
      <c r="G172" s="5">
        <v>88400</v>
      </c>
      <c r="H172" s="4">
        <v>0</v>
      </c>
      <c r="I172" s="9" t="s">
        <v>69</v>
      </c>
      <c r="J172" s="4">
        <v>18</v>
      </c>
      <c r="K172" s="4" t="s">
        <v>15</v>
      </c>
      <c r="L172" s="4" t="s">
        <v>52</v>
      </c>
      <c r="M172" s="4" t="s">
        <v>31</v>
      </c>
      <c r="N172" s="10">
        <v>41388</v>
      </c>
      <c r="O172" s="6">
        <v>3631.8719999999998</v>
      </c>
      <c r="P172" s="15">
        <f>IF(Table1[[#This Row],[Amount Spent]]&gt;3500, 3500,Table1[[#This Row],[Amount Spent]])</f>
        <v>3500</v>
      </c>
    </row>
    <row r="173" spans="1:16" x14ac:dyDescent="0.35">
      <c r="A173" s="8">
        <v>173</v>
      </c>
      <c r="B173" s="1" t="s">
        <v>64</v>
      </c>
      <c r="C173" s="8" t="s">
        <v>61</v>
      </c>
      <c r="D173" s="8" t="s">
        <v>58</v>
      </c>
      <c r="E173" s="8" t="s">
        <v>2</v>
      </c>
      <c r="F173" s="8">
        <v>1</v>
      </c>
      <c r="G173" s="2">
        <v>87200</v>
      </c>
      <c r="H173" s="1">
        <v>0</v>
      </c>
      <c r="I173" s="8" t="s">
        <v>69</v>
      </c>
      <c r="J173" s="1">
        <v>18</v>
      </c>
      <c r="K173" s="1" t="s">
        <v>12</v>
      </c>
      <c r="L173" s="1" t="s">
        <v>47</v>
      </c>
      <c r="M173" s="1" t="s">
        <v>16</v>
      </c>
      <c r="N173" s="10">
        <v>41092</v>
      </c>
      <c r="O173" s="3">
        <v>1273.7570000000001</v>
      </c>
      <c r="P173" s="15">
        <f>IF(Table1[[#This Row],[Amount Spent]]&gt;3500, 3500,Table1[[#This Row],[Amount Spent]])</f>
        <v>1273.7570000000001</v>
      </c>
    </row>
    <row r="174" spans="1:16" x14ac:dyDescent="0.35">
      <c r="A174" s="9">
        <v>174</v>
      </c>
      <c r="B174" s="4" t="s">
        <v>64</v>
      </c>
      <c r="C174" s="9" t="s">
        <v>61</v>
      </c>
      <c r="D174" s="9" t="s">
        <v>66</v>
      </c>
      <c r="E174" s="9" t="s">
        <v>2</v>
      </c>
      <c r="F174" s="9">
        <v>1</v>
      </c>
      <c r="G174" s="5">
        <v>106700</v>
      </c>
      <c r="H174" s="4">
        <v>2</v>
      </c>
      <c r="I174" s="9" t="s">
        <v>68</v>
      </c>
      <c r="J174" s="4">
        <v>6</v>
      </c>
      <c r="K174" s="4" t="s">
        <v>13</v>
      </c>
      <c r="L174" s="4" t="s">
        <v>42</v>
      </c>
      <c r="M174" s="4" t="s">
        <v>25</v>
      </c>
      <c r="N174" s="10">
        <v>41709</v>
      </c>
      <c r="O174" s="6">
        <v>607.17399999999998</v>
      </c>
      <c r="P174" s="15">
        <f>IF(Table1[[#This Row],[Amount Spent]]&gt;3500, 3500,Table1[[#This Row],[Amount Spent]])</f>
        <v>607.17399999999998</v>
      </c>
    </row>
    <row r="175" spans="1:16" x14ac:dyDescent="0.35">
      <c r="A175" s="8">
        <v>175</v>
      </c>
      <c r="B175" s="1" t="s">
        <v>63</v>
      </c>
      <c r="C175" s="8" t="s">
        <v>61</v>
      </c>
      <c r="D175" s="8" t="s">
        <v>66</v>
      </c>
      <c r="E175" s="8" t="s">
        <v>70</v>
      </c>
      <c r="F175" s="8">
        <v>1</v>
      </c>
      <c r="G175" s="2">
        <v>27100</v>
      </c>
      <c r="H175" s="1">
        <v>1</v>
      </c>
      <c r="I175" s="8" t="s">
        <v>67</v>
      </c>
      <c r="J175" s="1">
        <v>12</v>
      </c>
      <c r="K175" s="1" t="s">
        <v>13</v>
      </c>
      <c r="L175" s="1" t="s">
        <v>56</v>
      </c>
      <c r="M175" s="1" t="s">
        <v>24</v>
      </c>
      <c r="N175" s="10">
        <v>41514</v>
      </c>
      <c r="O175" s="3">
        <v>268.31099999999998</v>
      </c>
      <c r="P175" s="15">
        <f>IF(Table1[[#This Row],[Amount Spent]]&gt;3500, 3500,Table1[[#This Row],[Amount Spent]])</f>
        <v>268.31099999999998</v>
      </c>
    </row>
    <row r="176" spans="1:16" x14ac:dyDescent="0.35">
      <c r="A176" s="9">
        <v>176</v>
      </c>
      <c r="B176" s="4" t="s">
        <v>64</v>
      </c>
      <c r="C176" s="9" t="s">
        <v>62</v>
      </c>
      <c r="D176" s="9" t="s">
        <v>58</v>
      </c>
      <c r="E176" s="9" t="s">
        <v>70</v>
      </c>
      <c r="F176" s="9">
        <v>1</v>
      </c>
      <c r="G176" s="5">
        <v>46600</v>
      </c>
      <c r="H176" s="4">
        <v>2</v>
      </c>
      <c r="I176" s="9" t="s">
        <v>8</v>
      </c>
      <c r="J176" s="4">
        <v>18</v>
      </c>
      <c r="K176" s="4" t="s">
        <v>13</v>
      </c>
      <c r="L176" s="4" t="s">
        <v>56</v>
      </c>
      <c r="M176" s="4" t="s">
        <v>24</v>
      </c>
      <c r="N176" s="10">
        <v>42172</v>
      </c>
      <c r="O176" s="6">
        <v>1152.7719999999999</v>
      </c>
      <c r="P176" s="15">
        <f>IF(Table1[[#This Row],[Amount Spent]]&gt;3500, 3500,Table1[[#This Row],[Amount Spent]])</f>
        <v>1152.7719999999999</v>
      </c>
    </row>
    <row r="177" spans="1:16" x14ac:dyDescent="0.35">
      <c r="A177" s="8">
        <v>177</v>
      </c>
      <c r="B177" s="1" t="s">
        <v>64</v>
      </c>
      <c r="C177" s="8" t="s">
        <v>62</v>
      </c>
      <c r="D177" s="8" t="s">
        <v>58</v>
      </c>
      <c r="E177" s="8" t="s">
        <v>70</v>
      </c>
      <c r="F177" s="8">
        <v>1</v>
      </c>
      <c r="G177" s="2">
        <v>49100</v>
      </c>
      <c r="H177" s="1">
        <v>2</v>
      </c>
      <c r="I177" s="8" t="s">
        <v>67</v>
      </c>
      <c r="J177" s="1">
        <v>6</v>
      </c>
      <c r="K177" s="1" t="s">
        <v>14</v>
      </c>
      <c r="L177" s="1" t="s">
        <v>40</v>
      </c>
      <c r="M177" s="1" t="s">
        <v>36</v>
      </c>
      <c r="N177" s="10">
        <v>40007</v>
      </c>
      <c r="O177" s="3">
        <v>474.06099999999998</v>
      </c>
      <c r="P177" s="15">
        <f>IF(Table1[[#This Row],[Amount Spent]]&gt;3500, 3500,Table1[[#This Row],[Amount Spent]])</f>
        <v>474.06099999999998</v>
      </c>
    </row>
    <row r="178" spans="1:16" x14ac:dyDescent="0.35">
      <c r="A178" s="9">
        <v>178</v>
      </c>
      <c r="B178" s="4" t="s">
        <v>64</v>
      </c>
      <c r="C178" s="9" t="s">
        <v>62</v>
      </c>
      <c r="D178" s="9" t="s">
        <v>58</v>
      </c>
      <c r="E178" s="9" t="s">
        <v>70</v>
      </c>
      <c r="F178" s="9">
        <v>1</v>
      </c>
      <c r="G178" s="5">
        <v>35200</v>
      </c>
      <c r="H178" s="4">
        <v>0</v>
      </c>
      <c r="I178" s="9" t="s">
        <v>68</v>
      </c>
      <c r="J178" s="4">
        <v>12</v>
      </c>
      <c r="K178" s="4" t="s">
        <v>12</v>
      </c>
      <c r="L178" s="4" t="s">
        <v>47</v>
      </c>
      <c r="M178" s="4" t="s">
        <v>16</v>
      </c>
      <c r="N178" s="10">
        <v>41095</v>
      </c>
      <c r="O178" s="6">
        <v>606.50699999999995</v>
      </c>
      <c r="P178" s="15">
        <f>IF(Table1[[#This Row],[Amount Spent]]&gt;3500, 3500,Table1[[#This Row],[Amount Spent]])</f>
        <v>606.50699999999995</v>
      </c>
    </row>
    <row r="179" spans="1:16" x14ac:dyDescent="0.35">
      <c r="A179" s="8">
        <v>179</v>
      </c>
      <c r="B179" s="1" t="s">
        <v>65</v>
      </c>
      <c r="C179" s="8" t="s">
        <v>62</v>
      </c>
      <c r="D179" s="8" t="s">
        <v>58</v>
      </c>
      <c r="E179" s="8" t="s">
        <v>70</v>
      </c>
      <c r="F179" s="8">
        <v>1</v>
      </c>
      <c r="G179" s="2">
        <v>35200</v>
      </c>
      <c r="H179" s="1">
        <v>0</v>
      </c>
      <c r="I179" s="8" t="s">
        <v>8</v>
      </c>
      <c r="J179" s="1">
        <v>12</v>
      </c>
      <c r="K179" s="1" t="s">
        <v>12</v>
      </c>
      <c r="L179" s="1" t="s">
        <v>54</v>
      </c>
      <c r="M179" s="1" t="s">
        <v>21</v>
      </c>
      <c r="N179" s="10">
        <v>42191</v>
      </c>
      <c r="O179" s="3">
        <v>827.17200000000003</v>
      </c>
      <c r="P179" s="15">
        <f>IF(Table1[[#This Row],[Amount Spent]]&gt;3500, 3500,Table1[[#This Row],[Amount Spent]])</f>
        <v>827.17200000000003</v>
      </c>
    </row>
    <row r="180" spans="1:16" x14ac:dyDescent="0.35">
      <c r="A180" s="9">
        <v>180</v>
      </c>
      <c r="B180" s="4" t="s">
        <v>65</v>
      </c>
      <c r="C180" s="9" t="s">
        <v>62</v>
      </c>
      <c r="D180" s="9" t="s">
        <v>58</v>
      </c>
      <c r="E180" s="9" t="s">
        <v>2</v>
      </c>
      <c r="F180" s="9">
        <v>0</v>
      </c>
      <c r="G180" s="5">
        <v>84100</v>
      </c>
      <c r="H180" s="4">
        <v>0</v>
      </c>
      <c r="I180" s="9" t="s">
        <v>69</v>
      </c>
      <c r="J180" s="4">
        <v>18</v>
      </c>
      <c r="K180" s="4" t="s">
        <v>15</v>
      </c>
      <c r="L180" s="4" t="s">
        <v>52</v>
      </c>
      <c r="M180" s="4" t="s">
        <v>30</v>
      </c>
      <c r="N180" s="10">
        <v>40329</v>
      </c>
      <c r="O180" s="6">
        <v>2710.0410000000002</v>
      </c>
      <c r="P180" s="15">
        <f>IF(Table1[[#This Row],[Amount Spent]]&gt;3500, 3500,Table1[[#This Row],[Amount Spent]])</f>
        <v>2710.0410000000002</v>
      </c>
    </row>
    <row r="181" spans="1:16" x14ac:dyDescent="0.35">
      <c r="A181" s="8">
        <v>181</v>
      </c>
      <c r="B181" s="1" t="s">
        <v>63</v>
      </c>
      <c r="C181" s="8" t="s">
        <v>61</v>
      </c>
      <c r="D181" s="8" t="s">
        <v>66</v>
      </c>
      <c r="E181" s="8" t="s">
        <v>70</v>
      </c>
      <c r="F181" s="8">
        <v>1</v>
      </c>
      <c r="G181" s="2">
        <v>25800</v>
      </c>
      <c r="H181" s="1">
        <v>0</v>
      </c>
      <c r="I181" s="8" t="s">
        <v>8</v>
      </c>
      <c r="J181" s="1">
        <v>6</v>
      </c>
      <c r="K181" s="1" t="s">
        <v>15</v>
      </c>
      <c r="L181" s="1" t="s">
        <v>44</v>
      </c>
      <c r="M181" s="1" t="s">
        <v>29</v>
      </c>
      <c r="N181" s="10">
        <v>42117</v>
      </c>
      <c r="O181" s="3">
        <v>451.01600000000002</v>
      </c>
      <c r="P181" s="15">
        <f>IF(Table1[[#This Row],[Amount Spent]]&gt;3500, 3500,Table1[[#This Row],[Amount Spent]])</f>
        <v>451.01600000000002</v>
      </c>
    </row>
    <row r="182" spans="1:16" x14ac:dyDescent="0.35">
      <c r="A182" s="9">
        <v>182</v>
      </c>
      <c r="B182" s="4" t="s">
        <v>64</v>
      </c>
      <c r="C182" s="9" t="s">
        <v>62</v>
      </c>
      <c r="D182" s="9" t="s">
        <v>58</v>
      </c>
      <c r="E182" s="9" t="s">
        <v>2</v>
      </c>
      <c r="F182" s="9">
        <v>1</v>
      </c>
      <c r="G182" s="5">
        <v>49700</v>
      </c>
      <c r="H182" s="4">
        <v>2</v>
      </c>
      <c r="I182" s="9" t="s">
        <v>67</v>
      </c>
      <c r="J182" s="4">
        <v>18</v>
      </c>
      <c r="K182" s="4" t="s">
        <v>13</v>
      </c>
      <c r="L182" s="4" t="s">
        <v>48</v>
      </c>
      <c r="M182" s="4" t="s">
        <v>27</v>
      </c>
      <c r="N182" s="10">
        <v>41596</v>
      </c>
      <c r="O182" s="6">
        <v>613.09699999999998</v>
      </c>
      <c r="P182" s="15">
        <f>IF(Table1[[#This Row],[Amount Spent]]&gt;3500, 3500,Table1[[#This Row],[Amount Spent]])</f>
        <v>613.09699999999998</v>
      </c>
    </row>
    <row r="183" spans="1:16" x14ac:dyDescent="0.35">
      <c r="A183" s="8">
        <v>183</v>
      </c>
      <c r="B183" s="1" t="s">
        <v>63</v>
      </c>
      <c r="C183" s="8" t="s">
        <v>62</v>
      </c>
      <c r="D183" s="8" t="s">
        <v>66</v>
      </c>
      <c r="E183" s="8" t="s">
        <v>70</v>
      </c>
      <c r="F183" s="8">
        <v>1</v>
      </c>
      <c r="G183" s="2">
        <v>13200</v>
      </c>
      <c r="H183" s="1">
        <v>1</v>
      </c>
      <c r="I183" s="8" t="s">
        <v>67</v>
      </c>
      <c r="J183" s="1">
        <v>12</v>
      </c>
      <c r="K183" s="1" t="s">
        <v>15</v>
      </c>
      <c r="L183" s="1" t="s">
        <v>52</v>
      </c>
      <c r="M183" s="1" t="s">
        <v>31</v>
      </c>
      <c r="N183" s="10">
        <v>40929</v>
      </c>
      <c r="O183" s="3">
        <v>226.845</v>
      </c>
      <c r="P183" s="15">
        <f>IF(Table1[[#This Row],[Amount Spent]]&gt;3500, 3500,Table1[[#This Row],[Amount Spent]])</f>
        <v>226.845</v>
      </c>
    </row>
    <row r="184" spans="1:16" x14ac:dyDescent="0.35">
      <c r="A184" s="9">
        <v>184</v>
      </c>
      <c r="B184" s="4" t="s">
        <v>63</v>
      </c>
      <c r="C184" s="9" t="s">
        <v>62</v>
      </c>
      <c r="D184" s="9" t="s">
        <v>66</v>
      </c>
      <c r="E184" s="9" t="s">
        <v>70</v>
      </c>
      <c r="F184" s="9">
        <v>1</v>
      </c>
      <c r="G184" s="5">
        <v>14600</v>
      </c>
      <c r="H184" s="4">
        <v>3</v>
      </c>
      <c r="I184" s="9" t="s">
        <v>67</v>
      </c>
      <c r="J184" s="4">
        <v>6</v>
      </c>
      <c r="K184" s="4" t="s">
        <v>14</v>
      </c>
      <c r="L184" s="4" t="s">
        <v>51</v>
      </c>
      <c r="M184" s="4" t="s">
        <v>38</v>
      </c>
      <c r="N184" s="10">
        <v>40418</v>
      </c>
      <c r="O184" s="6">
        <v>46.55</v>
      </c>
      <c r="P184" s="15">
        <f>IF(Table1[[#This Row],[Amount Spent]]&gt;3500, 3500,Table1[[#This Row],[Amount Spent]])</f>
        <v>46.55</v>
      </c>
    </row>
    <row r="185" spans="1:16" x14ac:dyDescent="0.35">
      <c r="A185" s="8">
        <v>185</v>
      </c>
      <c r="B185" s="1" t="s">
        <v>64</v>
      </c>
      <c r="C185" s="8" t="s">
        <v>61</v>
      </c>
      <c r="D185" s="8" t="s">
        <v>58</v>
      </c>
      <c r="E185" s="8" t="s">
        <v>2</v>
      </c>
      <c r="F185" s="8">
        <v>1</v>
      </c>
      <c r="G185" s="2">
        <v>109900</v>
      </c>
      <c r="H185" s="1">
        <v>2</v>
      </c>
      <c r="I185" s="8" t="s">
        <v>68</v>
      </c>
      <c r="J185" s="1">
        <v>12</v>
      </c>
      <c r="K185" s="1" t="s">
        <v>13</v>
      </c>
      <c r="L185" s="1" t="s">
        <v>43</v>
      </c>
      <c r="M185" s="1" t="s">
        <v>23</v>
      </c>
      <c r="N185" s="10">
        <v>41141</v>
      </c>
      <c r="O185" s="3">
        <v>870.19500000000005</v>
      </c>
      <c r="P185" s="15">
        <f>IF(Table1[[#This Row],[Amount Spent]]&gt;3500, 3500,Table1[[#This Row],[Amount Spent]])</f>
        <v>870.19500000000005</v>
      </c>
    </row>
    <row r="186" spans="1:16" x14ac:dyDescent="0.35">
      <c r="A186" s="9">
        <v>186</v>
      </c>
      <c r="B186" s="4" t="s">
        <v>64</v>
      </c>
      <c r="C186" s="9" t="s">
        <v>62</v>
      </c>
      <c r="D186" s="9" t="s">
        <v>58</v>
      </c>
      <c r="E186" s="9" t="s">
        <v>2</v>
      </c>
      <c r="F186" s="9">
        <v>1</v>
      </c>
      <c r="G186" s="5">
        <v>126300</v>
      </c>
      <c r="H186" s="4">
        <v>1</v>
      </c>
      <c r="I186" s="9" t="s">
        <v>69</v>
      </c>
      <c r="J186" s="4">
        <v>6</v>
      </c>
      <c r="K186" s="4" t="s">
        <v>14</v>
      </c>
      <c r="L186" s="4" t="s">
        <v>51</v>
      </c>
      <c r="M186" s="4" t="s">
        <v>38</v>
      </c>
      <c r="N186" s="10">
        <v>40023</v>
      </c>
      <c r="O186" s="6">
        <v>1888.376</v>
      </c>
      <c r="P186" s="15">
        <f>IF(Table1[[#This Row],[Amount Spent]]&gt;3500, 3500,Table1[[#This Row],[Amount Spent]])</f>
        <v>1888.376</v>
      </c>
    </row>
    <row r="187" spans="1:16" x14ac:dyDescent="0.35">
      <c r="A187" s="8">
        <v>187</v>
      </c>
      <c r="B187" s="1" t="s">
        <v>64</v>
      </c>
      <c r="C187" s="8" t="s">
        <v>61</v>
      </c>
      <c r="D187" s="8" t="s">
        <v>58</v>
      </c>
      <c r="E187" s="8" t="s">
        <v>2</v>
      </c>
      <c r="F187" s="8">
        <v>0</v>
      </c>
      <c r="G187" s="2">
        <v>100600</v>
      </c>
      <c r="H187" s="1">
        <v>3</v>
      </c>
      <c r="I187" s="8" t="s">
        <v>69</v>
      </c>
      <c r="J187" s="1">
        <v>24</v>
      </c>
      <c r="K187" s="1" t="s">
        <v>13</v>
      </c>
      <c r="L187" s="1" t="s">
        <v>42</v>
      </c>
      <c r="M187" s="1" t="s">
        <v>25</v>
      </c>
      <c r="N187" s="10">
        <v>41684</v>
      </c>
      <c r="O187" s="3">
        <v>2838.1819999999998</v>
      </c>
      <c r="P187" s="15">
        <f>IF(Table1[[#This Row],[Amount Spent]]&gt;3500, 3500,Table1[[#This Row],[Amount Spent]])</f>
        <v>2838.1819999999998</v>
      </c>
    </row>
    <row r="188" spans="1:16" x14ac:dyDescent="0.35">
      <c r="A188" s="9">
        <v>188</v>
      </c>
      <c r="B188" s="4" t="s">
        <v>65</v>
      </c>
      <c r="C188" s="9" t="s">
        <v>62</v>
      </c>
      <c r="D188" s="9" t="s">
        <v>66</v>
      </c>
      <c r="E188" s="9" t="s">
        <v>70</v>
      </c>
      <c r="F188" s="9">
        <v>0</v>
      </c>
      <c r="G188" s="5">
        <v>11700</v>
      </c>
      <c r="H188" s="4">
        <v>0</v>
      </c>
      <c r="I188" s="9" t="s">
        <v>67</v>
      </c>
      <c r="J188" s="4">
        <v>18</v>
      </c>
      <c r="K188" s="4" t="s">
        <v>15</v>
      </c>
      <c r="L188" s="4" t="s">
        <v>42</v>
      </c>
      <c r="M188" s="4" t="s">
        <v>32</v>
      </c>
      <c r="N188" s="10">
        <v>41720</v>
      </c>
      <c r="O188" s="6">
        <v>539.76900000000001</v>
      </c>
      <c r="P188" s="15">
        <f>IF(Table1[[#This Row],[Amount Spent]]&gt;3500, 3500,Table1[[#This Row],[Amount Spent]])</f>
        <v>539.76900000000001</v>
      </c>
    </row>
    <row r="189" spans="1:16" x14ac:dyDescent="0.35">
      <c r="A189" s="8">
        <v>189</v>
      </c>
      <c r="B189" s="1" t="s">
        <v>64</v>
      </c>
      <c r="C189" s="8" t="s">
        <v>62</v>
      </c>
      <c r="D189" s="8" t="s">
        <v>66</v>
      </c>
      <c r="E189" s="8" t="s">
        <v>70</v>
      </c>
      <c r="F189" s="8">
        <v>1</v>
      </c>
      <c r="G189" s="2">
        <v>36400</v>
      </c>
      <c r="H189" s="1">
        <v>2</v>
      </c>
      <c r="I189" s="8" t="s">
        <v>67</v>
      </c>
      <c r="J189" s="1">
        <v>18</v>
      </c>
      <c r="K189" s="1" t="s">
        <v>15</v>
      </c>
      <c r="L189" s="1" t="s">
        <v>28</v>
      </c>
      <c r="M189" s="1" t="s">
        <v>33</v>
      </c>
      <c r="N189" s="10">
        <v>41627</v>
      </c>
      <c r="O189" s="3">
        <v>506.00200000000001</v>
      </c>
      <c r="P189" s="15">
        <f>IF(Table1[[#This Row],[Amount Spent]]&gt;3500, 3500,Table1[[#This Row],[Amount Spent]])</f>
        <v>506.00200000000001</v>
      </c>
    </row>
    <row r="190" spans="1:16" x14ac:dyDescent="0.35">
      <c r="A190" s="9">
        <v>190</v>
      </c>
      <c r="B190" s="4" t="s">
        <v>63</v>
      </c>
      <c r="C190" s="9" t="s">
        <v>62</v>
      </c>
      <c r="D190" s="9" t="s">
        <v>66</v>
      </c>
      <c r="E190" s="9" t="s">
        <v>70</v>
      </c>
      <c r="F190" s="9">
        <v>1</v>
      </c>
      <c r="G190" s="5">
        <v>22200</v>
      </c>
      <c r="H190" s="4">
        <v>2</v>
      </c>
      <c r="I190" s="9" t="s">
        <v>67</v>
      </c>
      <c r="J190" s="4">
        <v>18</v>
      </c>
      <c r="K190" s="4" t="s">
        <v>14</v>
      </c>
      <c r="L190" s="4" t="s">
        <v>40</v>
      </c>
      <c r="M190" s="4" t="s">
        <v>37</v>
      </c>
      <c r="N190" s="10">
        <v>41678</v>
      </c>
      <c r="O190" s="6">
        <v>274.80399999999997</v>
      </c>
      <c r="P190" s="15">
        <f>IF(Table1[[#This Row],[Amount Spent]]&gt;3500, 3500,Table1[[#This Row],[Amount Spent]])</f>
        <v>274.80399999999997</v>
      </c>
    </row>
    <row r="191" spans="1:16" x14ac:dyDescent="0.35">
      <c r="A191" s="8">
        <v>191</v>
      </c>
      <c r="B191" s="1" t="s">
        <v>64</v>
      </c>
      <c r="C191" s="8" t="s">
        <v>61</v>
      </c>
      <c r="D191" s="8" t="s">
        <v>58</v>
      </c>
      <c r="E191" s="8" t="s">
        <v>2</v>
      </c>
      <c r="F191" s="8">
        <v>1</v>
      </c>
      <c r="G191" s="2">
        <v>106400</v>
      </c>
      <c r="H191" s="1">
        <v>0</v>
      </c>
      <c r="I191" s="8" t="s">
        <v>8</v>
      </c>
      <c r="J191" s="1">
        <v>12</v>
      </c>
      <c r="K191" s="1" t="s">
        <v>13</v>
      </c>
      <c r="L191" s="1" t="s">
        <v>56</v>
      </c>
      <c r="M191" s="1" t="s">
        <v>24</v>
      </c>
      <c r="N191" s="10">
        <v>42241</v>
      </c>
      <c r="O191" s="3">
        <v>1757.404</v>
      </c>
      <c r="P191" s="15">
        <f>IF(Table1[[#This Row],[Amount Spent]]&gt;3500, 3500,Table1[[#This Row],[Amount Spent]])</f>
        <v>1757.404</v>
      </c>
    </row>
    <row r="192" spans="1:16" x14ac:dyDescent="0.35">
      <c r="A192" s="9">
        <v>192</v>
      </c>
      <c r="B192" s="4" t="s">
        <v>65</v>
      </c>
      <c r="C192" s="9" t="s">
        <v>62</v>
      </c>
      <c r="D192" s="9" t="s">
        <v>58</v>
      </c>
      <c r="E192" s="9" t="s">
        <v>2</v>
      </c>
      <c r="F192" s="9">
        <v>1</v>
      </c>
      <c r="G192" s="5">
        <v>112800</v>
      </c>
      <c r="H192" s="4">
        <v>0</v>
      </c>
      <c r="I192" s="9" t="s">
        <v>69</v>
      </c>
      <c r="J192" s="4">
        <v>12</v>
      </c>
      <c r="K192" s="4" t="s">
        <v>14</v>
      </c>
      <c r="L192" s="4" t="s">
        <v>50</v>
      </c>
      <c r="M192" s="4" t="s">
        <v>34</v>
      </c>
      <c r="N192" s="10">
        <v>40265</v>
      </c>
      <c r="O192" s="6">
        <v>1861.434</v>
      </c>
      <c r="P192" s="15">
        <f>IF(Table1[[#This Row],[Amount Spent]]&gt;3500, 3500,Table1[[#This Row],[Amount Spent]])</f>
        <v>1861.434</v>
      </c>
    </row>
    <row r="193" spans="1:16" x14ac:dyDescent="0.35">
      <c r="A193" s="8">
        <v>193</v>
      </c>
      <c r="B193" s="1" t="s">
        <v>65</v>
      </c>
      <c r="C193" s="8" t="s">
        <v>61</v>
      </c>
      <c r="D193" s="8" t="s">
        <v>58</v>
      </c>
      <c r="E193" s="8" t="s">
        <v>2</v>
      </c>
      <c r="F193" s="8">
        <v>1</v>
      </c>
      <c r="G193" s="2">
        <v>95900</v>
      </c>
      <c r="H193" s="1">
        <v>0</v>
      </c>
      <c r="I193" s="8" t="s">
        <v>69</v>
      </c>
      <c r="J193" s="1">
        <v>24</v>
      </c>
      <c r="K193" s="1" t="s">
        <v>14</v>
      </c>
      <c r="L193" s="1" t="s">
        <v>40</v>
      </c>
      <c r="M193" s="1" t="s">
        <v>37</v>
      </c>
      <c r="N193" s="10">
        <v>40413</v>
      </c>
      <c r="O193" s="3">
        <v>2585.087</v>
      </c>
      <c r="P193" s="15">
        <f>IF(Table1[[#This Row],[Amount Spent]]&gt;3500, 3500,Table1[[#This Row],[Amount Spent]])</f>
        <v>2585.087</v>
      </c>
    </row>
    <row r="194" spans="1:16" x14ac:dyDescent="0.35">
      <c r="A194" s="9">
        <v>194</v>
      </c>
      <c r="B194" s="4" t="s">
        <v>64</v>
      </c>
      <c r="C194" s="9" t="s">
        <v>61</v>
      </c>
      <c r="D194" s="9" t="s">
        <v>66</v>
      </c>
      <c r="E194" s="9" t="s">
        <v>2</v>
      </c>
      <c r="F194" s="9">
        <v>1</v>
      </c>
      <c r="G194" s="5">
        <v>88000</v>
      </c>
      <c r="H194" s="4">
        <v>2</v>
      </c>
      <c r="I194" s="9" t="s">
        <v>68</v>
      </c>
      <c r="J194" s="4">
        <v>6</v>
      </c>
      <c r="K194" s="4" t="s">
        <v>15</v>
      </c>
      <c r="L194" s="4" t="s">
        <v>42</v>
      </c>
      <c r="M194" s="4" t="s">
        <v>32</v>
      </c>
      <c r="N194" s="10">
        <v>40831</v>
      </c>
      <c r="O194" s="6">
        <v>523.80399999999997</v>
      </c>
      <c r="P194" s="15">
        <f>IF(Table1[[#This Row],[Amount Spent]]&gt;3500, 3500,Table1[[#This Row],[Amount Spent]])</f>
        <v>523.80399999999997</v>
      </c>
    </row>
    <row r="195" spans="1:16" x14ac:dyDescent="0.35">
      <c r="A195" s="8">
        <v>195</v>
      </c>
      <c r="B195" s="1" t="s">
        <v>64</v>
      </c>
      <c r="C195" s="8" t="s">
        <v>61</v>
      </c>
      <c r="D195" s="8" t="s">
        <v>66</v>
      </c>
      <c r="E195" s="8" t="s">
        <v>70</v>
      </c>
      <c r="F195" s="8">
        <v>1</v>
      </c>
      <c r="G195" s="2">
        <v>44500</v>
      </c>
      <c r="H195" s="1">
        <v>0</v>
      </c>
      <c r="I195" s="8" t="s">
        <v>68</v>
      </c>
      <c r="J195" s="1">
        <v>24</v>
      </c>
      <c r="K195" s="1" t="s">
        <v>14</v>
      </c>
      <c r="L195" s="1" t="s">
        <v>51</v>
      </c>
      <c r="M195" s="1" t="s">
        <v>38</v>
      </c>
      <c r="N195" s="10">
        <v>41118</v>
      </c>
      <c r="O195" s="3">
        <v>1174.7829999999999</v>
      </c>
      <c r="P195" s="15">
        <f>IF(Table1[[#This Row],[Amount Spent]]&gt;3500, 3500,Table1[[#This Row],[Amount Spent]])</f>
        <v>1174.7829999999999</v>
      </c>
    </row>
    <row r="196" spans="1:16" x14ac:dyDescent="0.35">
      <c r="A196" s="9">
        <v>196</v>
      </c>
      <c r="B196" s="4" t="s">
        <v>65</v>
      </c>
      <c r="C196" s="9" t="s">
        <v>62</v>
      </c>
      <c r="D196" s="9" t="s">
        <v>58</v>
      </c>
      <c r="E196" s="9" t="s">
        <v>2</v>
      </c>
      <c r="F196" s="9">
        <v>1</v>
      </c>
      <c r="G196" s="5">
        <v>43600</v>
      </c>
      <c r="H196" s="4">
        <v>0</v>
      </c>
      <c r="I196" s="9" t="s">
        <v>68</v>
      </c>
      <c r="J196" s="4">
        <v>12</v>
      </c>
      <c r="K196" s="4" t="s">
        <v>13</v>
      </c>
      <c r="L196" s="4" t="s">
        <v>43</v>
      </c>
      <c r="M196" s="4" t="s">
        <v>23</v>
      </c>
      <c r="N196" s="10">
        <v>42168</v>
      </c>
      <c r="O196" s="6">
        <v>1046.5719999999999</v>
      </c>
      <c r="P196" s="15">
        <f>IF(Table1[[#This Row],[Amount Spent]]&gt;3500, 3500,Table1[[#This Row],[Amount Spent]])</f>
        <v>1046.5719999999999</v>
      </c>
    </row>
    <row r="197" spans="1:16" x14ac:dyDescent="0.35">
      <c r="A197" s="8">
        <v>197</v>
      </c>
      <c r="B197" s="1" t="s">
        <v>63</v>
      </c>
      <c r="C197" s="8" t="s">
        <v>61</v>
      </c>
      <c r="D197" s="8" t="s">
        <v>66</v>
      </c>
      <c r="E197" s="8" t="s">
        <v>70</v>
      </c>
      <c r="F197" s="8">
        <v>0</v>
      </c>
      <c r="G197" s="2">
        <v>20800</v>
      </c>
      <c r="H197" s="1">
        <v>0</v>
      </c>
      <c r="I197" s="8" t="s">
        <v>8</v>
      </c>
      <c r="J197" s="1">
        <v>6</v>
      </c>
      <c r="K197" s="1" t="s">
        <v>14</v>
      </c>
      <c r="L197" s="1" t="s">
        <v>50</v>
      </c>
      <c r="M197" s="1" t="s">
        <v>34</v>
      </c>
      <c r="N197" s="10">
        <v>42221</v>
      </c>
      <c r="O197" s="3">
        <v>259.81799999999998</v>
      </c>
      <c r="P197" s="15">
        <f>IF(Table1[[#This Row],[Amount Spent]]&gt;3500, 3500,Table1[[#This Row],[Amount Spent]])</f>
        <v>259.81799999999998</v>
      </c>
    </row>
    <row r="198" spans="1:16" x14ac:dyDescent="0.35">
      <c r="A198" s="9">
        <v>198</v>
      </c>
      <c r="B198" s="4" t="s">
        <v>65</v>
      </c>
      <c r="C198" s="9" t="s">
        <v>61</v>
      </c>
      <c r="D198" s="9" t="s">
        <v>58</v>
      </c>
      <c r="E198" s="9" t="s">
        <v>2</v>
      </c>
      <c r="F198" s="9">
        <v>1</v>
      </c>
      <c r="G198" s="5">
        <v>23400</v>
      </c>
      <c r="H198" s="4">
        <v>0</v>
      </c>
      <c r="I198" s="9" t="s">
        <v>67</v>
      </c>
      <c r="J198" s="4">
        <v>6</v>
      </c>
      <c r="K198" s="4" t="s">
        <v>13</v>
      </c>
      <c r="L198" s="4" t="s">
        <v>45</v>
      </c>
      <c r="M198" s="4" t="s">
        <v>26</v>
      </c>
      <c r="N198" s="10">
        <v>40891</v>
      </c>
      <c r="O198" s="6">
        <v>347.54500000000002</v>
      </c>
      <c r="P198" s="15">
        <f>IF(Table1[[#This Row],[Amount Spent]]&gt;3500, 3500,Table1[[#This Row],[Amount Spent]])</f>
        <v>347.54500000000002</v>
      </c>
    </row>
    <row r="199" spans="1:16" x14ac:dyDescent="0.35">
      <c r="A199" s="8">
        <v>199</v>
      </c>
      <c r="B199" s="1" t="s">
        <v>64</v>
      </c>
      <c r="C199" s="8" t="s">
        <v>62</v>
      </c>
      <c r="D199" s="8" t="s">
        <v>66</v>
      </c>
      <c r="E199" s="8" t="s">
        <v>70</v>
      </c>
      <c r="F199" s="8">
        <v>1</v>
      </c>
      <c r="G199" s="2">
        <v>46600</v>
      </c>
      <c r="H199" s="1">
        <v>0</v>
      </c>
      <c r="I199" s="8" t="s">
        <v>68</v>
      </c>
      <c r="J199" s="1">
        <v>24</v>
      </c>
      <c r="K199" s="1" t="s">
        <v>15</v>
      </c>
      <c r="L199" s="1" t="s">
        <v>52</v>
      </c>
      <c r="M199" s="1" t="s">
        <v>30</v>
      </c>
      <c r="N199" s="10">
        <v>42014</v>
      </c>
      <c r="O199" s="3">
        <v>905.80799999999999</v>
      </c>
      <c r="P199" s="15">
        <f>IF(Table1[[#This Row],[Amount Spent]]&gt;3500, 3500,Table1[[#This Row],[Amount Spent]])</f>
        <v>905.80799999999999</v>
      </c>
    </row>
    <row r="200" spans="1:16" x14ac:dyDescent="0.35">
      <c r="A200" s="9">
        <v>200</v>
      </c>
      <c r="B200" s="4" t="s">
        <v>63</v>
      </c>
      <c r="C200" s="9" t="s">
        <v>62</v>
      </c>
      <c r="D200" s="9" t="s">
        <v>66</v>
      </c>
      <c r="E200" s="9" t="s">
        <v>70</v>
      </c>
      <c r="F200" s="9">
        <v>1</v>
      </c>
      <c r="G200" s="5">
        <v>31300</v>
      </c>
      <c r="H200" s="4">
        <v>1</v>
      </c>
      <c r="I200" s="9" t="s">
        <v>67</v>
      </c>
      <c r="J200" s="4">
        <v>6</v>
      </c>
      <c r="K200" s="4" t="s">
        <v>12</v>
      </c>
      <c r="L200" s="4" t="s">
        <v>55</v>
      </c>
      <c r="M200" s="4" t="s">
        <v>17</v>
      </c>
      <c r="N200" s="10">
        <v>40321</v>
      </c>
      <c r="O200" s="6">
        <v>357.04399999999998</v>
      </c>
      <c r="P200" s="15">
        <f>IF(Table1[[#This Row],[Amount Spent]]&gt;3500, 3500,Table1[[#This Row],[Amount Spent]])</f>
        <v>357.04399999999998</v>
      </c>
    </row>
    <row r="201" spans="1:16" x14ac:dyDescent="0.35">
      <c r="A201" s="8">
        <v>201</v>
      </c>
      <c r="B201" s="1" t="s">
        <v>63</v>
      </c>
      <c r="C201" s="8" t="s">
        <v>62</v>
      </c>
      <c r="D201" s="8" t="s">
        <v>66</v>
      </c>
      <c r="E201" s="8" t="s">
        <v>2</v>
      </c>
      <c r="F201" s="8">
        <v>0</v>
      </c>
      <c r="G201" s="2">
        <v>33200</v>
      </c>
      <c r="H201" s="1">
        <v>1</v>
      </c>
      <c r="I201" s="8" t="s">
        <v>8</v>
      </c>
      <c r="J201" s="1">
        <v>24</v>
      </c>
      <c r="K201" s="1" t="s">
        <v>12</v>
      </c>
      <c r="L201" s="1" t="s">
        <v>54</v>
      </c>
      <c r="M201" s="1" t="s">
        <v>21</v>
      </c>
      <c r="N201" s="10">
        <v>42080</v>
      </c>
      <c r="O201" s="3">
        <v>1639.0260000000001</v>
      </c>
      <c r="P201" s="15">
        <f>IF(Table1[[#This Row],[Amount Spent]]&gt;3500, 3500,Table1[[#This Row],[Amount Spent]])</f>
        <v>1639.0260000000001</v>
      </c>
    </row>
    <row r="202" spans="1:16" x14ac:dyDescent="0.35">
      <c r="A202" s="9">
        <v>202</v>
      </c>
      <c r="B202" s="4" t="s">
        <v>65</v>
      </c>
      <c r="C202" s="9" t="s">
        <v>62</v>
      </c>
      <c r="D202" s="9" t="s">
        <v>58</v>
      </c>
      <c r="E202" s="9" t="s">
        <v>2</v>
      </c>
      <c r="F202" s="9">
        <v>0</v>
      </c>
      <c r="G202" s="5">
        <v>70400</v>
      </c>
      <c r="H202" s="4">
        <v>0</v>
      </c>
      <c r="I202" s="9" t="s">
        <v>69</v>
      </c>
      <c r="J202" s="4">
        <v>18</v>
      </c>
      <c r="K202" s="4" t="s">
        <v>13</v>
      </c>
      <c r="L202" s="4" t="s">
        <v>48</v>
      </c>
      <c r="M202" s="4" t="s">
        <v>27</v>
      </c>
      <c r="N202" s="10">
        <v>40644</v>
      </c>
      <c r="O202" s="6">
        <v>2609.7919999999999</v>
      </c>
      <c r="P202" s="15">
        <f>IF(Table1[[#This Row],[Amount Spent]]&gt;3500, 3500,Table1[[#This Row],[Amount Spent]])</f>
        <v>2609.7919999999999</v>
      </c>
    </row>
    <row r="203" spans="1:16" x14ac:dyDescent="0.35">
      <c r="A203" s="8">
        <v>203</v>
      </c>
      <c r="B203" s="1" t="s">
        <v>63</v>
      </c>
      <c r="C203" s="8" t="s">
        <v>61</v>
      </c>
      <c r="D203" s="8" t="s">
        <v>66</v>
      </c>
      <c r="E203" s="8" t="s">
        <v>70</v>
      </c>
      <c r="F203" s="8">
        <v>1</v>
      </c>
      <c r="G203" s="2">
        <v>17000</v>
      </c>
      <c r="H203" s="1">
        <v>0</v>
      </c>
      <c r="I203" s="8" t="s">
        <v>8</v>
      </c>
      <c r="J203" s="1">
        <v>18</v>
      </c>
      <c r="K203" s="1" t="s">
        <v>13</v>
      </c>
      <c r="L203" s="1" t="s">
        <v>46</v>
      </c>
      <c r="M203" s="1" t="s">
        <v>22</v>
      </c>
      <c r="N203" s="10">
        <v>42215</v>
      </c>
      <c r="O203" s="3">
        <v>581.22400000000005</v>
      </c>
      <c r="P203" s="15">
        <f>IF(Table1[[#This Row],[Amount Spent]]&gt;3500, 3500,Table1[[#This Row],[Amount Spent]])</f>
        <v>581.22400000000005</v>
      </c>
    </row>
    <row r="204" spans="1:16" x14ac:dyDescent="0.35">
      <c r="A204" s="9">
        <v>204</v>
      </c>
      <c r="B204" s="4" t="s">
        <v>64</v>
      </c>
      <c r="C204" s="9" t="s">
        <v>62</v>
      </c>
      <c r="D204" s="9" t="s">
        <v>66</v>
      </c>
      <c r="E204" s="9" t="s">
        <v>70</v>
      </c>
      <c r="F204" s="9">
        <v>1</v>
      </c>
      <c r="G204" s="5">
        <v>26200</v>
      </c>
      <c r="H204" s="4">
        <v>1</v>
      </c>
      <c r="I204" s="9" t="s">
        <v>67</v>
      </c>
      <c r="J204" s="4">
        <v>12</v>
      </c>
      <c r="K204" s="4" t="s">
        <v>13</v>
      </c>
      <c r="L204" s="4" t="s">
        <v>45</v>
      </c>
      <c r="M204" s="4" t="s">
        <v>26</v>
      </c>
      <c r="N204" s="10">
        <v>40186</v>
      </c>
      <c r="O204" s="6">
        <v>380.96800000000002</v>
      </c>
      <c r="P204" s="15">
        <f>IF(Table1[[#This Row],[Amount Spent]]&gt;3500, 3500,Table1[[#This Row],[Amount Spent]])</f>
        <v>380.96800000000002</v>
      </c>
    </row>
    <row r="205" spans="1:16" x14ac:dyDescent="0.35">
      <c r="A205" s="8">
        <v>205</v>
      </c>
      <c r="B205" s="1" t="s">
        <v>65</v>
      </c>
      <c r="C205" s="8" t="s">
        <v>61</v>
      </c>
      <c r="D205" s="8" t="s">
        <v>58</v>
      </c>
      <c r="E205" s="8" t="s">
        <v>2</v>
      </c>
      <c r="F205" s="8">
        <v>1</v>
      </c>
      <c r="G205" s="2">
        <v>108900</v>
      </c>
      <c r="H205" s="1">
        <v>0</v>
      </c>
      <c r="I205" s="8" t="s">
        <v>69</v>
      </c>
      <c r="J205" s="1">
        <v>12</v>
      </c>
      <c r="K205" s="1" t="s">
        <v>12</v>
      </c>
      <c r="L205" s="1" t="s">
        <v>47</v>
      </c>
      <c r="M205" s="1" t="s">
        <v>16</v>
      </c>
      <c r="N205" s="10">
        <v>41941</v>
      </c>
      <c r="O205" s="3">
        <v>1841.405</v>
      </c>
      <c r="P205" s="15">
        <f>IF(Table1[[#This Row],[Amount Spent]]&gt;3500, 3500,Table1[[#This Row],[Amount Spent]])</f>
        <v>1841.405</v>
      </c>
    </row>
    <row r="206" spans="1:16" x14ac:dyDescent="0.35">
      <c r="A206" s="9">
        <v>206</v>
      </c>
      <c r="B206" s="4" t="s">
        <v>65</v>
      </c>
      <c r="C206" s="9" t="s">
        <v>62</v>
      </c>
      <c r="D206" s="9" t="s">
        <v>58</v>
      </c>
      <c r="E206" s="9" t="s">
        <v>70</v>
      </c>
      <c r="F206" s="9">
        <v>1</v>
      </c>
      <c r="G206" s="5">
        <v>17300</v>
      </c>
      <c r="H206" s="4">
        <v>0</v>
      </c>
      <c r="I206" s="9" t="s">
        <v>67</v>
      </c>
      <c r="J206" s="4">
        <v>6</v>
      </c>
      <c r="K206" s="4" t="s">
        <v>15</v>
      </c>
      <c r="L206" s="4" t="s">
        <v>28</v>
      </c>
      <c r="M206" s="4" t="s">
        <v>28</v>
      </c>
      <c r="N206" s="10">
        <v>41397</v>
      </c>
      <c r="O206" s="6">
        <v>165.935</v>
      </c>
      <c r="P206" s="15">
        <f>IF(Table1[[#This Row],[Amount Spent]]&gt;3500, 3500,Table1[[#This Row],[Amount Spent]])</f>
        <v>165.935</v>
      </c>
    </row>
    <row r="207" spans="1:16" x14ac:dyDescent="0.35">
      <c r="A207" s="8">
        <v>207</v>
      </c>
      <c r="B207" s="1" t="s">
        <v>64</v>
      </c>
      <c r="C207" s="8" t="s">
        <v>61</v>
      </c>
      <c r="D207" s="8" t="s">
        <v>66</v>
      </c>
      <c r="E207" s="8" t="s">
        <v>70</v>
      </c>
      <c r="F207" s="8">
        <v>0</v>
      </c>
      <c r="G207" s="2">
        <v>51900</v>
      </c>
      <c r="H207" s="1">
        <v>0</v>
      </c>
      <c r="I207" s="8" t="s">
        <v>69</v>
      </c>
      <c r="J207" s="1">
        <v>18</v>
      </c>
      <c r="K207" s="1" t="s">
        <v>15</v>
      </c>
      <c r="L207" s="1" t="s">
        <v>42</v>
      </c>
      <c r="M207" s="1" t="s">
        <v>32</v>
      </c>
      <c r="N207" s="10">
        <v>40822</v>
      </c>
      <c r="O207" s="3">
        <v>1491.568</v>
      </c>
      <c r="P207" s="15">
        <f>IF(Table1[[#This Row],[Amount Spent]]&gt;3500, 3500,Table1[[#This Row],[Amount Spent]])</f>
        <v>1491.568</v>
      </c>
    </row>
    <row r="208" spans="1:16" x14ac:dyDescent="0.35">
      <c r="A208" s="9">
        <v>208</v>
      </c>
      <c r="B208" s="4" t="s">
        <v>65</v>
      </c>
      <c r="C208" s="9" t="s">
        <v>62</v>
      </c>
      <c r="D208" s="9" t="s">
        <v>66</v>
      </c>
      <c r="E208" s="9" t="s">
        <v>70</v>
      </c>
      <c r="F208" s="9">
        <v>1</v>
      </c>
      <c r="G208" s="5">
        <v>33600</v>
      </c>
      <c r="H208" s="4">
        <v>0</v>
      </c>
      <c r="I208" s="9" t="s">
        <v>68</v>
      </c>
      <c r="J208" s="4">
        <v>12</v>
      </c>
      <c r="K208" s="4" t="s">
        <v>12</v>
      </c>
      <c r="L208" s="4" t="s">
        <v>55</v>
      </c>
      <c r="M208" s="4" t="s">
        <v>17</v>
      </c>
      <c r="N208" s="10">
        <v>40250</v>
      </c>
      <c r="O208" s="6">
        <v>573.202</v>
      </c>
      <c r="P208" s="15">
        <f>IF(Table1[[#This Row],[Amount Spent]]&gt;3500, 3500,Table1[[#This Row],[Amount Spent]])</f>
        <v>573.202</v>
      </c>
    </row>
    <row r="209" spans="1:16" x14ac:dyDescent="0.35">
      <c r="A209" s="8">
        <v>209</v>
      </c>
      <c r="B209" s="1" t="s">
        <v>63</v>
      </c>
      <c r="C209" s="8" t="s">
        <v>62</v>
      </c>
      <c r="D209" s="8" t="s">
        <v>66</v>
      </c>
      <c r="E209" s="8" t="s">
        <v>2</v>
      </c>
      <c r="F209" s="8">
        <v>1</v>
      </c>
      <c r="G209" s="2">
        <v>61000</v>
      </c>
      <c r="H209" s="1">
        <v>1</v>
      </c>
      <c r="I209" s="8" t="s">
        <v>8</v>
      </c>
      <c r="J209" s="1">
        <v>18</v>
      </c>
      <c r="K209" s="1" t="s">
        <v>15</v>
      </c>
      <c r="L209" s="1" t="s">
        <v>44</v>
      </c>
      <c r="M209" s="1" t="s">
        <v>29</v>
      </c>
      <c r="N209" s="10">
        <v>42050</v>
      </c>
      <c r="O209" s="3">
        <v>1611.3789999999999</v>
      </c>
      <c r="P209" s="15">
        <f>IF(Table1[[#This Row],[Amount Spent]]&gt;3500, 3500,Table1[[#This Row],[Amount Spent]])</f>
        <v>1611.3789999999999</v>
      </c>
    </row>
    <row r="210" spans="1:16" x14ac:dyDescent="0.35">
      <c r="A210" s="9">
        <v>210</v>
      </c>
      <c r="B210" s="4" t="s">
        <v>65</v>
      </c>
      <c r="C210" s="9" t="s">
        <v>62</v>
      </c>
      <c r="D210" s="9" t="s">
        <v>58</v>
      </c>
      <c r="E210" s="9" t="s">
        <v>2</v>
      </c>
      <c r="F210" s="9">
        <v>1</v>
      </c>
      <c r="G210" s="5">
        <v>41600</v>
      </c>
      <c r="H210" s="4">
        <v>0</v>
      </c>
      <c r="I210" s="9" t="s">
        <v>8</v>
      </c>
      <c r="J210" s="4">
        <v>18</v>
      </c>
      <c r="K210" s="4" t="s">
        <v>14</v>
      </c>
      <c r="L210" s="4" t="s">
        <v>50</v>
      </c>
      <c r="M210" s="4" t="s">
        <v>35</v>
      </c>
      <c r="N210" s="10">
        <v>42187</v>
      </c>
      <c r="O210" s="6">
        <v>982.04100000000005</v>
      </c>
      <c r="P210" s="15">
        <f>IF(Table1[[#This Row],[Amount Spent]]&gt;3500, 3500,Table1[[#This Row],[Amount Spent]])</f>
        <v>982.04100000000005</v>
      </c>
    </row>
    <row r="211" spans="1:16" x14ac:dyDescent="0.35">
      <c r="A211" s="8">
        <v>211</v>
      </c>
      <c r="B211" s="1" t="s">
        <v>63</v>
      </c>
      <c r="C211" s="8" t="s">
        <v>62</v>
      </c>
      <c r="D211" s="8" t="s">
        <v>66</v>
      </c>
      <c r="E211" s="8" t="s">
        <v>2</v>
      </c>
      <c r="F211" s="8">
        <v>1</v>
      </c>
      <c r="G211" s="2">
        <v>54200</v>
      </c>
      <c r="H211" s="1">
        <v>1</v>
      </c>
      <c r="I211" s="8" t="s">
        <v>68</v>
      </c>
      <c r="J211" s="1">
        <v>6</v>
      </c>
      <c r="K211" s="1" t="s">
        <v>14</v>
      </c>
      <c r="L211" s="1" t="s">
        <v>51</v>
      </c>
      <c r="M211" s="1" t="s">
        <v>38</v>
      </c>
      <c r="N211" s="10">
        <v>41251</v>
      </c>
      <c r="O211" s="3">
        <v>486.077</v>
      </c>
      <c r="P211" s="15">
        <f>IF(Table1[[#This Row],[Amount Spent]]&gt;3500, 3500,Table1[[#This Row],[Amount Spent]])</f>
        <v>486.077</v>
      </c>
    </row>
    <row r="212" spans="1:16" x14ac:dyDescent="0.35">
      <c r="A212" s="9">
        <v>212</v>
      </c>
      <c r="B212" s="4" t="s">
        <v>65</v>
      </c>
      <c r="C212" s="9" t="s">
        <v>61</v>
      </c>
      <c r="D212" s="9" t="s">
        <v>66</v>
      </c>
      <c r="E212" s="9" t="s">
        <v>2</v>
      </c>
      <c r="F212" s="9">
        <v>0</v>
      </c>
      <c r="G212" s="5">
        <v>66200</v>
      </c>
      <c r="H212" s="4">
        <v>0</v>
      </c>
      <c r="I212" s="9" t="s">
        <v>69</v>
      </c>
      <c r="J212" s="4">
        <v>24</v>
      </c>
      <c r="K212" s="4" t="s">
        <v>14</v>
      </c>
      <c r="L212" s="4" t="s">
        <v>49</v>
      </c>
      <c r="M212" s="4" t="s">
        <v>39</v>
      </c>
      <c r="N212" s="10">
        <v>40978</v>
      </c>
      <c r="O212" s="6">
        <v>2057.1799999999998</v>
      </c>
      <c r="P212" s="15">
        <f>IF(Table1[[#This Row],[Amount Spent]]&gt;3500, 3500,Table1[[#This Row],[Amount Spent]])</f>
        <v>2057.1799999999998</v>
      </c>
    </row>
    <row r="213" spans="1:16" x14ac:dyDescent="0.35">
      <c r="A213" s="8">
        <v>213</v>
      </c>
      <c r="B213" s="1" t="s">
        <v>64</v>
      </c>
      <c r="C213" s="8" t="s">
        <v>62</v>
      </c>
      <c r="D213" s="8" t="s">
        <v>58</v>
      </c>
      <c r="E213" s="8" t="s">
        <v>70</v>
      </c>
      <c r="F213" s="8">
        <v>1</v>
      </c>
      <c r="G213" s="2">
        <v>72200</v>
      </c>
      <c r="H213" s="1">
        <v>0</v>
      </c>
      <c r="I213" s="8" t="s">
        <v>8</v>
      </c>
      <c r="J213" s="1">
        <v>18</v>
      </c>
      <c r="K213" s="1" t="s">
        <v>15</v>
      </c>
      <c r="L213" s="1" t="s">
        <v>52</v>
      </c>
      <c r="M213" s="1" t="s">
        <v>30</v>
      </c>
      <c r="N213" s="10">
        <v>42041</v>
      </c>
      <c r="O213" s="3">
        <v>3278.0830000000001</v>
      </c>
      <c r="P213" s="15">
        <f>IF(Table1[[#This Row],[Amount Spent]]&gt;3500, 3500,Table1[[#This Row],[Amount Spent]])</f>
        <v>3278.0830000000001</v>
      </c>
    </row>
    <row r="214" spans="1:16" x14ac:dyDescent="0.35">
      <c r="A214" s="9">
        <v>214</v>
      </c>
      <c r="B214" s="4" t="s">
        <v>64</v>
      </c>
      <c r="C214" s="9" t="s">
        <v>62</v>
      </c>
      <c r="D214" s="9" t="s">
        <v>66</v>
      </c>
      <c r="E214" s="9" t="s">
        <v>70</v>
      </c>
      <c r="F214" s="9">
        <v>1</v>
      </c>
      <c r="G214" s="5">
        <v>39700</v>
      </c>
      <c r="H214" s="4">
        <v>3</v>
      </c>
      <c r="I214" s="9" t="s">
        <v>67</v>
      </c>
      <c r="J214" s="4">
        <v>12</v>
      </c>
      <c r="K214" s="4" t="s">
        <v>12</v>
      </c>
      <c r="L214" s="4" t="s">
        <v>55</v>
      </c>
      <c r="M214" s="4" t="s">
        <v>17</v>
      </c>
      <c r="N214" s="10">
        <v>40167</v>
      </c>
      <c r="O214" s="6">
        <v>238.06700000000001</v>
      </c>
      <c r="P214" s="15">
        <f>IF(Table1[[#This Row],[Amount Spent]]&gt;3500, 3500,Table1[[#This Row],[Amount Spent]])</f>
        <v>238.06700000000001</v>
      </c>
    </row>
    <row r="215" spans="1:16" x14ac:dyDescent="0.35">
      <c r="A215" s="8">
        <v>215</v>
      </c>
      <c r="B215" s="1" t="s">
        <v>63</v>
      </c>
      <c r="C215" s="8" t="s">
        <v>61</v>
      </c>
      <c r="D215" s="8" t="s">
        <v>66</v>
      </c>
      <c r="E215" s="8" t="s">
        <v>2</v>
      </c>
      <c r="F215" s="8">
        <v>1</v>
      </c>
      <c r="G215" s="2">
        <v>36900</v>
      </c>
      <c r="H215" s="1">
        <v>0</v>
      </c>
      <c r="I215" s="8" t="s">
        <v>68</v>
      </c>
      <c r="J215" s="1">
        <v>18</v>
      </c>
      <c r="K215" s="1" t="s">
        <v>14</v>
      </c>
      <c r="L215" s="1" t="s">
        <v>50</v>
      </c>
      <c r="M215" s="1" t="s">
        <v>35</v>
      </c>
      <c r="N215" s="10">
        <v>40574</v>
      </c>
      <c r="O215" s="3">
        <v>721.33500000000004</v>
      </c>
      <c r="P215" s="15">
        <f>IF(Table1[[#This Row],[Amount Spent]]&gt;3500, 3500,Table1[[#This Row],[Amount Spent]])</f>
        <v>721.33500000000004</v>
      </c>
    </row>
    <row r="216" spans="1:16" x14ac:dyDescent="0.35">
      <c r="A216" s="9">
        <v>216</v>
      </c>
      <c r="B216" s="4" t="s">
        <v>64</v>
      </c>
      <c r="C216" s="9" t="s">
        <v>61</v>
      </c>
      <c r="D216" s="9" t="s">
        <v>58</v>
      </c>
      <c r="E216" s="9" t="s">
        <v>2</v>
      </c>
      <c r="F216" s="9">
        <v>1</v>
      </c>
      <c r="G216" s="5">
        <v>96100</v>
      </c>
      <c r="H216" s="4">
        <v>3</v>
      </c>
      <c r="I216" s="9" t="s">
        <v>67</v>
      </c>
      <c r="J216" s="4">
        <v>12</v>
      </c>
      <c r="K216" s="4" t="s">
        <v>12</v>
      </c>
      <c r="L216" s="4" t="s">
        <v>55</v>
      </c>
      <c r="M216" s="4" t="s">
        <v>17</v>
      </c>
      <c r="N216" s="10">
        <v>40950</v>
      </c>
      <c r="O216" s="6">
        <v>316.15100000000001</v>
      </c>
      <c r="P216" s="15">
        <f>IF(Table1[[#This Row],[Amount Spent]]&gt;3500, 3500,Table1[[#This Row],[Amount Spent]])</f>
        <v>316.15100000000001</v>
      </c>
    </row>
    <row r="217" spans="1:16" x14ac:dyDescent="0.35">
      <c r="A217" s="8">
        <v>217</v>
      </c>
      <c r="B217" s="1" t="s">
        <v>63</v>
      </c>
      <c r="C217" s="8" t="s">
        <v>62</v>
      </c>
      <c r="D217" s="8" t="s">
        <v>66</v>
      </c>
      <c r="E217" s="8" t="s">
        <v>70</v>
      </c>
      <c r="F217" s="8">
        <v>1</v>
      </c>
      <c r="G217" s="2">
        <v>11700</v>
      </c>
      <c r="H217" s="1">
        <v>0</v>
      </c>
      <c r="I217" s="8" t="s">
        <v>67</v>
      </c>
      <c r="J217" s="1">
        <v>12</v>
      </c>
      <c r="K217" s="1" t="s">
        <v>13</v>
      </c>
      <c r="L217" s="1" t="s">
        <v>56</v>
      </c>
      <c r="M217" s="1" t="s">
        <v>24</v>
      </c>
      <c r="N217" s="10">
        <v>41449</v>
      </c>
      <c r="O217" s="3">
        <v>192.577</v>
      </c>
      <c r="P217" s="15">
        <f>IF(Table1[[#This Row],[Amount Spent]]&gt;3500, 3500,Table1[[#This Row],[Amount Spent]])</f>
        <v>192.577</v>
      </c>
    </row>
    <row r="218" spans="1:16" x14ac:dyDescent="0.35">
      <c r="A218" s="9">
        <v>218</v>
      </c>
      <c r="B218" s="4" t="s">
        <v>63</v>
      </c>
      <c r="C218" s="9" t="s">
        <v>61</v>
      </c>
      <c r="D218" s="9" t="s">
        <v>66</v>
      </c>
      <c r="E218" s="9" t="s">
        <v>70</v>
      </c>
      <c r="F218" s="9">
        <v>1</v>
      </c>
      <c r="G218" s="5">
        <v>31600</v>
      </c>
      <c r="H218" s="4">
        <v>1</v>
      </c>
      <c r="I218" s="9" t="s">
        <v>8</v>
      </c>
      <c r="J218" s="4">
        <v>12</v>
      </c>
      <c r="K218" s="4" t="s">
        <v>14</v>
      </c>
      <c r="L218" s="4" t="s">
        <v>50</v>
      </c>
      <c r="M218" s="4" t="s">
        <v>34</v>
      </c>
      <c r="N218" s="10">
        <v>42199</v>
      </c>
      <c r="O218" s="6">
        <v>475.60500000000002</v>
      </c>
      <c r="P218" s="15">
        <f>IF(Table1[[#This Row],[Amount Spent]]&gt;3500, 3500,Table1[[#This Row],[Amount Spent]])</f>
        <v>475.60500000000002</v>
      </c>
    </row>
    <row r="219" spans="1:16" x14ac:dyDescent="0.35">
      <c r="A219" s="8">
        <v>219</v>
      </c>
      <c r="B219" s="1" t="s">
        <v>65</v>
      </c>
      <c r="C219" s="8" t="s">
        <v>62</v>
      </c>
      <c r="D219" s="8" t="s">
        <v>58</v>
      </c>
      <c r="E219" s="8" t="s">
        <v>2</v>
      </c>
      <c r="F219" s="8">
        <v>1</v>
      </c>
      <c r="G219" s="2">
        <v>82800</v>
      </c>
      <c r="H219" s="1">
        <v>0</v>
      </c>
      <c r="I219" s="8" t="s">
        <v>69</v>
      </c>
      <c r="J219" s="1">
        <v>24</v>
      </c>
      <c r="K219" s="1" t="s">
        <v>12</v>
      </c>
      <c r="L219" s="1" t="s">
        <v>47</v>
      </c>
      <c r="M219" s="1" t="s">
        <v>18</v>
      </c>
      <c r="N219" s="10">
        <v>41704</v>
      </c>
      <c r="O219" s="3">
        <v>3009.9789999999998</v>
      </c>
      <c r="P219" s="15">
        <f>IF(Table1[[#This Row],[Amount Spent]]&gt;3500, 3500,Table1[[#This Row],[Amount Spent]])</f>
        <v>3009.9789999999998</v>
      </c>
    </row>
    <row r="220" spans="1:16" x14ac:dyDescent="0.35">
      <c r="A220" s="9">
        <v>220</v>
      </c>
      <c r="B220" s="4" t="s">
        <v>63</v>
      </c>
      <c r="C220" s="9" t="s">
        <v>62</v>
      </c>
      <c r="D220" s="9" t="s">
        <v>66</v>
      </c>
      <c r="E220" s="9" t="s">
        <v>2</v>
      </c>
      <c r="F220" s="9">
        <v>1</v>
      </c>
      <c r="G220" s="5">
        <v>40900</v>
      </c>
      <c r="H220" s="4">
        <v>1</v>
      </c>
      <c r="I220" s="9" t="s">
        <v>68</v>
      </c>
      <c r="J220" s="4">
        <v>18</v>
      </c>
      <c r="K220" s="4" t="s">
        <v>14</v>
      </c>
      <c r="L220" s="4" t="s">
        <v>50</v>
      </c>
      <c r="M220" s="4" t="s">
        <v>35</v>
      </c>
      <c r="N220" s="10">
        <v>40777</v>
      </c>
      <c r="O220" s="6">
        <v>961.60900000000004</v>
      </c>
      <c r="P220" s="15">
        <f>IF(Table1[[#This Row],[Amount Spent]]&gt;3500, 3500,Table1[[#This Row],[Amount Spent]])</f>
        <v>961.60900000000004</v>
      </c>
    </row>
    <row r="221" spans="1:16" x14ac:dyDescent="0.35">
      <c r="A221" s="8">
        <v>221</v>
      </c>
      <c r="B221" s="1" t="s">
        <v>64</v>
      </c>
      <c r="C221" s="8" t="s">
        <v>61</v>
      </c>
      <c r="D221" s="8" t="s">
        <v>66</v>
      </c>
      <c r="E221" s="8" t="s">
        <v>2</v>
      </c>
      <c r="F221" s="8">
        <v>1</v>
      </c>
      <c r="G221" s="2">
        <v>65800</v>
      </c>
      <c r="H221" s="1">
        <v>2</v>
      </c>
      <c r="I221" s="8" t="s">
        <v>68</v>
      </c>
      <c r="J221" s="1">
        <v>18</v>
      </c>
      <c r="K221" s="1" t="s">
        <v>14</v>
      </c>
      <c r="L221" s="1" t="s">
        <v>49</v>
      </c>
      <c r="M221" s="1" t="s">
        <v>39</v>
      </c>
      <c r="N221" s="10">
        <v>41556</v>
      </c>
      <c r="O221" s="3">
        <v>577.53599999999994</v>
      </c>
      <c r="P221" s="15">
        <f>IF(Table1[[#This Row],[Amount Spent]]&gt;3500, 3500,Table1[[#This Row],[Amount Spent]])</f>
        <v>577.53599999999994</v>
      </c>
    </row>
    <row r="222" spans="1:16" x14ac:dyDescent="0.35">
      <c r="A222" s="9">
        <v>222</v>
      </c>
      <c r="B222" s="4" t="s">
        <v>63</v>
      </c>
      <c r="C222" s="9" t="s">
        <v>61</v>
      </c>
      <c r="D222" s="9" t="s">
        <v>66</v>
      </c>
      <c r="E222" s="9" t="s">
        <v>2</v>
      </c>
      <c r="F222" s="9">
        <v>1</v>
      </c>
      <c r="G222" s="5">
        <v>39700</v>
      </c>
      <c r="H222" s="4">
        <v>0</v>
      </c>
      <c r="I222" s="9" t="s">
        <v>68</v>
      </c>
      <c r="J222" s="4">
        <v>18</v>
      </c>
      <c r="K222" s="4" t="s">
        <v>13</v>
      </c>
      <c r="L222" s="4" t="s">
        <v>45</v>
      </c>
      <c r="M222" s="4" t="s">
        <v>26</v>
      </c>
      <c r="N222" s="10">
        <v>41924</v>
      </c>
      <c r="O222" s="6">
        <v>1011.061</v>
      </c>
      <c r="P222" s="15">
        <f>IF(Table1[[#This Row],[Amount Spent]]&gt;3500, 3500,Table1[[#This Row],[Amount Spent]])</f>
        <v>1011.061</v>
      </c>
    </row>
    <row r="223" spans="1:16" x14ac:dyDescent="0.35">
      <c r="A223" s="8">
        <v>223</v>
      </c>
      <c r="B223" s="1" t="s">
        <v>65</v>
      </c>
      <c r="C223" s="8" t="s">
        <v>62</v>
      </c>
      <c r="D223" s="8" t="s">
        <v>58</v>
      </c>
      <c r="E223" s="8" t="s">
        <v>2</v>
      </c>
      <c r="F223" s="8">
        <v>0</v>
      </c>
      <c r="G223" s="2">
        <v>79300</v>
      </c>
      <c r="H223" s="1">
        <v>0</v>
      </c>
      <c r="I223" s="8" t="s">
        <v>8</v>
      </c>
      <c r="J223" s="1">
        <v>12</v>
      </c>
      <c r="K223" s="1" t="s">
        <v>15</v>
      </c>
      <c r="L223" s="1" t="s">
        <v>44</v>
      </c>
      <c r="M223" s="1" t="s">
        <v>29</v>
      </c>
      <c r="N223" s="10">
        <v>42070</v>
      </c>
      <c r="O223" s="3">
        <v>2046.912</v>
      </c>
      <c r="P223" s="15">
        <f>IF(Table1[[#This Row],[Amount Spent]]&gt;3500, 3500,Table1[[#This Row],[Amount Spent]])</f>
        <v>2046.912</v>
      </c>
    </row>
    <row r="224" spans="1:16" x14ac:dyDescent="0.35">
      <c r="A224" s="9">
        <v>224</v>
      </c>
      <c r="B224" s="4" t="s">
        <v>64</v>
      </c>
      <c r="C224" s="9" t="s">
        <v>62</v>
      </c>
      <c r="D224" s="9" t="s">
        <v>66</v>
      </c>
      <c r="E224" s="9" t="s">
        <v>2</v>
      </c>
      <c r="F224" s="9">
        <v>1</v>
      </c>
      <c r="G224" s="5">
        <v>40500</v>
      </c>
      <c r="H224" s="4">
        <v>2</v>
      </c>
      <c r="I224" s="9" t="s">
        <v>67</v>
      </c>
      <c r="J224" s="4">
        <v>18</v>
      </c>
      <c r="K224" s="4" t="s">
        <v>13</v>
      </c>
      <c r="L224" s="4" t="s">
        <v>48</v>
      </c>
      <c r="M224" s="4" t="s">
        <v>27</v>
      </c>
      <c r="N224" s="10">
        <v>40817</v>
      </c>
      <c r="O224" s="6">
        <v>622.01800000000003</v>
      </c>
      <c r="P224" s="15">
        <f>IF(Table1[[#This Row],[Amount Spent]]&gt;3500, 3500,Table1[[#This Row],[Amount Spent]])</f>
        <v>622.01800000000003</v>
      </c>
    </row>
    <row r="225" spans="1:16" x14ac:dyDescent="0.35">
      <c r="A225" s="8">
        <v>225</v>
      </c>
      <c r="B225" s="1" t="s">
        <v>64</v>
      </c>
      <c r="C225" s="8" t="s">
        <v>62</v>
      </c>
      <c r="D225" s="8" t="s">
        <v>58</v>
      </c>
      <c r="E225" s="8" t="s">
        <v>2</v>
      </c>
      <c r="F225" s="8">
        <v>1</v>
      </c>
      <c r="G225" s="2">
        <v>64100</v>
      </c>
      <c r="H225" s="1">
        <v>1</v>
      </c>
      <c r="I225" s="8" t="s">
        <v>68</v>
      </c>
      <c r="J225" s="1">
        <v>18</v>
      </c>
      <c r="K225" s="1" t="s">
        <v>13</v>
      </c>
      <c r="L225" s="1" t="s">
        <v>46</v>
      </c>
      <c r="M225" s="1" t="s">
        <v>22</v>
      </c>
      <c r="N225" s="10">
        <v>41532</v>
      </c>
      <c r="O225" s="3">
        <v>1332.173</v>
      </c>
      <c r="P225" s="15">
        <f>IF(Table1[[#This Row],[Amount Spent]]&gt;3500, 3500,Table1[[#This Row],[Amount Spent]])</f>
        <v>1332.173</v>
      </c>
    </row>
    <row r="226" spans="1:16" x14ac:dyDescent="0.35">
      <c r="A226" s="9">
        <v>226</v>
      </c>
      <c r="B226" s="4" t="s">
        <v>64</v>
      </c>
      <c r="C226" s="9" t="s">
        <v>62</v>
      </c>
      <c r="D226" s="9" t="s">
        <v>66</v>
      </c>
      <c r="E226" s="9" t="s">
        <v>70</v>
      </c>
      <c r="F226" s="9">
        <v>1</v>
      </c>
      <c r="G226" s="5">
        <v>42000</v>
      </c>
      <c r="H226" s="4">
        <v>3</v>
      </c>
      <c r="I226" s="9" t="s">
        <v>67</v>
      </c>
      <c r="J226" s="4">
        <v>18</v>
      </c>
      <c r="K226" s="4" t="s">
        <v>12</v>
      </c>
      <c r="L226" s="4" t="s">
        <v>41</v>
      </c>
      <c r="M226" s="4" t="s">
        <v>20</v>
      </c>
      <c r="N226" s="10">
        <v>41954</v>
      </c>
      <c r="O226" s="6">
        <v>232.107</v>
      </c>
      <c r="P226" s="15">
        <f>IF(Table1[[#This Row],[Amount Spent]]&gt;3500, 3500,Table1[[#This Row],[Amount Spent]])</f>
        <v>232.107</v>
      </c>
    </row>
    <row r="227" spans="1:16" x14ac:dyDescent="0.35">
      <c r="A227" s="8">
        <v>227</v>
      </c>
      <c r="B227" s="1" t="s">
        <v>65</v>
      </c>
      <c r="C227" s="8" t="s">
        <v>62</v>
      </c>
      <c r="D227" s="8" t="s">
        <v>58</v>
      </c>
      <c r="E227" s="8" t="s">
        <v>70</v>
      </c>
      <c r="F227" s="8">
        <v>1</v>
      </c>
      <c r="G227" s="2">
        <v>32500</v>
      </c>
      <c r="H227" s="1">
        <v>0</v>
      </c>
      <c r="I227" s="8" t="s">
        <v>68</v>
      </c>
      <c r="J227" s="1">
        <v>24</v>
      </c>
      <c r="K227" s="1" t="s">
        <v>14</v>
      </c>
      <c r="L227" s="1" t="s">
        <v>50</v>
      </c>
      <c r="M227" s="1" t="s">
        <v>34</v>
      </c>
      <c r="N227" s="10">
        <v>40851</v>
      </c>
      <c r="O227" s="3">
        <v>882.86199999999997</v>
      </c>
      <c r="P227" s="15">
        <f>IF(Table1[[#This Row],[Amount Spent]]&gt;3500, 3500,Table1[[#This Row],[Amount Spent]])</f>
        <v>882.86199999999997</v>
      </c>
    </row>
    <row r="228" spans="1:16" x14ac:dyDescent="0.35">
      <c r="A228" s="9">
        <v>228</v>
      </c>
      <c r="B228" s="4" t="s">
        <v>65</v>
      </c>
      <c r="C228" s="9" t="s">
        <v>62</v>
      </c>
      <c r="D228" s="9" t="s">
        <v>66</v>
      </c>
      <c r="E228" s="9" t="s">
        <v>2</v>
      </c>
      <c r="F228" s="9">
        <v>1</v>
      </c>
      <c r="G228" s="5">
        <v>68600</v>
      </c>
      <c r="H228" s="4">
        <v>0</v>
      </c>
      <c r="I228" s="9" t="s">
        <v>69</v>
      </c>
      <c r="J228" s="4">
        <v>18</v>
      </c>
      <c r="K228" s="4" t="s">
        <v>12</v>
      </c>
      <c r="L228" s="4" t="s">
        <v>47</v>
      </c>
      <c r="M228" s="4" t="s">
        <v>16</v>
      </c>
      <c r="N228" s="10">
        <v>41945</v>
      </c>
      <c r="O228" s="6">
        <v>1341.8689999999999</v>
      </c>
      <c r="P228" s="15">
        <f>IF(Table1[[#This Row],[Amount Spent]]&gt;3500, 3500,Table1[[#This Row],[Amount Spent]])</f>
        <v>1341.8689999999999</v>
      </c>
    </row>
    <row r="229" spans="1:16" x14ac:dyDescent="0.35">
      <c r="A229" s="8">
        <v>229</v>
      </c>
      <c r="B229" s="1" t="s">
        <v>64</v>
      </c>
      <c r="C229" s="8" t="s">
        <v>61</v>
      </c>
      <c r="D229" s="8" t="s">
        <v>66</v>
      </c>
      <c r="E229" s="8" t="s">
        <v>70</v>
      </c>
      <c r="F229" s="8">
        <v>1</v>
      </c>
      <c r="G229" s="2">
        <v>60400</v>
      </c>
      <c r="H229" s="1">
        <v>1</v>
      </c>
      <c r="I229" s="8" t="s">
        <v>68</v>
      </c>
      <c r="J229" s="1">
        <v>6</v>
      </c>
      <c r="K229" s="1" t="s">
        <v>13</v>
      </c>
      <c r="L229" s="1" t="s">
        <v>48</v>
      </c>
      <c r="M229" s="1" t="s">
        <v>27</v>
      </c>
      <c r="N229" s="10">
        <v>41377</v>
      </c>
      <c r="O229" s="3">
        <v>791.23599999999999</v>
      </c>
      <c r="P229" s="15">
        <f>IF(Table1[[#This Row],[Amount Spent]]&gt;3500, 3500,Table1[[#This Row],[Amount Spent]])</f>
        <v>791.23599999999999</v>
      </c>
    </row>
    <row r="230" spans="1:16" x14ac:dyDescent="0.35">
      <c r="A230" s="9">
        <v>230</v>
      </c>
      <c r="B230" s="4" t="s">
        <v>64</v>
      </c>
      <c r="C230" s="9" t="s">
        <v>61</v>
      </c>
      <c r="D230" s="9" t="s">
        <v>58</v>
      </c>
      <c r="E230" s="9" t="s">
        <v>2</v>
      </c>
      <c r="F230" s="9">
        <v>0</v>
      </c>
      <c r="G230" s="5">
        <v>130600</v>
      </c>
      <c r="H230" s="4">
        <v>0</v>
      </c>
      <c r="I230" s="9" t="s">
        <v>69</v>
      </c>
      <c r="J230" s="4">
        <v>18</v>
      </c>
      <c r="K230" s="4" t="s">
        <v>13</v>
      </c>
      <c r="L230" s="4" t="s">
        <v>48</v>
      </c>
      <c r="M230" s="4" t="s">
        <v>27</v>
      </c>
      <c r="N230" s="10">
        <v>41928</v>
      </c>
      <c r="O230" s="6">
        <v>3441.549</v>
      </c>
      <c r="P230" s="15">
        <f>IF(Table1[[#This Row],[Amount Spent]]&gt;3500, 3500,Table1[[#This Row],[Amount Spent]])</f>
        <v>3441.549</v>
      </c>
    </row>
    <row r="231" spans="1:16" x14ac:dyDescent="0.35">
      <c r="A231" s="8">
        <v>231</v>
      </c>
      <c r="B231" s="1" t="s">
        <v>65</v>
      </c>
      <c r="C231" s="8" t="s">
        <v>61</v>
      </c>
      <c r="D231" s="8" t="s">
        <v>58</v>
      </c>
      <c r="E231" s="8" t="s">
        <v>2</v>
      </c>
      <c r="F231" s="8">
        <v>1</v>
      </c>
      <c r="G231" s="2">
        <v>73100</v>
      </c>
      <c r="H231" s="1">
        <v>0</v>
      </c>
      <c r="I231" s="8" t="s">
        <v>69</v>
      </c>
      <c r="J231" s="1">
        <v>6</v>
      </c>
      <c r="K231" s="1" t="s">
        <v>14</v>
      </c>
      <c r="L231" s="1" t="s">
        <v>40</v>
      </c>
      <c r="M231" s="1" t="s">
        <v>36</v>
      </c>
      <c r="N231" s="10">
        <v>41634</v>
      </c>
      <c r="O231" s="3">
        <v>1582.021</v>
      </c>
      <c r="P231" s="15">
        <f>IF(Table1[[#This Row],[Amount Spent]]&gt;3500, 3500,Table1[[#This Row],[Amount Spent]])</f>
        <v>1582.021</v>
      </c>
    </row>
    <row r="232" spans="1:16" x14ac:dyDescent="0.35">
      <c r="A232" s="9">
        <v>232</v>
      </c>
      <c r="B232" s="4" t="s">
        <v>65</v>
      </c>
      <c r="C232" s="9" t="s">
        <v>62</v>
      </c>
      <c r="D232" s="9" t="s">
        <v>58</v>
      </c>
      <c r="E232" s="9" t="s">
        <v>70</v>
      </c>
      <c r="F232" s="9">
        <v>1</v>
      </c>
      <c r="G232" s="5">
        <v>23800</v>
      </c>
      <c r="H232" s="4">
        <v>0</v>
      </c>
      <c r="I232" s="9" t="s">
        <v>67</v>
      </c>
      <c r="J232" s="4">
        <v>6</v>
      </c>
      <c r="K232" s="4" t="s">
        <v>13</v>
      </c>
      <c r="L232" s="4" t="s">
        <v>48</v>
      </c>
      <c r="M232" s="4" t="s">
        <v>27</v>
      </c>
      <c r="N232" s="10">
        <v>40223</v>
      </c>
      <c r="O232" s="6">
        <v>438.49599999999998</v>
      </c>
      <c r="P232" s="15">
        <f>IF(Table1[[#This Row],[Amount Spent]]&gt;3500, 3500,Table1[[#This Row],[Amount Spent]])</f>
        <v>438.49599999999998</v>
      </c>
    </row>
    <row r="233" spans="1:16" x14ac:dyDescent="0.35">
      <c r="A233" s="8">
        <v>233</v>
      </c>
      <c r="B233" s="1" t="s">
        <v>64</v>
      </c>
      <c r="C233" s="8" t="s">
        <v>61</v>
      </c>
      <c r="D233" s="8" t="s">
        <v>58</v>
      </c>
      <c r="E233" s="8" t="s">
        <v>70</v>
      </c>
      <c r="F233" s="8">
        <v>1</v>
      </c>
      <c r="G233" s="2">
        <v>52900</v>
      </c>
      <c r="H233" s="1">
        <v>1</v>
      </c>
      <c r="I233" s="8" t="s">
        <v>8</v>
      </c>
      <c r="J233" s="1">
        <v>24</v>
      </c>
      <c r="K233" s="1" t="s">
        <v>13</v>
      </c>
      <c r="L233" s="1" t="s">
        <v>45</v>
      </c>
      <c r="M233" s="1" t="s">
        <v>26</v>
      </c>
      <c r="N233" s="10">
        <v>42041</v>
      </c>
      <c r="O233" s="3">
        <v>2316.442</v>
      </c>
      <c r="P233" s="15">
        <f>IF(Table1[[#This Row],[Amount Spent]]&gt;3500, 3500,Table1[[#This Row],[Amount Spent]])</f>
        <v>2316.442</v>
      </c>
    </row>
    <row r="234" spans="1:16" x14ac:dyDescent="0.35">
      <c r="A234" s="9">
        <v>234</v>
      </c>
      <c r="B234" s="4" t="s">
        <v>63</v>
      </c>
      <c r="C234" s="9" t="s">
        <v>61</v>
      </c>
      <c r="D234" s="9" t="s">
        <v>66</v>
      </c>
      <c r="E234" s="9" t="s">
        <v>2</v>
      </c>
      <c r="F234" s="9">
        <v>1</v>
      </c>
      <c r="G234" s="5">
        <v>53600</v>
      </c>
      <c r="H234" s="4">
        <v>1</v>
      </c>
      <c r="I234" s="9" t="s">
        <v>68</v>
      </c>
      <c r="J234" s="4">
        <v>24</v>
      </c>
      <c r="K234" s="4" t="s">
        <v>12</v>
      </c>
      <c r="L234" s="4" t="s">
        <v>41</v>
      </c>
      <c r="M234" s="4" t="s">
        <v>20</v>
      </c>
      <c r="N234" s="10">
        <v>41854</v>
      </c>
      <c r="O234" s="6">
        <v>972.92899999999997</v>
      </c>
      <c r="P234" s="15">
        <f>IF(Table1[[#This Row],[Amount Spent]]&gt;3500, 3500,Table1[[#This Row],[Amount Spent]])</f>
        <v>972.92899999999997</v>
      </c>
    </row>
    <row r="235" spans="1:16" x14ac:dyDescent="0.35">
      <c r="A235" s="8">
        <v>235</v>
      </c>
      <c r="B235" s="1" t="s">
        <v>64</v>
      </c>
      <c r="C235" s="8" t="s">
        <v>61</v>
      </c>
      <c r="D235" s="8" t="s">
        <v>66</v>
      </c>
      <c r="E235" s="8" t="s">
        <v>70</v>
      </c>
      <c r="F235" s="8">
        <v>1</v>
      </c>
      <c r="G235" s="2">
        <v>55600</v>
      </c>
      <c r="H235" s="1">
        <v>0</v>
      </c>
      <c r="I235" s="8" t="s">
        <v>68</v>
      </c>
      <c r="J235" s="1">
        <v>6</v>
      </c>
      <c r="K235" s="1" t="s">
        <v>12</v>
      </c>
      <c r="L235" s="1" t="s">
        <v>54</v>
      </c>
      <c r="M235" s="1" t="s">
        <v>21</v>
      </c>
      <c r="N235" s="10">
        <v>41546</v>
      </c>
      <c r="O235" s="3">
        <v>984.41200000000003</v>
      </c>
      <c r="P235" s="15">
        <f>IF(Table1[[#This Row],[Amount Spent]]&gt;3500, 3500,Table1[[#This Row],[Amount Spent]])</f>
        <v>984.41200000000003</v>
      </c>
    </row>
    <row r="236" spans="1:16" x14ac:dyDescent="0.35">
      <c r="A236" s="9">
        <v>236</v>
      </c>
      <c r="B236" s="4" t="s">
        <v>65</v>
      </c>
      <c r="C236" s="9" t="s">
        <v>61</v>
      </c>
      <c r="D236" s="9" t="s">
        <v>58</v>
      </c>
      <c r="E236" s="9" t="s">
        <v>2</v>
      </c>
      <c r="F236" s="9">
        <v>0</v>
      </c>
      <c r="G236" s="5">
        <v>52000</v>
      </c>
      <c r="H236" s="4">
        <v>0</v>
      </c>
      <c r="I236" s="9" t="s">
        <v>69</v>
      </c>
      <c r="J236" s="4">
        <v>18</v>
      </c>
      <c r="K236" s="4" t="s">
        <v>13</v>
      </c>
      <c r="L236" s="4" t="s">
        <v>42</v>
      </c>
      <c r="M236" s="4" t="s">
        <v>25</v>
      </c>
      <c r="N236" s="10">
        <v>41391</v>
      </c>
      <c r="O236" s="6">
        <v>2544.605</v>
      </c>
      <c r="P236" s="15">
        <f>IF(Table1[[#This Row],[Amount Spent]]&gt;3500, 3500,Table1[[#This Row],[Amount Spent]])</f>
        <v>2544.605</v>
      </c>
    </row>
    <row r="237" spans="1:16" x14ac:dyDescent="0.35">
      <c r="A237" s="8">
        <v>237</v>
      </c>
      <c r="B237" s="1" t="s">
        <v>64</v>
      </c>
      <c r="C237" s="8" t="s">
        <v>62</v>
      </c>
      <c r="D237" s="8" t="s">
        <v>66</v>
      </c>
      <c r="E237" s="8" t="s">
        <v>2</v>
      </c>
      <c r="F237" s="8">
        <v>1</v>
      </c>
      <c r="G237" s="2">
        <v>79500</v>
      </c>
      <c r="H237" s="1">
        <v>0</v>
      </c>
      <c r="I237" s="8" t="s">
        <v>69</v>
      </c>
      <c r="J237" s="1">
        <v>12</v>
      </c>
      <c r="K237" s="1" t="s">
        <v>15</v>
      </c>
      <c r="L237" s="1" t="s">
        <v>28</v>
      </c>
      <c r="M237" s="1" t="s">
        <v>28</v>
      </c>
      <c r="N237" s="10">
        <v>41997</v>
      </c>
      <c r="O237" s="3">
        <v>1650.913</v>
      </c>
      <c r="P237" s="15">
        <f>IF(Table1[[#This Row],[Amount Spent]]&gt;3500, 3500,Table1[[#This Row],[Amount Spent]])</f>
        <v>1650.913</v>
      </c>
    </row>
    <row r="238" spans="1:16" x14ac:dyDescent="0.35">
      <c r="A238" s="9">
        <v>238</v>
      </c>
      <c r="B238" s="4" t="s">
        <v>64</v>
      </c>
      <c r="C238" s="9" t="s">
        <v>61</v>
      </c>
      <c r="D238" s="9" t="s">
        <v>66</v>
      </c>
      <c r="E238" s="9" t="s">
        <v>2</v>
      </c>
      <c r="F238" s="9">
        <v>0</v>
      </c>
      <c r="G238" s="5">
        <v>64600</v>
      </c>
      <c r="H238" s="4">
        <v>2</v>
      </c>
      <c r="I238" s="9" t="s">
        <v>8</v>
      </c>
      <c r="J238" s="4">
        <v>24</v>
      </c>
      <c r="K238" s="4" t="s">
        <v>14</v>
      </c>
      <c r="L238" s="4" t="s">
        <v>49</v>
      </c>
      <c r="M238" s="4" t="s">
        <v>39</v>
      </c>
      <c r="N238" s="10">
        <v>42235</v>
      </c>
      <c r="O238" s="6">
        <v>2934.8760000000002</v>
      </c>
      <c r="P238" s="15">
        <f>IF(Table1[[#This Row],[Amount Spent]]&gt;3500, 3500,Table1[[#This Row],[Amount Spent]])</f>
        <v>2934.8760000000002</v>
      </c>
    </row>
    <row r="239" spans="1:16" x14ac:dyDescent="0.35">
      <c r="A239" s="8">
        <v>239</v>
      </c>
      <c r="B239" s="1" t="s">
        <v>63</v>
      </c>
      <c r="C239" s="8" t="s">
        <v>62</v>
      </c>
      <c r="D239" s="8" t="s">
        <v>66</v>
      </c>
      <c r="E239" s="8" t="s">
        <v>70</v>
      </c>
      <c r="F239" s="8">
        <v>1</v>
      </c>
      <c r="G239" s="2">
        <v>14300</v>
      </c>
      <c r="H239" s="1">
        <v>1</v>
      </c>
      <c r="I239" s="8" t="s">
        <v>8</v>
      </c>
      <c r="J239" s="1">
        <v>18</v>
      </c>
      <c r="K239" s="1" t="s">
        <v>13</v>
      </c>
      <c r="L239" s="1" t="s">
        <v>42</v>
      </c>
      <c r="M239" s="1" t="s">
        <v>25</v>
      </c>
      <c r="N239" s="10">
        <v>42199</v>
      </c>
      <c r="O239" s="3">
        <v>458.28699999999998</v>
      </c>
      <c r="P239" s="15">
        <f>IF(Table1[[#This Row],[Amount Spent]]&gt;3500, 3500,Table1[[#This Row],[Amount Spent]])</f>
        <v>458.28699999999998</v>
      </c>
    </row>
    <row r="240" spans="1:16" x14ac:dyDescent="0.35">
      <c r="A240" s="9">
        <v>240</v>
      </c>
      <c r="B240" s="4" t="s">
        <v>64</v>
      </c>
      <c r="C240" s="9" t="s">
        <v>61</v>
      </c>
      <c r="D240" s="9" t="s">
        <v>58</v>
      </c>
      <c r="E240" s="9" t="s">
        <v>2</v>
      </c>
      <c r="F240" s="9">
        <v>1</v>
      </c>
      <c r="G240" s="5">
        <v>100000</v>
      </c>
      <c r="H240" s="4">
        <v>1</v>
      </c>
      <c r="I240" s="9" t="s">
        <v>69</v>
      </c>
      <c r="J240" s="4">
        <v>24</v>
      </c>
      <c r="K240" s="4" t="s">
        <v>12</v>
      </c>
      <c r="L240" s="4" t="s">
        <v>55</v>
      </c>
      <c r="M240" s="4" t="s">
        <v>17</v>
      </c>
      <c r="N240" s="10">
        <v>41351</v>
      </c>
      <c r="O240" s="6">
        <v>2247.366</v>
      </c>
      <c r="P240" s="15">
        <f>IF(Table1[[#This Row],[Amount Spent]]&gt;3500, 3500,Table1[[#This Row],[Amount Spent]])</f>
        <v>2247.366</v>
      </c>
    </row>
    <row r="241" spans="1:16" x14ac:dyDescent="0.35">
      <c r="A241" s="8">
        <v>241</v>
      </c>
      <c r="B241" s="1" t="s">
        <v>64</v>
      </c>
      <c r="C241" s="8" t="s">
        <v>61</v>
      </c>
      <c r="D241" s="8" t="s">
        <v>58</v>
      </c>
      <c r="E241" s="8" t="s">
        <v>70</v>
      </c>
      <c r="F241" s="8">
        <v>0</v>
      </c>
      <c r="G241" s="2">
        <v>48100</v>
      </c>
      <c r="H241" s="1">
        <v>2</v>
      </c>
      <c r="I241" s="8" t="s">
        <v>68</v>
      </c>
      <c r="J241" s="1">
        <v>18</v>
      </c>
      <c r="K241" s="1" t="s">
        <v>13</v>
      </c>
      <c r="L241" s="1" t="s">
        <v>46</v>
      </c>
      <c r="M241" s="1" t="s">
        <v>22</v>
      </c>
      <c r="N241" s="10">
        <v>41059</v>
      </c>
      <c r="O241" s="3">
        <v>961.005</v>
      </c>
      <c r="P241" s="15">
        <f>IF(Table1[[#This Row],[Amount Spent]]&gt;3500, 3500,Table1[[#This Row],[Amount Spent]])</f>
        <v>961.005</v>
      </c>
    </row>
    <row r="242" spans="1:16" x14ac:dyDescent="0.35">
      <c r="A242" s="9">
        <v>242</v>
      </c>
      <c r="B242" s="4" t="s">
        <v>64</v>
      </c>
      <c r="C242" s="9" t="s">
        <v>61</v>
      </c>
      <c r="D242" s="9" t="s">
        <v>58</v>
      </c>
      <c r="E242" s="9" t="s">
        <v>2</v>
      </c>
      <c r="F242" s="9">
        <v>1</v>
      </c>
      <c r="G242" s="5">
        <v>107300</v>
      </c>
      <c r="H242" s="4">
        <v>2</v>
      </c>
      <c r="I242" s="9" t="s">
        <v>68</v>
      </c>
      <c r="J242" s="4">
        <v>24</v>
      </c>
      <c r="K242" s="4" t="s">
        <v>15</v>
      </c>
      <c r="L242" s="4" t="s">
        <v>52</v>
      </c>
      <c r="M242" s="4" t="s">
        <v>30</v>
      </c>
      <c r="N242" s="10">
        <v>41093</v>
      </c>
      <c r="O242" s="6">
        <v>1194.239</v>
      </c>
      <c r="P242" s="15">
        <f>IF(Table1[[#This Row],[Amount Spent]]&gt;3500, 3500,Table1[[#This Row],[Amount Spent]])</f>
        <v>1194.239</v>
      </c>
    </row>
    <row r="243" spans="1:16" x14ac:dyDescent="0.35">
      <c r="A243" s="8">
        <v>243</v>
      </c>
      <c r="B243" s="1" t="s">
        <v>64</v>
      </c>
      <c r="C243" s="8" t="s">
        <v>61</v>
      </c>
      <c r="D243" s="8" t="s">
        <v>58</v>
      </c>
      <c r="E243" s="8" t="s">
        <v>2</v>
      </c>
      <c r="F243" s="8">
        <v>1</v>
      </c>
      <c r="G243" s="2">
        <v>85600</v>
      </c>
      <c r="H243" s="1">
        <v>0</v>
      </c>
      <c r="I243" s="8" t="s">
        <v>69</v>
      </c>
      <c r="J243" s="1">
        <v>24</v>
      </c>
      <c r="K243" s="1" t="s">
        <v>13</v>
      </c>
      <c r="L243" s="1" t="s">
        <v>42</v>
      </c>
      <c r="M243" s="1" t="s">
        <v>25</v>
      </c>
      <c r="N243" s="10">
        <v>42121</v>
      </c>
      <c r="O243" s="3">
        <v>3380.1410000000001</v>
      </c>
      <c r="P243" s="15">
        <f>IF(Table1[[#This Row],[Amount Spent]]&gt;3500, 3500,Table1[[#This Row],[Amount Spent]])</f>
        <v>3380.1410000000001</v>
      </c>
    </row>
    <row r="244" spans="1:16" x14ac:dyDescent="0.35">
      <c r="A244" s="9">
        <v>244</v>
      </c>
      <c r="B244" s="4" t="s">
        <v>64</v>
      </c>
      <c r="C244" s="9" t="s">
        <v>61</v>
      </c>
      <c r="D244" s="9" t="s">
        <v>58</v>
      </c>
      <c r="E244" s="9" t="s">
        <v>2</v>
      </c>
      <c r="F244" s="9">
        <v>0</v>
      </c>
      <c r="G244" s="5">
        <v>82400</v>
      </c>
      <c r="H244" s="4">
        <v>2</v>
      </c>
      <c r="I244" s="9" t="s">
        <v>69</v>
      </c>
      <c r="J244" s="4">
        <v>24</v>
      </c>
      <c r="K244" s="4" t="s">
        <v>13</v>
      </c>
      <c r="L244" s="4" t="s">
        <v>45</v>
      </c>
      <c r="M244" s="4" t="s">
        <v>26</v>
      </c>
      <c r="N244" s="10">
        <v>41723</v>
      </c>
      <c r="O244" s="6">
        <v>2035.4929999999999</v>
      </c>
      <c r="P244" s="15">
        <f>IF(Table1[[#This Row],[Amount Spent]]&gt;3500, 3500,Table1[[#This Row],[Amount Spent]])</f>
        <v>2035.4929999999999</v>
      </c>
    </row>
    <row r="245" spans="1:16" x14ac:dyDescent="0.35">
      <c r="A245" s="8">
        <v>245</v>
      </c>
      <c r="B245" s="1" t="s">
        <v>64</v>
      </c>
      <c r="C245" s="8" t="s">
        <v>61</v>
      </c>
      <c r="D245" s="8" t="s">
        <v>58</v>
      </c>
      <c r="E245" s="8" t="s">
        <v>70</v>
      </c>
      <c r="F245" s="8">
        <v>0</v>
      </c>
      <c r="G245" s="2">
        <v>55600</v>
      </c>
      <c r="H245" s="1">
        <v>0</v>
      </c>
      <c r="I245" s="8" t="s">
        <v>69</v>
      </c>
      <c r="J245" s="1">
        <v>18</v>
      </c>
      <c r="K245" s="1" t="s">
        <v>13</v>
      </c>
      <c r="L245" s="1" t="s">
        <v>48</v>
      </c>
      <c r="M245" s="1" t="s">
        <v>27</v>
      </c>
      <c r="N245" s="10">
        <v>40103</v>
      </c>
      <c r="O245" s="3">
        <v>1786.4970000000001</v>
      </c>
      <c r="P245" s="15">
        <f>IF(Table1[[#This Row],[Amount Spent]]&gt;3500, 3500,Table1[[#This Row],[Amount Spent]])</f>
        <v>1786.4970000000001</v>
      </c>
    </row>
    <row r="246" spans="1:16" x14ac:dyDescent="0.35">
      <c r="A246" s="9">
        <v>246</v>
      </c>
      <c r="B246" s="4" t="s">
        <v>64</v>
      </c>
      <c r="C246" s="9" t="s">
        <v>61</v>
      </c>
      <c r="D246" s="9" t="s">
        <v>66</v>
      </c>
      <c r="E246" s="9" t="s">
        <v>70</v>
      </c>
      <c r="F246" s="9">
        <v>1</v>
      </c>
      <c r="G246" s="5">
        <v>54700</v>
      </c>
      <c r="H246" s="4">
        <v>0</v>
      </c>
      <c r="I246" s="9" t="s">
        <v>68</v>
      </c>
      <c r="J246" s="4">
        <v>24</v>
      </c>
      <c r="K246" s="4" t="s">
        <v>13</v>
      </c>
      <c r="L246" s="4" t="s">
        <v>45</v>
      </c>
      <c r="M246" s="4" t="s">
        <v>26</v>
      </c>
      <c r="N246" s="10">
        <v>40075</v>
      </c>
      <c r="O246" s="6">
        <v>1355.395</v>
      </c>
      <c r="P246" s="15">
        <f>IF(Table1[[#This Row],[Amount Spent]]&gt;3500, 3500,Table1[[#This Row],[Amount Spent]])</f>
        <v>1355.395</v>
      </c>
    </row>
    <row r="247" spans="1:16" x14ac:dyDescent="0.35">
      <c r="A247" s="8">
        <v>247</v>
      </c>
      <c r="B247" s="1" t="s">
        <v>64</v>
      </c>
      <c r="C247" s="8" t="s">
        <v>62</v>
      </c>
      <c r="D247" s="8" t="s">
        <v>66</v>
      </c>
      <c r="E247" s="8" t="s">
        <v>70</v>
      </c>
      <c r="F247" s="8">
        <v>1</v>
      </c>
      <c r="G247" s="2">
        <v>46500</v>
      </c>
      <c r="H247" s="1">
        <v>1</v>
      </c>
      <c r="I247" s="8" t="s">
        <v>68</v>
      </c>
      <c r="J247" s="1">
        <v>24</v>
      </c>
      <c r="K247" s="1" t="s">
        <v>15</v>
      </c>
      <c r="L247" s="1" t="s">
        <v>52</v>
      </c>
      <c r="M247" s="1" t="s">
        <v>31</v>
      </c>
      <c r="N247" s="10">
        <v>42241</v>
      </c>
      <c r="O247" s="3">
        <v>829.23699999999997</v>
      </c>
      <c r="P247" s="15">
        <f>IF(Table1[[#This Row],[Amount Spent]]&gt;3500, 3500,Table1[[#This Row],[Amount Spent]])</f>
        <v>829.23699999999997</v>
      </c>
    </row>
    <row r="248" spans="1:16" x14ac:dyDescent="0.35">
      <c r="A248" s="9">
        <v>248</v>
      </c>
      <c r="B248" s="4" t="s">
        <v>65</v>
      </c>
      <c r="C248" s="9" t="s">
        <v>62</v>
      </c>
      <c r="D248" s="9" t="s">
        <v>58</v>
      </c>
      <c r="E248" s="9" t="s">
        <v>70</v>
      </c>
      <c r="F248" s="9">
        <v>1</v>
      </c>
      <c r="G248" s="5">
        <v>35900</v>
      </c>
      <c r="H248" s="4">
        <v>0</v>
      </c>
      <c r="I248" s="9" t="s">
        <v>8</v>
      </c>
      <c r="J248" s="4">
        <v>12</v>
      </c>
      <c r="K248" s="4" t="s">
        <v>14</v>
      </c>
      <c r="L248" s="4" t="s">
        <v>50</v>
      </c>
      <c r="M248" s="4" t="s">
        <v>35</v>
      </c>
      <c r="N248" s="10">
        <v>42172</v>
      </c>
      <c r="O248" s="6">
        <v>962.01199999999994</v>
      </c>
      <c r="P248" s="15">
        <f>IF(Table1[[#This Row],[Amount Spent]]&gt;3500, 3500,Table1[[#This Row],[Amount Spent]])</f>
        <v>962.01199999999994</v>
      </c>
    </row>
    <row r="249" spans="1:16" x14ac:dyDescent="0.35">
      <c r="A249" s="8">
        <v>249</v>
      </c>
      <c r="B249" s="1" t="s">
        <v>64</v>
      </c>
      <c r="C249" s="8" t="s">
        <v>61</v>
      </c>
      <c r="D249" s="8" t="s">
        <v>66</v>
      </c>
      <c r="E249" s="8" t="s">
        <v>2</v>
      </c>
      <c r="F249" s="8">
        <v>1</v>
      </c>
      <c r="G249" s="2">
        <v>106100</v>
      </c>
      <c r="H249" s="1">
        <v>3</v>
      </c>
      <c r="I249" s="8" t="s">
        <v>67</v>
      </c>
      <c r="J249" s="1">
        <v>12</v>
      </c>
      <c r="K249" s="1" t="s">
        <v>12</v>
      </c>
      <c r="L249" s="1" t="s">
        <v>55</v>
      </c>
      <c r="M249" s="1" t="s">
        <v>17</v>
      </c>
      <c r="N249" s="10">
        <v>40870</v>
      </c>
      <c r="O249" s="3">
        <v>472.04700000000003</v>
      </c>
      <c r="P249" s="15">
        <f>IF(Table1[[#This Row],[Amount Spent]]&gt;3500, 3500,Table1[[#This Row],[Amount Spent]])</f>
        <v>472.04700000000003</v>
      </c>
    </row>
    <row r="250" spans="1:16" x14ac:dyDescent="0.35">
      <c r="A250" s="9">
        <v>250</v>
      </c>
      <c r="B250" s="4" t="s">
        <v>64</v>
      </c>
      <c r="C250" s="9" t="s">
        <v>61</v>
      </c>
      <c r="D250" s="9" t="s">
        <v>58</v>
      </c>
      <c r="E250" s="9" t="s">
        <v>70</v>
      </c>
      <c r="F250" s="9">
        <v>1</v>
      </c>
      <c r="G250" s="5">
        <v>49200</v>
      </c>
      <c r="H250" s="4">
        <v>3</v>
      </c>
      <c r="I250" s="9" t="s">
        <v>67</v>
      </c>
      <c r="J250" s="4">
        <v>12</v>
      </c>
      <c r="K250" s="4" t="s">
        <v>15</v>
      </c>
      <c r="L250" s="4" t="s">
        <v>28</v>
      </c>
      <c r="M250" s="4" t="s">
        <v>33</v>
      </c>
      <c r="N250" s="10">
        <v>42214</v>
      </c>
      <c r="O250" s="6">
        <v>209.52099999999999</v>
      </c>
      <c r="P250" s="15">
        <f>IF(Table1[[#This Row],[Amount Spent]]&gt;3500, 3500,Table1[[#This Row],[Amount Spent]])</f>
        <v>209.52099999999999</v>
      </c>
    </row>
    <row r="251" spans="1:16" x14ac:dyDescent="0.35">
      <c r="A251" s="8">
        <v>251</v>
      </c>
      <c r="B251" s="1" t="s">
        <v>63</v>
      </c>
      <c r="C251" s="8" t="s">
        <v>62</v>
      </c>
      <c r="D251" s="8" t="s">
        <v>66</v>
      </c>
      <c r="E251" s="8" t="s">
        <v>70</v>
      </c>
      <c r="F251" s="8">
        <v>0</v>
      </c>
      <c r="G251" s="2">
        <v>10800</v>
      </c>
      <c r="H251" s="1">
        <v>3</v>
      </c>
      <c r="I251" s="8" t="s">
        <v>67</v>
      </c>
      <c r="J251" s="1">
        <v>6</v>
      </c>
      <c r="K251" s="1" t="s">
        <v>13</v>
      </c>
      <c r="L251" s="1" t="s">
        <v>46</v>
      </c>
      <c r="M251" s="1" t="s">
        <v>22</v>
      </c>
      <c r="N251" s="10">
        <v>40879</v>
      </c>
      <c r="O251" s="3">
        <v>123.07</v>
      </c>
      <c r="P251" s="15">
        <f>IF(Table1[[#This Row],[Amount Spent]]&gt;3500, 3500,Table1[[#This Row],[Amount Spent]])</f>
        <v>123.07</v>
      </c>
    </row>
    <row r="252" spans="1:16" x14ac:dyDescent="0.35">
      <c r="A252" s="9">
        <v>252</v>
      </c>
      <c r="B252" s="4" t="s">
        <v>64</v>
      </c>
      <c r="C252" s="9" t="s">
        <v>61</v>
      </c>
      <c r="D252" s="9" t="s">
        <v>66</v>
      </c>
      <c r="E252" s="9" t="s">
        <v>70</v>
      </c>
      <c r="F252" s="9">
        <v>1</v>
      </c>
      <c r="G252" s="5">
        <v>45200</v>
      </c>
      <c r="H252" s="4">
        <v>1</v>
      </c>
      <c r="I252" s="9" t="s">
        <v>68</v>
      </c>
      <c r="J252" s="4">
        <v>18</v>
      </c>
      <c r="K252" s="4" t="s">
        <v>12</v>
      </c>
      <c r="L252" s="4" t="s">
        <v>55</v>
      </c>
      <c r="M252" s="4" t="s">
        <v>17</v>
      </c>
      <c r="N252" s="10">
        <v>42080</v>
      </c>
      <c r="O252" s="6">
        <v>698.61400000000003</v>
      </c>
      <c r="P252" s="15">
        <f>IF(Table1[[#This Row],[Amount Spent]]&gt;3500, 3500,Table1[[#This Row],[Amount Spent]])</f>
        <v>698.61400000000003</v>
      </c>
    </row>
    <row r="253" spans="1:16" x14ac:dyDescent="0.35">
      <c r="A253" s="8">
        <v>253</v>
      </c>
      <c r="B253" s="1" t="s">
        <v>65</v>
      </c>
      <c r="C253" s="8" t="s">
        <v>62</v>
      </c>
      <c r="D253" s="8" t="s">
        <v>66</v>
      </c>
      <c r="E253" s="8" t="s">
        <v>70</v>
      </c>
      <c r="F253" s="8">
        <v>0</v>
      </c>
      <c r="G253" s="2">
        <v>20400</v>
      </c>
      <c r="H253" s="1">
        <v>0</v>
      </c>
      <c r="I253" s="8" t="s">
        <v>8</v>
      </c>
      <c r="J253" s="1">
        <v>24</v>
      </c>
      <c r="K253" s="1" t="s">
        <v>14</v>
      </c>
      <c r="L253" s="1" t="s">
        <v>50</v>
      </c>
      <c r="M253" s="1" t="s">
        <v>35</v>
      </c>
      <c r="N253" s="10">
        <v>42084</v>
      </c>
      <c r="O253" s="3">
        <v>513.07600000000002</v>
      </c>
      <c r="P253" s="15">
        <f>IF(Table1[[#This Row],[Amount Spent]]&gt;3500, 3500,Table1[[#This Row],[Amount Spent]])</f>
        <v>513.07600000000002</v>
      </c>
    </row>
    <row r="254" spans="1:16" x14ac:dyDescent="0.35">
      <c r="A254" s="9">
        <v>254</v>
      </c>
      <c r="B254" s="4" t="s">
        <v>64</v>
      </c>
      <c r="C254" s="9" t="s">
        <v>61</v>
      </c>
      <c r="D254" s="9" t="s">
        <v>58</v>
      </c>
      <c r="E254" s="9" t="s">
        <v>2</v>
      </c>
      <c r="F254" s="9">
        <v>0</v>
      </c>
      <c r="G254" s="5">
        <v>95800</v>
      </c>
      <c r="H254" s="4">
        <v>3</v>
      </c>
      <c r="I254" s="9" t="s">
        <v>8</v>
      </c>
      <c r="J254" s="4">
        <v>12</v>
      </c>
      <c r="K254" s="4" t="s">
        <v>14</v>
      </c>
      <c r="L254" s="4" t="s">
        <v>40</v>
      </c>
      <c r="M254" s="4" t="s">
        <v>37</v>
      </c>
      <c r="N254" s="10">
        <v>42082</v>
      </c>
      <c r="O254" s="6">
        <v>2581.4259999999999</v>
      </c>
      <c r="P254" s="15">
        <f>IF(Table1[[#This Row],[Amount Spent]]&gt;3500, 3500,Table1[[#This Row],[Amount Spent]])</f>
        <v>2581.4259999999999</v>
      </c>
    </row>
    <row r="255" spans="1:16" x14ac:dyDescent="0.35">
      <c r="A255" s="8">
        <v>255</v>
      </c>
      <c r="B255" s="1" t="s">
        <v>64</v>
      </c>
      <c r="C255" s="8" t="s">
        <v>61</v>
      </c>
      <c r="D255" s="8" t="s">
        <v>58</v>
      </c>
      <c r="E255" s="8" t="s">
        <v>2</v>
      </c>
      <c r="F255" s="8">
        <v>1</v>
      </c>
      <c r="G255" s="2">
        <v>111400</v>
      </c>
      <c r="H255" s="1">
        <v>0</v>
      </c>
      <c r="I255" s="8" t="s">
        <v>69</v>
      </c>
      <c r="J255" s="1">
        <v>12</v>
      </c>
      <c r="K255" s="1" t="s">
        <v>13</v>
      </c>
      <c r="L255" s="1" t="s">
        <v>43</v>
      </c>
      <c r="M255" s="1" t="s">
        <v>23</v>
      </c>
      <c r="N255" s="10">
        <v>39831</v>
      </c>
      <c r="O255" s="3">
        <v>2136.348</v>
      </c>
      <c r="P255" s="15">
        <f>IF(Table1[[#This Row],[Amount Spent]]&gt;3500, 3500,Table1[[#This Row],[Amount Spent]])</f>
        <v>2136.348</v>
      </c>
    </row>
    <row r="256" spans="1:16" x14ac:dyDescent="0.35">
      <c r="A256" s="9">
        <v>256</v>
      </c>
      <c r="B256" s="4" t="s">
        <v>65</v>
      </c>
      <c r="C256" s="9" t="s">
        <v>62</v>
      </c>
      <c r="D256" s="9" t="s">
        <v>58</v>
      </c>
      <c r="E256" s="9" t="s">
        <v>2</v>
      </c>
      <c r="F256" s="9">
        <v>1</v>
      </c>
      <c r="G256" s="5">
        <v>49200</v>
      </c>
      <c r="H256" s="4">
        <v>0</v>
      </c>
      <c r="I256" s="9" t="s">
        <v>68</v>
      </c>
      <c r="J256" s="4">
        <v>12</v>
      </c>
      <c r="K256" s="4" t="s">
        <v>13</v>
      </c>
      <c r="L256" s="4" t="s">
        <v>48</v>
      </c>
      <c r="M256" s="4" t="s">
        <v>27</v>
      </c>
      <c r="N256" s="10">
        <v>41896</v>
      </c>
      <c r="O256" s="6">
        <v>1077.723</v>
      </c>
      <c r="P256" s="15">
        <f>IF(Table1[[#This Row],[Amount Spent]]&gt;3500, 3500,Table1[[#This Row],[Amount Spent]])</f>
        <v>1077.723</v>
      </c>
    </row>
    <row r="257" spans="1:16" x14ac:dyDescent="0.35">
      <c r="A257" s="8">
        <v>257</v>
      </c>
      <c r="B257" s="1" t="s">
        <v>64</v>
      </c>
      <c r="C257" s="8" t="s">
        <v>61</v>
      </c>
      <c r="D257" s="8" t="s">
        <v>66</v>
      </c>
      <c r="E257" s="8" t="s">
        <v>2</v>
      </c>
      <c r="F257" s="8">
        <v>0</v>
      </c>
      <c r="G257" s="2">
        <v>48800</v>
      </c>
      <c r="H257" s="1">
        <v>2</v>
      </c>
      <c r="I257" s="8" t="s">
        <v>8</v>
      </c>
      <c r="J257" s="1">
        <v>12</v>
      </c>
      <c r="K257" s="1" t="s">
        <v>14</v>
      </c>
      <c r="L257" s="1" t="s">
        <v>40</v>
      </c>
      <c r="M257" s="1" t="s">
        <v>37</v>
      </c>
      <c r="N257" s="10">
        <v>42148</v>
      </c>
      <c r="O257" s="3">
        <v>1646.8889999999999</v>
      </c>
      <c r="P257" s="15">
        <f>IF(Table1[[#This Row],[Amount Spent]]&gt;3500, 3500,Table1[[#This Row],[Amount Spent]])</f>
        <v>1646.8889999999999</v>
      </c>
    </row>
    <row r="258" spans="1:16" x14ac:dyDescent="0.35">
      <c r="A258" s="9">
        <v>258</v>
      </c>
      <c r="B258" s="4" t="s">
        <v>63</v>
      </c>
      <c r="C258" s="9" t="s">
        <v>62</v>
      </c>
      <c r="D258" s="9" t="s">
        <v>66</v>
      </c>
      <c r="E258" s="9" t="s">
        <v>70</v>
      </c>
      <c r="F258" s="9">
        <v>1</v>
      </c>
      <c r="G258" s="5">
        <v>14000</v>
      </c>
      <c r="H258" s="4">
        <v>0</v>
      </c>
      <c r="I258" s="9" t="s">
        <v>67</v>
      </c>
      <c r="J258" s="4">
        <v>12</v>
      </c>
      <c r="K258" s="4" t="s">
        <v>13</v>
      </c>
      <c r="L258" s="4" t="s">
        <v>48</v>
      </c>
      <c r="M258" s="4" t="s">
        <v>27</v>
      </c>
      <c r="N258" s="10">
        <v>40526</v>
      </c>
      <c r="O258" s="6">
        <v>229.20099999999999</v>
      </c>
      <c r="P258" s="15">
        <f>IF(Table1[[#This Row],[Amount Spent]]&gt;3500, 3500,Table1[[#This Row],[Amount Spent]])</f>
        <v>229.20099999999999</v>
      </c>
    </row>
    <row r="259" spans="1:16" x14ac:dyDescent="0.35">
      <c r="A259" s="8">
        <v>259</v>
      </c>
      <c r="B259" s="1" t="s">
        <v>64</v>
      </c>
      <c r="C259" s="8" t="s">
        <v>61</v>
      </c>
      <c r="D259" s="8" t="s">
        <v>58</v>
      </c>
      <c r="E259" s="8" t="s">
        <v>70</v>
      </c>
      <c r="F259" s="8">
        <v>1</v>
      </c>
      <c r="G259" s="2">
        <v>82800</v>
      </c>
      <c r="H259" s="1">
        <v>0</v>
      </c>
      <c r="I259" s="8" t="s">
        <v>8</v>
      </c>
      <c r="J259" s="1">
        <v>6</v>
      </c>
      <c r="K259" s="1" t="s">
        <v>15</v>
      </c>
      <c r="L259" s="1" t="s">
        <v>28</v>
      </c>
      <c r="M259" s="1" t="s">
        <v>28</v>
      </c>
      <c r="N259" s="10">
        <v>42151</v>
      </c>
      <c r="O259" s="3">
        <v>1543.5630000000001</v>
      </c>
      <c r="P259" s="15">
        <f>IF(Table1[[#This Row],[Amount Spent]]&gt;3500, 3500,Table1[[#This Row],[Amount Spent]])</f>
        <v>1543.5630000000001</v>
      </c>
    </row>
    <row r="260" spans="1:16" x14ac:dyDescent="0.35">
      <c r="A260" s="9">
        <v>260</v>
      </c>
      <c r="B260" s="4" t="s">
        <v>63</v>
      </c>
      <c r="C260" s="9" t="s">
        <v>62</v>
      </c>
      <c r="D260" s="9" t="s">
        <v>66</v>
      </c>
      <c r="E260" s="9" t="s">
        <v>70</v>
      </c>
      <c r="F260" s="9">
        <v>0</v>
      </c>
      <c r="G260" s="5">
        <v>12900</v>
      </c>
      <c r="H260" s="4">
        <v>1</v>
      </c>
      <c r="I260" s="9" t="s">
        <v>67</v>
      </c>
      <c r="J260" s="4">
        <v>6</v>
      </c>
      <c r="K260" s="4" t="s">
        <v>14</v>
      </c>
      <c r="L260" s="4" t="s">
        <v>40</v>
      </c>
      <c r="M260" s="4" t="s">
        <v>36</v>
      </c>
      <c r="N260" s="10">
        <v>39855</v>
      </c>
      <c r="O260" s="6">
        <v>167.41300000000001</v>
      </c>
      <c r="P260" s="15">
        <f>IF(Table1[[#This Row],[Amount Spent]]&gt;3500, 3500,Table1[[#This Row],[Amount Spent]])</f>
        <v>167.41300000000001</v>
      </c>
    </row>
    <row r="261" spans="1:16" x14ac:dyDescent="0.35">
      <c r="A261" s="8">
        <v>261</v>
      </c>
      <c r="B261" s="1" t="s">
        <v>64</v>
      </c>
      <c r="C261" s="8" t="s">
        <v>62</v>
      </c>
      <c r="D261" s="8" t="s">
        <v>58</v>
      </c>
      <c r="E261" s="8" t="s">
        <v>2</v>
      </c>
      <c r="F261" s="8">
        <v>1</v>
      </c>
      <c r="G261" s="2">
        <v>44100</v>
      </c>
      <c r="H261" s="1">
        <v>1</v>
      </c>
      <c r="I261" s="8" t="s">
        <v>68</v>
      </c>
      <c r="J261" s="1">
        <v>24</v>
      </c>
      <c r="K261" s="1" t="s">
        <v>12</v>
      </c>
      <c r="L261" s="1" t="s">
        <v>41</v>
      </c>
      <c r="M261" s="1" t="s">
        <v>20</v>
      </c>
      <c r="N261" s="10">
        <v>40521</v>
      </c>
      <c r="O261" s="3">
        <v>703.58600000000001</v>
      </c>
      <c r="P261" s="15">
        <f>IF(Table1[[#This Row],[Amount Spent]]&gt;3500, 3500,Table1[[#This Row],[Amount Spent]])</f>
        <v>703.58600000000001</v>
      </c>
    </row>
    <row r="262" spans="1:16" x14ac:dyDescent="0.35">
      <c r="A262" s="9">
        <v>262</v>
      </c>
      <c r="B262" s="4" t="s">
        <v>64</v>
      </c>
      <c r="C262" s="9" t="s">
        <v>62</v>
      </c>
      <c r="D262" s="9" t="s">
        <v>66</v>
      </c>
      <c r="E262" s="9" t="s">
        <v>2</v>
      </c>
      <c r="F262" s="9">
        <v>0</v>
      </c>
      <c r="G262" s="5">
        <v>72900</v>
      </c>
      <c r="H262" s="4">
        <v>0</v>
      </c>
      <c r="I262" s="9" t="s">
        <v>69</v>
      </c>
      <c r="J262" s="4">
        <v>18</v>
      </c>
      <c r="K262" s="4" t="s">
        <v>13</v>
      </c>
      <c r="L262" s="4" t="s">
        <v>45</v>
      </c>
      <c r="M262" s="4" t="s">
        <v>26</v>
      </c>
      <c r="N262" s="10">
        <v>41083</v>
      </c>
      <c r="O262" s="6">
        <v>2074.61</v>
      </c>
      <c r="P262" s="15">
        <f>IF(Table1[[#This Row],[Amount Spent]]&gt;3500, 3500,Table1[[#This Row],[Amount Spent]])</f>
        <v>2074.61</v>
      </c>
    </row>
    <row r="263" spans="1:16" x14ac:dyDescent="0.35">
      <c r="A263" s="8">
        <v>263</v>
      </c>
      <c r="B263" s="1" t="s">
        <v>65</v>
      </c>
      <c r="C263" s="8" t="s">
        <v>61</v>
      </c>
      <c r="D263" s="8" t="s">
        <v>58</v>
      </c>
      <c r="E263" s="8" t="s">
        <v>70</v>
      </c>
      <c r="F263" s="8">
        <v>1</v>
      </c>
      <c r="G263" s="2">
        <v>59300</v>
      </c>
      <c r="H263" s="1">
        <v>0</v>
      </c>
      <c r="I263" s="8" t="s">
        <v>68</v>
      </c>
      <c r="J263" s="1">
        <v>12</v>
      </c>
      <c r="K263" s="1" t="s">
        <v>13</v>
      </c>
      <c r="L263" s="1" t="s">
        <v>42</v>
      </c>
      <c r="M263" s="1" t="s">
        <v>25</v>
      </c>
      <c r="N263" s="10">
        <v>40466</v>
      </c>
      <c r="O263" s="3">
        <v>928.78</v>
      </c>
      <c r="P263" s="15">
        <f>IF(Table1[[#This Row],[Amount Spent]]&gt;3500, 3500,Table1[[#This Row],[Amount Spent]])</f>
        <v>928.78</v>
      </c>
    </row>
    <row r="264" spans="1:16" x14ac:dyDescent="0.35">
      <c r="A264" s="9">
        <v>264</v>
      </c>
      <c r="B264" s="4" t="s">
        <v>64</v>
      </c>
      <c r="C264" s="9" t="s">
        <v>61</v>
      </c>
      <c r="D264" s="9" t="s">
        <v>58</v>
      </c>
      <c r="E264" s="9" t="s">
        <v>70</v>
      </c>
      <c r="F264" s="9">
        <v>1</v>
      </c>
      <c r="G264" s="5">
        <v>59700</v>
      </c>
      <c r="H264" s="4">
        <v>1</v>
      </c>
      <c r="I264" s="9" t="s">
        <v>8</v>
      </c>
      <c r="J264" s="4">
        <v>18</v>
      </c>
      <c r="K264" s="4" t="s">
        <v>12</v>
      </c>
      <c r="L264" s="4" t="s">
        <v>55</v>
      </c>
      <c r="M264" s="4" t="s">
        <v>17</v>
      </c>
      <c r="N264" s="10">
        <v>42111</v>
      </c>
      <c r="O264" s="6">
        <v>1422.173</v>
      </c>
      <c r="P264" s="15">
        <f>IF(Table1[[#This Row],[Amount Spent]]&gt;3500, 3500,Table1[[#This Row],[Amount Spent]])</f>
        <v>1422.173</v>
      </c>
    </row>
    <row r="265" spans="1:16" x14ac:dyDescent="0.35">
      <c r="A265" s="8">
        <v>265</v>
      </c>
      <c r="B265" s="1" t="s">
        <v>65</v>
      </c>
      <c r="C265" s="8" t="s">
        <v>61</v>
      </c>
      <c r="D265" s="8" t="s">
        <v>58</v>
      </c>
      <c r="E265" s="8" t="s">
        <v>70</v>
      </c>
      <c r="F265" s="8">
        <v>1</v>
      </c>
      <c r="G265" s="2">
        <v>40200</v>
      </c>
      <c r="H265" s="1">
        <v>2</v>
      </c>
      <c r="I265" s="8" t="s">
        <v>8</v>
      </c>
      <c r="J265" s="1">
        <v>18</v>
      </c>
      <c r="K265" s="1" t="s">
        <v>12</v>
      </c>
      <c r="L265" s="1" t="s">
        <v>53</v>
      </c>
      <c r="M265" s="1" t="s">
        <v>19</v>
      </c>
      <c r="N265" s="10">
        <v>42084</v>
      </c>
      <c r="O265" s="3">
        <v>1196.7639999999999</v>
      </c>
      <c r="P265" s="15">
        <f>IF(Table1[[#This Row],[Amount Spent]]&gt;3500, 3500,Table1[[#This Row],[Amount Spent]])</f>
        <v>1196.7639999999999</v>
      </c>
    </row>
    <row r="266" spans="1:16" x14ac:dyDescent="0.35">
      <c r="A266" s="9">
        <v>266</v>
      </c>
      <c r="B266" s="4" t="s">
        <v>64</v>
      </c>
      <c r="C266" s="9" t="s">
        <v>61</v>
      </c>
      <c r="D266" s="9" t="s">
        <v>58</v>
      </c>
      <c r="E266" s="9" t="s">
        <v>70</v>
      </c>
      <c r="F266" s="9">
        <v>1</v>
      </c>
      <c r="G266" s="5">
        <v>62800</v>
      </c>
      <c r="H266" s="4">
        <v>3</v>
      </c>
      <c r="I266" s="9" t="s">
        <v>8</v>
      </c>
      <c r="J266" s="4">
        <v>6</v>
      </c>
      <c r="K266" s="4" t="s">
        <v>15</v>
      </c>
      <c r="L266" s="4" t="s">
        <v>42</v>
      </c>
      <c r="M266" s="4" t="s">
        <v>32</v>
      </c>
      <c r="N266" s="10">
        <v>42174</v>
      </c>
      <c r="O266" s="6">
        <v>707.12</v>
      </c>
      <c r="P266" s="15">
        <f>IF(Table1[[#This Row],[Amount Spent]]&gt;3500, 3500,Table1[[#This Row],[Amount Spent]])</f>
        <v>707.12</v>
      </c>
    </row>
    <row r="267" spans="1:16" x14ac:dyDescent="0.35">
      <c r="A267" s="8">
        <v>267</v>
      </c>
      <c r="B267" s="1" t="s">
        <v>65</v>
      </c>
      <c r="C267" s="8" t="s">
        <v>62</v>
      </c>
      <c r="D267" s="8" t="s">
        <v>66</v>
      </c>
      <c r="E267" s="8" t="s">
        <v>70</v>
      </c>
      <c r="F267" s="8">
        <v>0</v>
      </c>
      <c r="G267" s="2">
        <v>22600</v>
      </c>
      <c r="H267" s="1">
        <v>0</v>
      </c>
      <c r="I267" s="8" t="s">
        <v>8</v>
      </c>
      <c r="J267" s="1">
        <v>12</v>
      </c>
      <c r="K267" s="1" t="s">
        <v>14</v>
      </c>
      <c r="L267" s="1" t="s">
        <v>40</v>
      </c>
      <c r="M267" s="1" t="s">
        <v>37</v>
      </c>
      <c r="N267" s="10">
        <v>42194</v>
      </c>
      <c r="O267" s="3">
        <v>864.56399999999996</v>
      </c>
      <c r="P267" s="15">
        <f>IF(Table1[[#This Row],[Amount Spent]]&gt;3500, 3500,Table1[[#This Row],[Amount Spent]])</f>
        <v>864.56399999999996</v>
      </c>
    </row>
    <row r="268" spans="1:16" x14ac:dyDescent="0.35">
      <c r="A268" s="9">
        <v>268</v>
      </c>
      <c r="B268" s="4" t="s">
        <v>64</v>
      </c>
      <c r="C268" s="9" t="s">
        <v>62</v>
      </c>
      <c r="D268" s="9" t="s">
        <v>58</v>
      </c>
      <c r="E268" s="9" t="s">
        <v>70</v>
      </c>
      <c r="F268" s="9">
        <v>1</v>
      </c>
      <c r="G268" s="5">
        <v>54400</v>
      </c>
      <c r="H268" s="4">
        <v>3</v>
      </c>
      <c r="I268" s="9" t="s">
        <v>67</v>
      </c>
      <c r="J268" s="4">
        <v>18</v>
      </c>
      <c r="K268" s="4" t="s">
        <v>14</v>
      </c>
      <c r="L268" s="4" t="s">
        <v>49</v>
      </c>
      <c r="M268" s="4" t="s">
        <v>39</v>
      </c>
      <c r="N268" s="10">
        <v>41632</v>
      </c>
      <c r="O268" s="6">
        <v>342.452</v>
      </c>
      <c r="P268" s="15">
        <f>IF(Table1[[#This Row],[Amount Spent]]&gt;3500, 3500,Table1[[#This Row],[Amount Spent]])</f>
        <v>342.452</v>
      </c>
    </row>
    <row r="269" spans="1:16" x14ac:dyDescent="0.35">
      <c r="A269" s="8">
        <v>269</v>
      </c>
      <c r="B269" s="1" t="s">
        <v>63</v>
      </c>
      <c r="C269" s="8" t="s">
        <v>62</v>
      </c>
      <c r="D269" s="8" t="s">
        <v>58</v>
      </c>
      <c r="E269" s="8" t="s">
        <v>70</v>
      </c>
      <c r="F269" s="8">
        <v>1</v>
      </c>
      <c r="G269" s="2">
        <v>33400</v>
      </c>
      <c r="H269" s="1">
        <v>1</v>
      </c>
      <c r="I269" s="8" t="s">
        <v>8</v>
      </c>
      <c r="J269" s="1">
        <v>6</v>
      </c>
      <c r="K269" s="1" t="s">
        <v>13</v>
      </c>
      <c r="L269" s="1" t="s">
        <v>42</v>
      </c>
      <c r="M269" s="1" t="s">
        <v>25</v>
      </c>
      <c r="N269" s="10">
        <v>42018</v>
      </c>
      <c r="O269" s="3">
        <v>617.25900000000001</v>
      </c>
      <c r="P269" s="15">
        <f>IF(Table1[[#This Row],[Amount Spent]]&gt;3500, 3500,Table1[[#This Row],[Amount Spent]])</f>
        <v>617.25900000000001</v>
      </c>
    </row>
    <row r="270" spans="1:16" x14ac:dyDescent="0.35">
      <c r="A270" s="9">
        <v>270</v>
      </c>
      <c r="B270" s="4" t="s">
        <v>63</v>
      </c>
      <c r="C270" s="9" t="s">
        <v>61</v>
      </c>
      <c r="D270" s="9" t="s">
        <v>66</v>
      </c>
      <c r="E270" s="9" t="s">
        <v>2</v>
      </c>
      <c r="F270" s="9">
        <v>0</v>
      </c>
      <c r="G270" s="5">
        <v>63300</v>
      </c>
      <c r="H270" s="4">
        <v>3</v>
      </c>
      <c r="I270" s="9" t="s">
        <v>8</v>
      </c>
      <c r="J270" s="4">
        <v>6</v>
      </c>
      <c r="K270" s="4" t="s">
        <v>13</v>
      </c>
      <c r="L270" s="4" t="s">
        <v>48</v>
      </c>
      <c r="M270" s="4" t="s">
        <v>27</v>
      </c>
      <c r="N270" s="10">
        <v>42241</v>
      </c>
      <c r="O270" s="6">
        <v>1408.105</v>
      </c>
      <c r="P270" s="15">
        <f>IF(Table1[[#This Row],[Amount Spent]]&gt;3500, 3500,Table1[[#This Row],[Amount Spent]])</f>
        <v>1408.105</v>
      </c>
    </row>
    <row r="271" spans="1:16" x14ac:dyDescent="0.35">
      <c r="A271" s="8">
        <v>271</v>
      </c>
      <c r="B271" s="1" t="s">
        <v>64</v>
      </c>
      <c r="C271" s="8" t="s">
        <v>61</v>
      </c>
      <c r="D271" s="8" t="s">
        <v>66</v>
      </c>
      <c r="E271" s="8" t="s">
        <v>2</v>
      </c>
      <c r="F271" s="8">
        <v>1</v>
      </c>
      <c r="G271" s="2">
        <v>87400</v>
      </c>
      <c r="H271" s="1">
        <v>2</v>
      </c>
      <c r="I271" s="8" t="s">
        <v>8</v>
      </c>
      <c r="J271" s="1">
        <v>18</v>
      </c>
      <c r="K271" s="1" t="s">
        <v>13</v>
      </c>
      <c r="L271" s="1" t="s">
        <v>45</v>
      </c>
      <c r="M271" s="1" t="s">
        <v>26</v>
      </c>
      <c r="N271" s="10">
        <v>42137</v>
      </c>
      <c r="O271" s="3">
        <v>2728.5619999999999</v>
      </c>
      <c r="P271" s="15">
        <f>IF(Table1[[#This Row],[Amount Spent]]&gt;3500, 3500,Table1[[#This Row],[Amount Spent]])</f>
        <v>2728.5619999999999</v>
      </c>
    </row>
    <row r="272" spans="1:16" x14ac:dyDescent="0.35">
      <c r="A272" s="9">
        <v>272</v>
      </c>
      <c r="B272" s="4" t="s">
        <v>64</v>
      </c>
      <c r="C272" s="9" t="s">
        <v>62</v>
      </c>
      <c r="D272" s="9" t="s">
        <v>58</v>
      </c>
      <c r="E272" s="9" t="s">
        <v>70</v>
      </c>
      <c r="F272" s="9">
        <v>1</v>
      </c>
      <c r="G272" s="5">
        <v>27000</v>
      </c>
      <c r="H272" s="4">
        <v>2</v>
      </c>
      <c r="I272" s="9" t="s">
        <v>67</v>
      </c>
      <c r="J272" s="4">
        <v>6</v>
      </c>
      <c r="K272" s="4" t="s">
        <v>13</v>
      </c>
      <c r="L272" s="4" t="s">
        <v>43</v>
      </c>
      <c r="M272" s="4" t="s">
        <v>23</v>
      </c>
      <c r="N272" s="10">
        <v>40142</v>
      </c>
      <c r="O272" s="6">
        <v>182.63399999999999</v>
      </c>
      <c r="P272" s="15">
        <f>IF(Table1[[#This Row],[Amount Spent]]&gt;3500, 3500,Table1[[#This Row],[Amount Spent]])</f>
        <v>182.63399999999999</v>
      </c>
    </row>
    <row r="273" spans="1:16" x14ac:dyDescent="0.35">
      <c r="A273" s="8">
        <v>273</v>
      </c>
      <c r="B273" s="1" t="s">
        <v>64</v>
      </c>
      <c r="C273" s="8" t="s">
        <v>61</v>
      </c>
      <c r="D273" s="8" t="s">
        <v>58</v>
      </c>
      <c r="E273" s="8" t="s">
        <v>70</v>
      </c>
      <c r="F273" s="8">
        <v>1</v>
      </c>
      <c r="G273" s="2">
        <v>65300</v>
      </c>
      <c r="H273" s="1">
        <v>3</v>
      </c>
      <c r="I273" s="8" t="s">
        <v>67</v>
      </c>
      <c r="J273" s="1">
        <v>6</v>
      </c>
      <c r="K273" s="1" t="s">
        <v>12</v>
      </c>
      <c r="L273" s="1" t="s">
        <v>55</v>
      </c>
      <c r="M273" s="1" t="s">
        <v>17</v>
      </c>
      <c r="N273" s="10">
        <v>41036</v>
      </c>
      <c r="O273" s="3">
        <v>192.56899999999999</v>
      </c>
      <c r="P273" s="15">
        <f>IF(Table1[[#This Row],[Amount Spent]]&gt;3500, 3500,Table1[[#This Row],[Amount Spent]])</f>
        <v>192.56899999999999</v>
      </c>
    </row>
    <row r="274" spans="1:16" x14ac:dyDescent="0.35">
      <c r="A274" s="9">
        <v>274</v>
      </c>
      <c r="B274" s="4" t="s">
        <v>64</v>
      </c>
      <c r="C274" s="9" t="s">
        <v>62</v>
      </c>
      <c r="D274" s="9" t="s">
        <v>66</v>
      </c>
      <c r="E274" s="9" t="s">
        <v>2</v>
      </c>
      <c r="F274" s="9">
        <v>1</v>
      </c>
      <c r="G274" s="5">
        <v>104900</v>
      </c>
      <c r="H274" s="4">
        <v>3</v>
      </c>
      <c r="I274" s="9" t="s">
        <v>67</v>
      </c>
      <c r="J274" s="4">
        <v>6</v>
      </c>
      <c r="K274" s="4" t="s">
        <v>14</v>
      </c>
      <c r="L274" s="4" t="s">
        <v>49</v>
      </c>
      <c r="M274" s="4" t="s">
        <v>39</v>
      </c>
      <c r="N274" s="10">
        <v>41193</v>
      </c>
      <c r="O274" s="6">
        <v>449.58800000000002</v>
      </c>
      <c r="P274" s="15">
        <f>IF(Table1[[#This Row],[Amount Spent]]&gt;3500, 3500,Table1[[#This Row],[Amount Spent]])</f>
        <v>449.58800000000002</v>
      </c>
    </row>
    <row r="275" spans="1:16" x14ac:dyDescent="0.35">
      <c r="A275" s="8">
        <v>275</v>
      </c>
      <c r="B275" s="1" t="s">
        <v>65</v>
      </c>
      <c r="C275" s="8" t="s">
        <v>62</v>
      </c>
      <c r="D275" s="8" t="s">
        <v>66</v>
      </c>
      <c r="E275" s="8" t="s">
        <v>70</v>
      </c>
      <c r="F275" s="8">
        <v>1</v>
      </c>
      <c r="G275" s="2">
        <v>20100</v>
      </c>
      <c r="H275" s="1">
        <v>0</v>
      </c>
      <c r="I275" s="8" t="s">
        <v>67</v>
      </c>
      <c r="J275" s="1">
        <v>24</v>
      </c>
      <c r="K275" s="1" t="s">
        <v>13</v>
      </c>
      <c r="L275" s="1" t="s">
        <v>43</v>
      </c>
      <c r="M275" s="1" t="s">
        <v>23</v>
      </c>
      <c r="N275" s="10">
        <v>41059</v>
      </c>
      <c r="O275" s="3">
        <v>575.572</v>
      </c>
      <c r="P275" s="15">
        <f>IF(Table1[[#This Row],[Amount Spent]]&gt;3500, 3500,Table1[[#This Row],[Amount Spent]])</f>
        <v>575.572</v>
      </c>
    </row>
    <row r="276" spans="1:16" x14ac:dyDescent="0.35">
      <c r="A276" s="9">
        <v>276</v>
      </c>
      <c r="B276" s="4" t="s">
        <v>63</v>
      </c>
      <c r="C276" s="9" t="s">
        <v>62</v>
      </c>
      <c r="D276" s="9" t="s">
        <v>66</v>
      </c>
      <c r="E276" s="9" t="s">
        <v>70</v>
      </c>
      <c r="F276" s="9">
        <v>1</v>
      </c>
      <c r="G276" s="5">
        <v>14600</v>
      </c>
      <c r="H276" s="4">
        <v>1</v>
      </c>
      <c r="I276" s="9" t="s">
        <v>67</v>
      </c>
      <c r="J276" s="4">
        <v>6</v>
      </c>
      <c r="K276" s="4" t="s">
        <v>13</v>
      </c>
      <c r="L276" s="4" t="s">
        <v>56</v>
      </c>
      <c r="M276" s="4" t="s">
        <v>24</v>
      </c>
      <c r="N276" s="10">
        <v>41159</v>
      </c>
      <c r="O276" s="6">
        <v>142.81899999999999</v>
      </c>
      <c r="P276" s="15">
        <f>IF(Table1[[#This Row],[Amount Spent]]&gt;3500, 3500,Table1[[#This Row],[Amount Spent]])</f>
        <v>142.81899999999999</v>
      </c>
    </row>
    <row r="277" spans="1:16" x14ac:dyDescent="0.35">
      <c r="A277" s="8">
        <v>277</v>
      </c>
      <c r="B277" s="1" t="s">
        <v>64</v>
      </c>
      <c r="C277" s="8" t="s">
        <v>61</v>
      </c>
      <c r="D277" s="8" t="s">
        <v>58</v>
      </c>
      <c r="E277" s="8" t="s">
        <v>70</v>
      </c>
      <c r="F277" s="8">
        <v>1</v>
      </c>
      <c r="G277" s="2">
        <v>48100</v>
      </c>
      <c r="H277" s="1">
        <v>0</v>
      </c>
      <c r="I277" s="8" t="s">
        <v>68</v>
      </c>
      <c r="J277" s="1">
        <v>18</v>
      </c>
      <c r="K277" s="1" t="s">
        <v>15</v>
      </c>
      <c r="L277" s="1" t="s">
        <v>52</v>
      </c>
      <c r="M277" s="1" t="s">
        <v>30</v>
      </c>
      <c r="N277" s="10">
        <v>39999</v>
      </c>
      <c r="O277" s="3">
        <v>1639.5920000000001</v>
      </c>
      <c r="P277" s="15">
        <f>IF(Table1[[#This Row],[Amount Spent]]&gt;3500, 3500,Table1[[#This Row],[Amount Spent]])</f>
        <v>1639.5920000000001</v>
      </c>
    </row>
    <row r="278" spans="1:16" x14ac:dyDescent="0.35">
      <c r="A278" s="9">
        <v>278</v>
      </c>
      <c r="B278" s="4" t="s">
        <v>64</v>
      </c>
      <c r="C278" s="9" t="s">
        <v>62</v>
      </c>
      <c r="D278" s="9" t="s">
        <v>58</v>
      </c>
      <c r="E278" s="9" t="s">
        <v>2</v>
      </c>
      <c r="F278" s="9">
        <v>1</v>
      </c>
      <c r="G278" s="5">
        <v>107600</v>
      </c>
      <c r="H278" s="4">
        <v>2</v>
      </c>
      <c r="I278" s="9" t="s">
        <v>68</v>
      </c>
      <c r="J278" s="4">
        <v>12</v>
      </c>
      <c r="K278" s="4" t="s">
        <v>12</v>
      </c>
      <c r="L278" s="4" t="s">
        <v>47</v>
      </c>
      <c r="M278" s="4" t="s">
        <v>18</v>
      </c>
      <c r="N278" s="10">
        <v>42192</v>
      </c>
      <c r="O278" s="6">
        <v>1512.011</v>
      </c>
      <c r="P278" s="15">
        <f>IF(Table1[[#This Row],[Amount Spent]]&gt;3500, 3500,Table1[[#This Row],[Amount Spent]])</f>
        <v>1512.011</v>
      </c>
    </row>
    <row r="279" spans="1:16" x14ac:dyDescent="0.35">
      <c r="A279" s="8">
        <v>279</v>
      </c>
      <c r="B279" s="1" t="s">
        <v>64</v>
      </c>
      <c r="C279" s="8" t="s">
        <v>62</v>
      </c>
      <c r="D279" s="8" t="s">
        <v>66</v>
      </c>
      <c r="E279" s="8" t="s">
        <v>70</v>
      </c>
      <c r="F279" s="8">
        <v>1</v>
      </c>
      <c r="G279" s="2">
        <v>58600</v>
      </c>
      <c r="H279" s="1">
        <v>1</v>
      </c>
      <c r="I279" s="8" t="s">
        <v>68</v>
      </c>
      <c r="J279" s="1">
        <v>6</v>
      </c>
      <c r="K279" s="1" t="s">
        <v>13</v>
      </c>
      <c r="L279" s="1" t="s">
        <v>42</v>
      </c>
      <c r="M279" s="1" t="s">
        <v>25</v>
      </c>
      <c r="N279" s="10">
        <v>40928</v>
      </c>
      <c r="O279" s="3">
        <v>624.13800000000003</v>
      </c>
      <c r="P279" s="15">
        <f>IF(Table1[[#This Row],[Amount Spent]]&gt;3500, 3500,Table1[[#This Row],[Amount Spent]])</f>
        <v>624.13800000000003</v>
      </c>
    </row>
    <row r="280" spans="1:16" x14ac:dyDescent="0.35">
      <c r="A280" s="9">
        <v>280</v>
      </c>
      <c r="B280" s="4" t="s">
        <v>63</v>
      </c>
      <c r="C280" s="9" t="s">
        <v>61</v>
      </c>
      <c r="D280" s="9" t="s">
        <v>66</v>
      </c>
      <c r="E280" s="9" t="s">
        <v>2</v>
      </c>
      <c r="F280" s="9">
        <v>1</v>
      </c>
      <c r="G280" s="5">
        <v>80700</v>
      </c>
      <c r="H280" s="4">
        <v>3</v>
      </c>
      <c r="I280" s="9" t="s">
        <v>67</v>
      </c>
      <c r="J280" s="4">
        <v>6</v>
      </c>
      <c r="K280" s="4" t="s">
        <v>14</v>
      </c>
      <c r="L280" s="4" t="s">
        <v>50</v>
      </c>
      <c r="M280" s="4" t="s">
        <v>34</v>
      </c>
      <c r="N280" s="10">
        <v>41226</v>
      </c>
      <c r="O280" s="6">
        <v>202.18100000000001</v>
      </c>
      <c r="P280" s="15">
        <f>IF(Table1[[#This Row],[Amount Spent]]&gt;3500, 3500,Table1[[#This Row],[Amount Spent]])</f>
        <v>202.18100000000001</v>
      </c>
    </row>
    <row r="281" spans="1:16" x14ac:dyDescent="0.35">
      <c r="A281" s="8">
        <v>281</v>
      </c>
      <c r="B281" s="1" t="s">
        <v>64</v>
      </c>
      <c r="C281" s="8" t="s">
        <v>61</v>
      </c>
      <c r="D281" s="8" t="s">
        <v>66</v>
      </c>
      <c r="E281" s="8" t="s">
        <v>70</v>
      </c>
      <c r="F281" s="8">
        <v>0</v>
      </c>
      <c r="G281" s="2">
        <v>40200</v>
      </c>
      <c r="H281" s="1">
        <v>0</v>
      </c>
      <c r="I281" s="8" t="s">
        <v>69</v>
      </c>
      <c r="J281" s="1">
        <v>18</v>
      </c>
      <c r="K281" s="1" t="s">
        <v>12</v>
      </c>
      <c r="L281" s="1" t="s">
        <v>54</v>
      </c>
      <c r="M281" s="1" t="s">
        <v>21</v>
      </c>
      <c r="N281" s="10">
        <v>41368</v>
      </c>
      <c r="O281" s="3">
        <v>1634.0239999999999</v>
      </c>
      <c r="P281" s="15">
        <f>IF(Table1[[#This Row],[Amount Spent]]&gt;3500, 3500,Table1[[#This Row],[Amount Spent]])</f>
        <v>1634.0239999999999</v>
      </c>
    </row>
    <row r="282" spans="1:16" x14ac:dyDescent="0.35">
      <c r="A282" s="9">
        <v>282</v>
      </c>
      <c r="B282" s="4" t="s">
        <v>63</v>
      </c>
      <c r="C282" s="9" t="s">
        <v>61</v>
      </c>
      <c r="D282" s="9" t="s">
        <v>66</v>
      </c>
      <c r="E282" s="9" t="s">
        <v>70</v>
      </c>
      <c r="F282" s="9">
        <v>1</v>
      </c>
      <c r="G282" s="5">
        <v>25000</v>
      </c>
      <c r="H282" s="4">
        <v>0</v>
      </c>
      <c r="I282" s="9" t="s">
        <v>67</v>
      </c>
      <c r="J282" s="4">
        <v>6</v>
      </c>
      <c r="K282" s="4" t="s">
        <v>12</v>
      </c>
      <c r="L282" s="4" t="s">
        <v>41</v>
      </c>
      <c r="M282" s="4" t="s">
        <v>20</v>
      </c>
      <c r="N282" s="10">
        <v>41389</v>
      </c>
      <c r="O282" s="6">
        <v>263.99700000000001</v>
      </c>
      <c r="P282" s="15">
        <f>IF(Table1[[#This Row],[Amount Spent]]&gt;3500, 3500,Table1[[#This Row],[Amount Spent]])</f>
        <v>263.99700000000001</v>
      </c>
    </row>
    <row r="283" spans="1:16" x14ac:dyDescent="0.35">
      <c r="A283" s="8">
        <v>283</v>
      </c>
      <c r="B283" s="1" t="s">
        <v>64</v>
      </c>
      <c r="C283" s="8" t="s">
        <v>62</v>
      </c>
      <c r="D283" s="8" t="s">
        <v>58</v>
      </c>
      <c r="E283" s="8" t="s">
        <v>70</v>
      </c>
      <c r="F283" s="8">
        <v>1</v>
      </c>
      <c r="G283" s="2">
        <v>46600</v>
      </c>
      <c r="H283" s="1">
        <v>3</v>
      </c>
      <c r="I283" s="8" t="s">
        <v>67</v>
      </c>
      <c r="J283" s="1">
        <v>6</v>
      </c>
      <c r="K283" s="1" t="s">
        <v>13</v>
      </c>
      <c r="L283" s="1" t="s">
        <v>48</v>
      </c>
      <c r="M283" s="1" t="s">
        <v>27</v>
      </c>
      <c r="N283" s="10">
        <v>40614</v>
      </c>
      <c r="O283" s="3">
        <v>157.917</v>
      </c>
      <c r="P283" s="15">
        <f>IF(Table1[[#This Row],[Amount Spent]]&gt;3500, 3500,Table1[[#This Row],[Amount Spent]])</f>
        <v>157.917</v>
      </c>
    </row>
    <row r="284" spans="1:16" x14ac:dyDescent="0.35">
      <c r="A284" s="9">
        <v>284</v>
      </c>
      <c r="B284" s="4" t="s">
        <v>63</v>
      </c>
      <c r="C284" s="9" t="s">
        <v>61</v>
      </c>
      <c r="D284" s="9" t="s">
        <v>66</v>
      </c>
      <c r="E284" s="9" t="s">
        <v>70</v>
      </c>
      <c r="F284" s="9">
        <v>0</v>
      </c>
      <c r="G284" s="5">
        <v>21900</v>
      </c>
      <c r="H284" s="4">
        <v>2</v>
      </c>
      <c r="I284" s="9" t="s">
        <v>8</v>
      </c>
      <c r="J284" s="4">
        <v>6</v>
      </c>
      <c r="K284" s="4" t="s">
        <v>13</v>
      </c>
      <c r="L284" s="4" t="s">
        <v>46</v>
      </c>
      <c r="M284" s="4" t="s">
        <v>22</v>
      </c>
      <c r="N284" s="10">
        <v>42092</v>
      </c>
      <c r="O284" s="6">
        <v>192.10400000000001</v>
      </c>
      <c r="P284" s="15">
        <f>IF(Table1[[#This Row],[Amount Spent]]&gt;3500, 3500,Table1[[#This Row],[Amount Spent]])</f>
        <v>192.10400000000001</v>
      </c>
    </row>
    <row r="285" spans="1:16" x14ac:dyDescent="0.35">
      <c r="A285" s="8">
        <v>285</v>
      </c>
      <c r="B285" s="1" t="s">
        <v>63</v>
      </c>
      <c r="C285" s="8" t="s">
        <v>61</v>
      </c>
      <c r="D285" s="8" t="s">
        <v>66</v>
      </c>
      <c r="E285" s="8" t="s">
        <v>70</v>
      </c>
      <c r="F285" s="8">
        <v>0</v>
      </c>
      <c r="G285" s="2">
        <v>13900</v>
      </c>
      <c r="H285" s="1">
        <v>0</v>
      </c>
      <c r="I285" s="8" t="s">
        <v>8</v>
      </c>
      <c r="J285" s="1">
        <v>24</v>
      </c>
      <c r="K285" s="1" t="s">
        <v>15</v>
      </c>
      <c r="L285" s="1" t="s">
        <v>44</v>
      </c>
      <c r="M285" s="1" t="s">
        <v>29</v>
      </c>
      <c r="N285" s="10">
        <v>42042</v>
      </c>
      <c r="O285" s="3">
        <v>569.67100000000005</v>
      </c>
      <c r="P285" s="15">
        <f>IF(Table1[[#This Row],[Amount Spent]]&gt;3500, 3500,Table1[[#This Row],[Amount Spent]])</f>
        <v>569.67100000000005</v>
      </c>
    </row>
    <row r="286" spans="1:16" x14ac:dyDescent="0.35">
      <c r="A286" s="9">
        <v>286</v>
      </c>
      <c r="B286" s="4" t="s">
        <v>64</v>
      </c>
      <c r="C286" s="9" t="s">
        <v>62</v>
      </c>
      <c r="D286" s="9" t="s">
        <v>66</v>
      </c>
      <c r="E286" s="9" t="s">
        <v>70</v>
      </c>
      <c r="F286" s="9">
        <v>1</v>
      </c>
      <c r="G286" s="5">
        <v>25700</v>
      </c>
      <c r="H286" s="4">
        <v>2</v>
      </c>
      <c r="I286" s="9" t="s">
        <v>67</v>
      </c>
      <c r="J286" s="4">
        <v>6</v>
      </c>
      <c r="K286" s="4" t="s">
        <v>15</v>
      </c>
      <c r="L286" s="4" t="s">
        <v>28</v>
      </c>
      <c r="M286" s="4" t="s">
        <v>28</v>
      </c>
      <c r="N286" s="10">
        <v>41824</v>
      </c>
      <c r="O286" s="6">
        <v>172.83799999999999</v>
      </c>
      <c r="P286" s="15">
        <f>IF(Table1[[#This Row],[Amount Spent]]&gt;3500, 3500,Table1[[#This Row],[Amount Spent]])</f>
        <v>172.83799999999999</v>
      </c>
    </row>
    <row r="287" spans="1:16" x14ac:dyDescent="0.35">
      <c r="A287" s="8">
        <v>287</v>
      </c>
      <c r="B287" s="1" t="s">
        <v>65</v>
      </c>
      <c r="C287" s="8" t="s">
        <v>62</v>
      </c>
      <c r="D287" s="8" t="s">
        <v>66</v>
      </c>
      <c r="E287" s="8" t="s">
        <v>2</v>
      </c>
      <c r="F287" s="8">
        <v>0</v>
      </c>
      <c r="G287" s="2">
        <v>72200</v>
      </c>
      <c r="H287" s="1">
        <v>0</v>
      </c>
      <c r="I287" s="8" t="s">
        <v>69</v>
      </c>
      <c r="J287" s="1">
        <v>24</v>
      </c>
      <c r="K287" s="1" t="s">
        <v>15</v>
      </c>
      <c r="L287" s="1" t="s">
        <v>44</v>
      </c>
      <c r="M287" s="1" t="s">
        <v>29</v>
      </c>
      <c r="N287" s="10">
        <v>41237</v>
      </c>
      <c r="O287" s="3">
        <v>3069.1819999999998</v>
      </c>
      <c r="P287" s="15">
        <f>IF(Table1[[#This Row],[Amount Spent]]&gt;3500, 3500,Table1[[#This Row],[Amount Spent]])</f>
        <v>3069.1819999999998</v>
      </c>
    </row>
    <row r="288" spans="1:16" x14ac:dyDescent="0.35">
      <c r="A288" s="9">
        <v>288</v>
      </c>
      <c r="B288" s="4" t="s">
        <v>63</v>
      </c>
      <c r="C288" s="9" t="s">
        <v>62</v>
      </c>
      <c r="D288" s="9" t="s">
        <v>66</v>
      </c>
      <c r="E288" s="9" t="s">
        <v>2</v>
      </c>
      <c r="F288" s="9">
        <v>1</v>
      </c>
      <c r="G288" s="5">
        <v>76400</v>
      </c>
      <c r="H288" s="4">
        <v>0</v>
      </c>
      <c r="I288" s="9" t="s">
        <v>8</v>
      </c>
      <c r="J288" s="4">
        <v>12</v>
      </c>
      <c r="K288" s="4" t="s">
        <v>14</v>
      </c>
      <c r="L288" s="4" t="s">
        <v>50</v>
      </c>
      <c r="M288" s="4" t="s">
        <v>34</v>
      </c>
      <c r="N288" s="10">
        <v>42061</v>
      </c>
      <c r="O288" s="6">
        <v>2216.4749999999999</v>
      </c>
      <c r="P288" s="15">
        <f>IF(Table1[[#This Row],[Amount Spent]]&gt;3500, 3500,Table1[[#This Row],[Amount Spent]])</f>
        <v>2216.4749999999999</v>
      </c>
    </row>
    <row r="289" spans="1:16" x14ac:dyDescent="0.35">
      <c r="A289" s="8">
        <v>289</v>
      </c>
      <c r="B289" s="1" t="s">
        <v>63</v>
      </c>
      <c r="C289" s="8" t="s">
        <v>62</v>
      </c>
      <c r="D289" s="8" t="s">
        <v>58</v>
      </c>
      <c r="E289" s="8" t="s">
        <v>70</v>
      </c>
      <c r="F289" s="8">
        <v>1</v>
      </c>
      <c r="G289" s="2">
        <v>20300</v>
      </c>
      <c r="H289" s="1">
        <v>1</v>
      </c>
      <c r="I289" s="8" t="s">
        <v>67</v>
      </c>
      <c r="J289" s="1">
        <v>12</v>
      </c>
      <c r="K289" s="1" t="s">
        <v>12</v>
      </c>
      <c r="L289" s="1" t="s">
        <v>47</v>
      </c>
      <c r="M289" s="1" t="s">
        <v>16</v>
      </c>
      <c r="N289" s="10">
        <v>40430</v>
      </c>
      <c r="O289" s="3">
        <v>304.464</v>
      </c>
      <c r="P289" s="15">
        <f>IF(Table1[[#This Row],[Amount Spent]]&gt;3500, 3500,Table1[[#This Row],[Amount Spent]])</f>
        <v>304.464</v>
      </c>
    </row>
    <row r="290" spans="1:16" x14ac:dyDescent="0.35">
      <c r="A290" s="9">
        <v>290</v>
      </c>
      <c r="B290" s="4" t="s">
        <v>63</v>
      </c>
      <c r="C290" s="9" t="s">
        <v>62</v>
      </c>
      <c r="D290" s="9" t="s">
        <v>66</v>
      </c>
      <c r="E290" s="9" t="s">
        <v>70</v>
      </c>
      <c r="F290" s="9">
        <v>1</v>
      </c>
      <c r="G290" s="5">
        <v>11400</v>
      </c>
      <c r="H290" s="4">
        <v>2</v>
      </c>
      <c r="I290" s="9" t="s">
        <v>8</v>
      </c>
      <c r="J290" s="4">
        <v>6</v>
      </c>
      <c r="K290" s="4" t="s">
        <v>15</v>
      </c>
      <c r="L290" s="4" t="s">
        <v>52</v>
      </c>
      <c r="M290" s="4" t="s">
        <v>31</v>
      </c>
      <c r="N290" s="10">
        <v>42066</v>
      </c>
      <c r="O290" s="6">
        <v>186.006</v>
      </c>
      <c r="P290" s="15">
        <f>IF(Table1[[#This Row],[Amount Spent]]&gt;3500, 3500,Table1[[#This Row],[Amount Spent]])</f>
        <v>186.006</v>
      </c>
    </row>
    <row r="291" spans="1:16" x14ac:dyDescent="0.35">
      <c r="A291" s="8">
        <v>291</v>
      </c>
      <c r="B291" s="1" t="s">
        <v>63</v>
      </c>
      <c r="C291" s="8" t="s">
        <v>62</v>
      </c>
      <c r="D291" s="8" t="s">
        <v>66</v>
      </c>
      <c r="E291" s="8" t="s">
        <v>70</v>
      </c>
      <c r="F291" s="8">
        <v>1</v>
      </c>
      <c r="G291" s="2">
        <v>17000</v>
      </c>
      <c r="H291" s="1">
        <v>0</v>
      </c>
      <c r="I291" s="8" t="s">
        <v>67</v>
      </c>
      <c r="J291" s="1">
        <v>18</v>
      </c>
      <c r="K291" s="1" t="s">
        <v>14</v>
      </c>
      <c r="L291" s="1" t="s">
        <v>49</v>
      </c>
      <c r="M291" s="1" t="s">
        <v>39</v>
      </c>
      <c r="N291" s="10">
        <v>40554</v>
      </c>
      <c r="O291" s="3">
        <v>658.83699999999999</v>
      </c>
      <c r="P291" s="15">
        <f>IF(Table1[[#This Row],[Amount Spent]]&gt;3500, 3500,Table1[[#This Row],[Amount Spent]])</f>
        <v>658.83699999999999</v>
      </c>
    </row>
    <row r="292" spans="1:16" x14ac:dyDescent="0.35">
      <c r="A292" s="9">
        <v>292</v>
      </c>
      <c r="B292" s="4" t="s">
        <v>65</v>
      </c>
      <c r="C292" s="9" t="s">
        <v>61</v>
      </c>
      <c r="D292" s="9" t="s">
        <v>66</v>
      </c>
      <c r="E292" s="9" t="s">
        <v>2</v>
      </c>
      <c r="F292" s="9">
        <v>1</v>
      </c>
      <c r="G292" s="5">
        <v>60000</v>
      </c>
      <c r="H292" s="4">
        <v>0</v>
      </c>
      <c r="I292" s="9" t="s">
        <v>68</v>
      </c>
      <c r="J292" s="4">
        <v>6</v>
      </c>
      <c r="K292" s="4" t="s">
        <v>13</v>
      </c>
      <c r="L292" s="4" t="s">
        <v>42</v>
      </c>
      <c r="M292" s="4" t="s">
        <v>25</v>
      </c>
      <c r="N292" s="10">
        <v>40071</v>
      </c>
      <c r="O292" s="6">
        <v>965.649</v>
      </c>
      <c r="P292" s="15">
        <f>IF(Table1[[#This Row],[Amount Spent]]&gt;3500, 3500,Table1[[#This Row],[Amount Spent]])</f>
        <v>965.649</v>
      </c>
    </row>
    <row r="293" spans="1:16" x14ac:dyDescent="0.35">
      <c r="A293" s="8">
        <v>293</v>
      </c>
      <c r="B293" s="1" t="s">
        <v>65</v>
      </c>
      <c r="C293" s="8" t="s">
        <v>61</v>
      </c>
      <c r="D293" s="8" t="s">
        <v>58</v>
      </c>
      <c r="E293" s="8" t="s">
        <v>2</v>
      </c>
      <c r="F293" s="8">
        <v>1</v>
      </c>
      <c r="G293" s="2">
        <v>107400</v>
      </c>
      <c r="H293" s="1">
        <v>0</v>
      </c>
      <c r="I293" s="8" t="s">
        <v>69</v>
      </c>
      <c r="J293" s="1">
        <v>12</v>
      </c>
      <c r="K293" s="1" t="s">
        <v>15</v>
      </c>
      <c r="L293" s="1" t="s">
        <v>52</v>
      </c>
      <c r="M293" s="1" t="s">
        <v>31</v>
      </c>
      <c r="N293" s="10">
        <v>41988</v>
      </c>
      <c r="O293" s="3">
        <v>1484.8230000000001</v>
      </c>
      <c r="P293" s="15">
        <f>IF(Table1[[#This Row],[Amount Spent]]&gt;3500, 3500,Table1[[#This Row],[Amount Spent]])</f>
        <v>1484.8230000000001</v>
      </c>
    </row>
    <row r="294" spans="1:16" x14ac:dyDescent="0.35">
      <c r="A294" s="9">
        <v>294</v>
      </c>
      <c r="B294" s="4" t="s">
        <v>65</v>
      </c>
      <c r="C294" s="9" t="s">
        <v>62</v>
      </c>
      <c r="D294" s="9" t="s">
        <v>58</v>
      </c>
      <c r="E294" s="9" t="s">
        <v>70</v>
      </c>
      <c r="F294" s="9">
        <v>1</v>
      </c>
      <c r="G294" s="5">
        <v>37300</v>
      </c>
      <c r="H294" s="4">
        <v>0</v>
      </c>
      <c r="I294" s="9" t="s">
        <v>68</v>
      </c>
      <c r="J294" s="4">
        <v>6</v>
      </c>
      <c r="K294" s="4" t="s">
        <v>15</v>
      </c>
      <c r="L294" s="4" t="s">
        <v>52</v>
      </c>
      <c r="M294" s="4" t="s">
        <v>31</v>
      </c>
      <c r="N294" s="10">
        <v>40825</v>
      </c>
      <c r="O294" s="6">
        <v>673.28399999999999</v>
      </c>
      <c r="P294" s="15">
        <f>IF(Table1[[#This Row],[Amount Spent]]&gt;3500, 3500,Table1[[#This Row],[Amount Spent]])</f>
        <v>673.28399999999999</v>
      </c>
    </row>
    <row r="295" spans="1:16" x14ac:dyDescent="0.35">
      <c r="A295" s="8">
        <v>295</v>
      </c>
      <c r="B295" s="1" t="s">
        <v>64</v>
      </c>
      <c r="C295" s="8" t="s">
        <v>61</v>
      </c>
      <c r="D295" s="8" t="s">
        <v>58</v>
      </c>
      <c r="E295" s="8" t="s">
        <v>70</v>
      </c>
      <c r="F295" s="8">
        <v>1</v>
      </c>
      <c r="G295" s="2">
        <v>68900</v>
      </c>
      <c r="H295" s="1">
        <v>2</v>
      </c>
      <c r="I295" s="8" t="s">
        <v>8</v>
      </c>
      <c r="J295" s="1">
        <v>18</v>
      </c>
      <c r="K295" s="1" t="s">
        <v>13</v>
      </c>
      <c r="L295" s="1" t="s">
        <v>43</v>
      </c>
      <c r="M295" s="1" t="s">
        <v>23</v>
      </c>
      <c r="N295" s="10">
        <v>42206</v>
      </c>
      <c r="O295" s="3">
        <v>2783.8960000000002</v>
      </c>
      <c r="P295" s="15">
        <f>IF(Table1[[#This Row],[Amount Spent]]&gt;3500, 3500,Table1[[#This Row],[Amount Spent]])</f>
        <v>2783.8960000000002</v>
      </c>
    </row>
    <row r="296" spans="1:16" x14ac:dyDescent="0.35">
      <c r="A296" s="9">
        <v>296</v>
      </c>
      <c r="B296" s="4" t="s">
        <v>64</v>
      </c>
      <c r="C296" s="9" t="s">
        <v>61</v>
      </c>
      <c r="D296" s="9" t="s">
        <v>58</v>
      </c>
      <c r="E296" s="9" t="s">
        <v>2</v>
      </c>
      <c r="F296" s="9">
        <v>1</v>
      </c>
      <c r="G296" s="5">
        <v>83000</v>
      </c>
      <c r="H296" s="4">
        <v>2</v>
      </c>
      <c r="I296" s="9" t="s">
        <v>68</v>
      </c>
      <c r="J296" s="4">
        <v>6</v>
      </c>
      <c r="K296" s="4" t="s">
        <v>14</v>
      </c>
      <c r="L296" s="4" t="s">
        <v>50</v>
      </c>
      <c r="M296" s="4" t="s">
        <v>35</v>
      </c>
      <c r="N296" s="10">
        <v>41857</v>
      </c>
      <c r="O296" s="6">
        <v>725.79</v>
      </c>
      <c r="P296" s="15">
        <f>IF(Table1[[#This Row],[Amount Spent]]&gt;3500, 3500,Table1[[#This Row],[Amount Spent]])</f>
        <v>725.79</v>
      </c>
    </row>
    <row r="297" spans="1:16" x14ac:dyDescent="0.35">
      <c r="A297" s="8">
        <v>297</v>
      </c>
      <c r="B297" s="1" t="s">
        <v>64</v>
      </c>
      <c r="C297" s="8" t="s">
        <v>61</v>
      </c>
      <c r="D297" s="8" t="s">
        <v>58</v>
      </c>
      <c r="E297" s="8" t="s">
        <v>2</v>
      </c>
      <c r="F297" s="8">
        <v>1</v>
      </c>
      <c r="G297" s="2">
        <v>97400</v>
      </c>
      <c r="H297" s="1">
        <v>1</v>
      </c>
      <c r="I297" s="8" t="s">
        <v>69</v>
      </c>
      <c r="J297" s="1">
        <v>6</v>
      </c>
      <c r="K297" s="1" t="s">
        <v>14</v>
      </c>
      <c r="L297" s="1" t="s">
        <v>40</v>
      </c>
      <c r="M297" s="1" t="s">
        <v>36</v>
      </c>
      <c r="N297" s="10">
        <v>40639</v>
      </c>
      <c r="O297" s="3">
        <v>879.78899999999999</v>
      </c>
      <c r="P297" s="15">
        <f>IF(Table1[[#This Row],[Amount Spent]]&gt;3500, 3500,Table1[[#This Row],[Amount Spent]])</f>
        <v>879.78899999999999</v>
      </c>
    </row>
    <row r="298" spans="1:16" x14ac:dyDescent="0.35">
      <c r="A298" s="9">
        <v>298</v>
      </c>
      <c r="B298" s="4" t="s">
        <v>64</v>
      </c>
      <c r="C298" s="9" t="s">
        <v>62</v>
      </c>
      <c r="D298" s="9" t="s">
        <v>66</v>
      </c>
      <c r="E298" s="9" t="s">
        <v>2</v>
      </c>
      <c r="F298" s="9">
        <v>0</v>
      </c>
      <c r="G298" s="5">
        <v>92400</v>
      </c>
      <c r="H298" s="4">
        <v>1</v>
      </c>
      <c r="I298" s="9" t="s">
        <v>8</v>
      </c>
      <c r="J298" s="4">
        <v>6</v>
      </c>
      <c r="K298" s="4" t="s">
        <v>14</v>
      </c>
      <c r="L298" s="4" t="s">
        <v>40</v>
      </c>
      <c r="M298" s="4" t="s">
        <v>37</v>
      </c>
      <c r="N298" s="10">
        <v>42182</v>
      </c>
      <c r="O298" s="6">
        <v>2190.5590000000002</v>
      </c>
      <c r="P298" s="15">
        <f>IF(Table1[[#This Row],[Amount Spent]]&gt;3500, 3500,Table1[[#This Row],[Amount Spent]])</f>
        <v>2190.5590000000002</v>
      </c>
    </row>
    <row r="299" spans="1:16" x14ac:dyDescent="0.35">
      <c r="A299" s="8">
        <v>299</v>
      </c>
      <c r="B299" s="1" t="s">
        <v>64</v>
      </c>
      <c r="C299" s="8" t="s">
        <v>62</v>
      </c>
      <c r="D299" s="8" t="s">
        <v>66</v>
      </c>
      <c r="E299" s="8" t="s">
        <v>70</v>
      </c>
      <c r="F299" s="8">
        <v>0</v>
      </c>
      <c r="G299" s="2">
        <v>44800</v>
      </c>
      <c r="H299" s="1">
        <v>1</v>
      </c>
      <c r="I299" s="8" t="s">
        <v>68</v>
      </c>
      <c r="J299" s="1">
        <v>6</v>
      </c>
      <c r="K299" s="1" t="s">
        <v>13</v>
      </c>
      <c r="L299" s="1" t="s">
        <v>48</v>
      </c>
      <c r="M299" s="1" t="s">
        <v>27</v>
      </c>
      <c r="N299" s="10">
        <v>41150</v>
      </c>
      <c r="O299" s="3">
        <v>666.46400000000006</v>
      </c>
      <c r="P299" s="15">
        <f>IF(Table1[[#This Row],[Amount Spent]]&gt;3500, 3500,Table1[[#This Row],[Amount Spent]])</f>
        <v>666.46400000000006</v>
      </c>
    </row>
    <row r="300" spans="1:16" x14ac:dyDescent="0.35">
      <c r="A300" s="9">
        <v>300</v>
      </c>
      <c r="B300" s="4" t="s">
        <v>65</v>
      </c>
      <c r="C300" s="9" t="s">
        <v>62</v>
      </c>
      <c r="D300" s="9" t="s">
        <v>66</v>
      </c>
      <c r="E300" s="9" t="s">
        <v>2</v>
      </c>
      <c r="F300" s="9">
        <v>1</v>
      </c>
      <c r="G300" s="5">
        <v>50500</v>
      </c>
      <c r="H300" s="4">
        <v>0</v>
      </c>
      <c r="I300" s="9" t="s">
        <v>68</v>
      </c>
      <c r="J300" s="4">
        <v>12</v>
      </c>
      <c r="K300" s="4" t="s">
        <v>13</v>
      </c>
      <c r="L300" s="4" t="s">
        <v>45</v>
      </c>
      <c r="M300" s="4" t="s">
        <v>26</v>
      </c>
      <c r="N300" s="10">
        <v>41576</v>
      </c>
      <c r="O300" s="6">
        <v>642.04200000000003</v>
      </c>
      <c r="P300" s="15">
        <f>IF(Table1[[#This Row],[Amount Spent]]&gt;3500, 3500,Table1[[#This Row],[Amount Spent]])</f>
        <v>642.04200000000003</v>
      </c>
    </row>
    <row r="301" spans="1:16" x14ac:dyDescent="0.35">
      <c r="A301" s="8">
        <v>301</v>
      </c>
      <c r="B301" s="1" t="s">
        <v>64</v>
      </c>
      <c r="C301" s="8" t="s">
        <v>61</v>
      </c>
      <c r="D301" s="8" t="s">
        <v>58</v>
      </c>
      <c r="E301" s="8" t="s">
        <v>2</v>
      </c>
      <c r="F301" s="8">
        <v>0</v>
      </c>
      <c r="G301" s="2">
        <v>65400</v>
      </c>
      <c r="H301" s="1">
        <v>3</v>
      </c>
      <c r="I301" s="8" t="s">
        <v>8</v>
      </c>
      <c r="J301" s="1">
        <v>6</v>
      </c>
      <c r="K301" s="1" t="s">
        <v>14</v>
      </c>
      <c r="L301" s="1" t="s">
        <v>50</v>
      </c>
      <c r="M301" s="1" t="s">
        <v>34</v>
      </c>
      <c r="N301" s="10">
        <v>42068</v>
      </c>
      <c r="O301" s="3">
        <v>835.85299999999995</v>
      </c>
      <c r="P301" s="15">
        <f>IF(Table1[[#This Row],[Amount Spent]]&gt;3500, 3500,Table1[[#This Row],[Amount Spent]])</f>
        <v>835.85299999999995</v>
      </c>
    </row>
    <row r="302" spans="1:16" x14ac:dyDescent="0.35">
      <c r="A302" s="9">
        <v>302</v>
      </c>
      <c r="B302" s="4" t="s">
        <v>64</v>
      </c>
      <c r="C302" s="9" t="s">
        <v>62</v>
      </c>
      <c r="D302" s="9" t="s">
        <v>58</v>
      </c>
      <c r="E302" s="9" t="s">
        <v>2</v>
      </c>
      <c r="F302" s="9">
        <v>0</v>
      </c>
      <c r="G302" s="5">
        <v>83100</v>
      </c>
      <c r="H302" s="4">
        <v>1</v>
      </c>
      <c r="I302" s="9" t="s">
        <v>8</v>
      </c>
      <c r="J302" s="4">
        <v>12</v>
      </c>
      <c r="K302" s="4" t="s">
        <v>13</v>
      </c>
      <c r="L302" s="4" t="s">
        <v>45</v>
      </c>
      <c r="M302" s="4" t="s">
        <v>26</v>
      </c>
      <c r="N302" s="10">
        <v>42240</v>
      </c>
      <c r="O302" s="6">
        <v>2765.5889999999999</v>
      </c>
      <c r="P302" s="15">
        <f>IF(Table1[[#This Row],[Amount Spent]]&gt;3500, 3500,Table1[[#This Row],[Amount Spent]])</f>
        <v>2765.5889999999999</v>
      </c>
    </row>
    <row r="303" spans="1:16" x14ac:dyDescent="0.35">
      <c r="A303" s="8">
        <v>303</v>
      </c>
      <c r="B303" s="1" t="s">
        <v>64</v>
      </c>
      <c r="C303" s="8" t="s">
        <v>61</v>
      </c>
      <c r="D303" s="8" t="s">
        <v>58</v>
      </c>
      <c r="E303" s="8" t="s">
        <v>2</v>
      </c>
      <c r="F303" s="8">
        <v>1</v>
      </c>
      <c r="G303" s="2">
        <v>117500</v>
      </c>
      <c r="H303" s="1">
        <v>2</v>
      </c>
      <c r="I303" s="8" t="s">
        <v>68</v>
      </c>
      <c r="J303" s="1">
        <v>12</v>
      </c>
      <c r="K303" s="1" t="s">
        <v>15</v>
      </c>
      <c r="L303" s="1" t="s">
        <v>28</v>
      </c>
      <c r="M303" s="1" t="s">
        <v>28</v>
      </c>
      <c r="N303" s="10">
        <v>40279</v>
      </c>
      <c r="O303" s="3">
        <v>926.87300000000005</v>
      </c>
      <c r="P303" s="15">
        <f>IF(Table1[[#This Row],[Amount Spent]]&gt;3500, 3500,Table1[[#This Row],[Amount Spent]])</f>
        <v>926.87300000000005</v>
      </c>
    </row>
    <row r="304" spans="1:16" x14ac:dyDescent="0.35">
      <c r="A304" s="9">
        <v>304</v>
      </c>
      <c r="B304" s="4" t="s">
        <v>64</v>
      </c>
      <c r="C304" s="9" t="s">
        <v>62</v>
      </c>
      <c r="D304" s="9" t="s">
        <v>66</v>
      </c>
      <c r="E304" s="9" t="s">
        <v>70</v>
      </c>
      <c r="F304" s="9">
        <v>1</v>
      </c>
      <c r="G304" s="5">
        <v>43300</v>
      </c>
      <c r="H304" s="4">
        <v>3</v>
      </c>
      <c r="I304" s="9" t="s">
        <v>67</v>
      </c>
      <c r="J304" s="4">
        <v>24</v>
      </c>
      <c r="K304" s="4" t="s">
        <v>15</v>
      </c>
      <c r="L304" s="4" t="s">
        <v>52</v>
      </c>
      <c r="M304" s="4" t="s">
        <v>31</v>
      </c>
      <c r="N304" s="10">
        <v>40951</v>
      </c>
      <c r="O304" s="6">
        <v>325.73899999999998</v>
      </c>
      <c r="P304" s="15">
        <f>IF(Table1[[#This Row],[Amount Spent]]&gt;3500, 3500,Table1[[#This Row],[Amount Spent]])</f>
        <v>325.73899999999998</v>
      </c>
    </row>
    <row r="305" spans="1:16" x14ac:dyDescent="0.35">
      <c r="A305" s="8">
        <v>305</v>
      </c>
      <c r="B305" s="1" t="s">
        <v>64</v>
      </c>
      <c r="C305" s="8" t="s">
        <v>61</v>
      </c>
      <c r="D305" s="8" t="s">
        <v>58</v>
      </c>
      <c r="E305" s="8" t="s">
        <v>2</v>
      </c>
      <c r="F305" s="8">
        <v>0</v>
      </c>
      <c r="G305" s="2">
        <v>103900</v>
      </c>
      <c r="H305" s="1">
        <v>1</v>
      </c>
      <c r="I305" s="8" t="s">
        <v>69</v>
      </c>
      <c r="J305" s="1">
        <v>24</v>
      </c>
      <c r="K305" s="1" t="s">
        <v>13</v>
      </c>
      <c r="L305" s="1" t="s">
        <v>42</v>
      </c>
      <c r="M305" s="1" t="s">
        <v>25</v>
      </c>
      <c r="N305" s="10">
        <v>40114</v>
      </c>
      <c r="O305" s="3">
        <v>2665.848</v>
      </c>
      <c r="P305" s="15">
        <f>IF(Table1[[#This Row],[Amount Spent]]&gt;3500, 3500,Table1[[#This Row],[Amount Spent]])</f>
        <v>2665.848</v>
      </c>
    </row>
    <row r="306" spans="1:16" x14ac:dyDescent="0.35">
      <c r="A306" s="9">
        <v>306</v>
      </c>
      <c r="B306" s="4" t="s">
        <v>63</v>
      </c>
      <c r="C306" s="9" t="s">
        <v>62</v>
      </c>
      <c r="D306" s="9" t="s">
        <v>66</v>
      </c>
      <c r="E306" s="9" t="s">
        <v>2</v>
      </c>
      <c r="F306" s="9">
        <v>1</v>
      </c>
      <c r="G306" s="5">
        <v>41700</v>
      </c>
      <c r="H306" s="4">
        <v>1</v>
      </c>
      <c r="I306" s="9" t="s">
        <v>8</v>
      </c>
      <c r="J306" s="4">
        <v>6</v>
      </c>
      <c r="K306" s="4" t="s">
        <v>13</v>
      </c>
      <c r="L306" s="4" t="s">
        <v>46</v>
      </c>
      <c r="M306" s="4" t="s">
        <v>22</v>
      </c>
      <c r="N306" s="10">
        <v>42220</v>
      </c>
      <c r="O306" s="6">
        <v>520.71400000000006</v>
      </c>
      <c r="P306" s="15">
        <f>IF(Table1[[#This Row],[Amount Spent]]&gt;3500, 3500,Table1[[#This Row],[Amount Spent]])</f>
        <v>520.71400000000006</v>
      </c>
    </row>
    <row r="307" spans="1:16" x14ac:dyDescent="0.35">
      <c r="A307" s="8">
        <v>307</v>
      </c>
      <c r="B307" s="1" t="s">
        <v>65</v>
      </c>
      <c r="C307" s="8" t="s">
        <v>61</v>
      </c>
      <c r="D307" s="8" t="s">
        <v>58</v>
      </c>
      <c r="E307" s="8" t="s">
        <v>70</v>
      </c>
      <c r="F307" s="8">
        <v>1</v>
      </c>
      <c r="G307" s="2">
        <v>44800</v>
      </c>
      <c r="H307" s="1">
        <v>0</v>
      </c>
      <c r="I307" s="8" t="s">
        <v>68</v>
      </c>
      <c r="J307" s="1">
        <v>24</v>
      </c>
      <c r="K307" s="1" t="s">
        <v>15</v>
      </c>
      <c r="L307" s="1" t="s">
        <v>42</v>
      </c>
      <c r="M307" s="1" t="s">
        <v>32</v>
      </c>
      <c r="N307" s="10">
        <v>39839</v>
      </c>
      <c r="O307" s="3">
        <v>1416.675</v>
      </c>
      <c r="P307" s="15">
        <f>IF(Table1[[#This Row],[Amount Spent]]&gt;3500, 3500,Table1[[#This Row],[Amount Spent]])</f>
        <v>1416.675</v>
      </c>
    </row>
    <row r="308" spans="1:16" x14ac:dyDescent="0.35">
      <c r="A308" s="9">
        <v>308</v>
      </c>
      <c r="B308" s="4" t="s">
        <v>64</v>
      </c>
      <c r="C308" s="9" t="s">
        <v>61</v>
      </c>
      <c r="D308" s="9" t="s">
        <v>58</v>
      </c>
      <c r="E308" s="9" t="s">
        <v>70</v>
      </c>
      <c r="F308" s="9">
        <v>0</v>
      </c>
      <c r="G308" s="5">
        <v>45000</v>
      </c>
      <c r="H308" s="4">
        <v>1</v>
      </c>
      <c r="I308" s="9" t="s">
        <v>8</v>
      </c>
      <c r="J308" s="4">
        <v>18</v>
      </c>
      <c r="K308" s="4" t="s">
        <v>15</v>
      </c>
      <c r="L308" s="4" t="s">
        <v>28</v>
      </c>
      <c r="M308" s="4" t="s">
        <v>28</v>
      </c>
      <c r="N308" s="10">
        <v>42204</v>
      </c>
      <c r="O308" s="6">
        <v>901.55100000000004</v>
      </c>
      <c r="P308" s="15">
        <f>IF(Table1[[#This Row],[Amount Spent]]&gt;3500, 3500,Table1[[#This Row],[Amount Spent]])</f>
        <v>901.55100000000004</v>
      </c>
    </row>
    <row r="309" spans="1:16" x14ac:dyDescent="0.35">
      <c r="A309" s="8">
        <v>309</v>
      </c>
      <c r="B309" s="1" t="s">
        <v>64</v>
      </c>
      <c r="C309" s="8" t="s">
        <v>62</v>
      </c>
      <c r="D309" s="8" t="s">
        <v>66</v>
      </c>
      <c r="E309" s="8" t="s">
        <v>70</v>
      </c>
      <c r="F309" s="8">
        <v>1</v>
      </c>
      <c r="G309" s="2">
        <v>43700</v>
      </c>
      <c r="H309" s="1">
        <v>0</v>
      </c>
      <c r="I309" s="8" t="s">
        <v>68</v>
      </c>
      <c r="J309" s="1">
        <v>12</v>
      </c>
      <c r="K309" s="1" t="s">
        <v>15</v>
      </c>
      <c r="L309" s="1" t="s">
        <v>28</v>
      </c>
      <c r="M309" s="1" t="s">
        <v>33</v>
      </c>
      <c r="N309" s="10">
        <v>39976</v>
      </c>
      <c r="O309" s="3">
        <v>950.10299999999995</v>
      </c>
      <c r="P309" s="15">
        <f>IF(Table1[[#This Row],[Amount Spent]]&gt;3500, 3500,Table1[[#This Row],[Amount Spent]])</f>
        <v>950.10299999999995</v>
      </c>
    </row>
    <row r="310" spans="1:16" x14ac:dyDescent="0.35">
      <c r="A310" s="9">
        <v>310</v>
      </c>
      <c r="B310" s="4" t="s">
        <v>65</v>
      </c>
      <c r="C310" s="9" t="s">
        <v>62</v>
      </c>
      <c r="D310" s="9" t="s">
        <v>66</v>
      </c>
      <c r="E310" s="9" t="s">
        <v>2</v>
      </c>
      <c r="F310" s="9">
        <v>1</v>
      </c>
      <c r="G310" s="5">
        <v>23600</v>
      </c>
      <c r="H310" s="4">
        <v>1</v>
      </c>
      <c r="I310" s="9" t="s">
        <v>67</v>
      </c>
      <c r="J310" s="4">
        <v>6</v>
      </c>
      <c r="K310" s="4" t="s">
        <v>15</v>
      </c>
      <c r="L310" s="4" t="s">
        <v>28</v>
      </c>
      <c r="M310" s="4" t="s">
        <v>33</v>
      </c>
      <c r="N310" s="10">
        <v>42144</v>
      </c>
      <c r="O310" s="6">
        <v>160.83600000000001</v>
      </c>
      <c r="P310" s="15">
        <f>IF(Table1[[#This Row],[Amount Spent]]&gt;3500, 3500,Table1[[#This Row],[Amount Spent]])</f>
        <v>160.83600000000001</v>
      </c>
    </row>
    <row r="311" spans="1:16" x14ac:dyDescent="0.35">
      <c r="A311" s="8">
        <v>311</v>
      </c>
      <c r="B311" s="1" t="s">
        <v>63</v>
      </c>
      <c r="C311" s="8" t="s">
        <v>61</v>
      </c>
      <c r="D311" s="8" t="s">
        <v>66</v>
      </c>
      <c r="E311" s="8" t="s">
        <v>70</v>
      </c>
      <c r="F311" s="8">
        <v>0</v>
      </c>
      <c r="G311" s="2">
        <v>20400</v>
      </c>
      <c r="H311" s="1">
        <v>0</v>
      </c>
      <c r="I311" s="8" t="s">
        <v>68</v>
      </c>
      <c r="J311" s="1">
        <v>18</v>
      </c>
      <c r="K311" s="1" t="s">
        <v>15</v>
      </c>
      <c r="L311" s="1" t="s">
        <v>42</v>
      </c>
      <c r="M311" s="1" t="s">
        <v>32</v>
      </c>
      <c r="N311" s="10">
        <v>41988</v>
      </c>
      <c r="O311" s="3">
        <v>867.24199999999996</v>
      </c>
      <c r="P311" s="15">
        <f>IF(Table1[[#This Row],[Amount Spent]]&gt;3500, 3500,Table1[[#This Row],[Amount Spent]])</f>
        <v>867.24199999999996</v>
      </c>
    </row>
    <row r="312" spans="1:16" x14ac:dyDescent="0.35">
      <c r="A312" s="9">
        <v>312</v>
      </c>
      <c r="B312" s="4" t="s">
        <v>65</v>
      </c>
      <c r="C312" s="9" t="s">
        <v>61</v>
      </c>
      <c r="D312" s="9" t="s">
        <v>58</v>
      </c>
      <c r="E312" s="9" t="s">
        <v>2</v>
      </c>
      <c r="F312" s="9">
        <v>1</v>
      </c>
      <c r="G312" s="5">
        <v>123000</v>
      </c>
      <c r="H312" s="4">
        <v>0</v>
      </c>
      <c r="I312" s="9" t="s">
        <v>69</v>
      </c>
      <c r="J312" s="4">
        <v>24</v>
      </c>
      <c r="K312" s="4" t="s">
        <v>14</v>
      </c>
      <c r="L312" s="4" t="s">
        <v>49</v>
      </c>
      <c r="M312" s="4" t="s">
        <v>39</v>
      </c>
      <c r="N312" s="10">
        <v>40344</v>
      </c>
      <c r="O312" s="6">
        <v>3670.8690000000001</v>
      </c>
      <c r="P312" s="15">
        <f>IF(Table1[[#This Row],[Amount Spent]]&gt;3500, 3500,Table1[[#This Row],[Amount Spent]])</f>
        <v>3500</v>
      </c>
    </row>
    <row r="313" spans="1:16" x14ac:dyDescent="0.35">
      <c r="A313" s="8">
        <v>313</v>
      </c>
      <c r="B313" s="1" t="s">
        <v>64</v>
      </c>
      <c r="C313" s="8" t="s">
        <v>62</v>
      </c>
      <c r="D313" s="8" t="s">
        <v>66</v>
      </c>
      <c r="E313" s="8" t="s">
        <v>70</v>
      </c>
      <c r="F313" s="8">
        <v>1</v>
      </c>
      <c r="G313" s="2">
        <v>44600</v>
      </c>
      <c r="H313" s="1">
        <v>0</v>
      </c>
      <c r="I313" s="8" t="s">
        <v>68</v>
      </c>
      <c r="J313" s="1">
        <v>18</v>
      </c>
      <c r="K313" s="1" t="s">
        <v>13</v>
      </c>
      <c r="L313" s="1" t="s">
        <v>45</v>
      </c>
      <c r="M313" s="1" t="s">
        <v>26</v>
      </c>
      <c r="N313" s="10">
        <v>42171</v>
      </c>
      <c r="O313" s="3">
        <v>965.72400000000005</v>
      </c>
      <c r="P313" s="15">
        <f>IF(Table1[[#This Row],[Amount Spent]]&gt;3500, 3500,Table1[[#This Row],[Amount Spent]])</f>
        <v>965.72400000000005</v>
      </c>
    </row>
    <row r="314" spans="1:16" x14ac:dyDescent="0.35">
      <c r="A314" s="9">
        <v>314</v>
      </c>
      <c r="B314" s="4" t="s">
        <v>63</v>
      </c>
      <c r="C314" s="9" t="s">
        <v>61</v>
      </c>
      <c r="D314" s="9" t="s">
        <v>66</v>
      </c>
      <c r="E314" s="9" t="s">
        <v>2</v>
      </c>
      <c r="F314" s="9">
        <v>1</v>
      </c>
      <c r="G314" s="5">
        <v>55500</v>
      </c>
      <c r="H314" s="4">
        <v>3</v>
      </c>
      <c r="I314" s="9" t="s">
        <v>67</v>
      </c>
      <c r="J314" s="4">
        <v>12</v>
      </c>
      <c r="K314" s="4" t="s">
        <v>14</v>
      </c>
      <c r="L314" s="4" t="s">
        <v>51</v>
      </c>
      <c r="M314" s="4" t="s">
        <v>38</v>
      </c>
      <c r="N314" s="10">
        <v>39928</v>
      </c>
      <c r="O314" s="6">
        <v>216.107</v>
      </c>
      <c r="P314" s="15">
        <f>IF(Table1[[#This Row],[Amount Spent]]&gt;3500, 3500,Table1[[#This Row],[Amount Spent]])</f>
        <v>216.107</v>
      </c>
    </row>
    <row r="315" spans="1:16" x14ac:dyDescent="0.35">
      <c r="A315" s="8">
        <v>315</v>
      </c>
      <c r="B315" s="1" t="s">
        <v>64</v>
      </c>
      <c r="C315" s="8" t="s">
        <v>62</v>
      </c>
      <c r="D315" s="8" t="s">
        <v>58</v>
      </c>
      <c r="E315" s="8" t="s">
        <v>70</v>
      </c>
      <c r="F315" s="8">
        <v>0</v>
      </c>
      <c r="G315" s="2">
        <v>56200</v>
      </c>
      <c r="H315" s="1">
        <v>0</v>
      </c>
      <c r="I315" s="8" t="s">
        <v>69</v>
      </c>
      <c r="J315" s="1">
        <v>18</v>
      </c>
      <c r="K315" s="1" t="s">
        <v>12</v>
      </c>
      <c r="L315" s="1" t="s">
        <v>41</v>
      </c>
      <c r="M315" s="1" t="s">
        <v>20</v>
      </c>
      <c r="N315" s="10">
        <v>40054</v>
      </c>
      <c r="O315" s="3">
        <v>1546.386</v>
      </c>
      <c r="P315" s="15">
        <f>IF(Table1[[#This Row],[Amount Spent]]&gt;3500, 3500,Table1[[#This Row],[Amount Spent]])</f>
        <v>1546.386</v>
      </c>
    </row>
    <row r="316" spans="1:16" x14ac:dyDescent="0.35">
      <c r="A316" s="9">
        <v>316</v>
      </c>
      <c r="B316" s="4" t="s">
        <v>64</v>
      </c>
      <c r="C316" s="9" t="s">
        <v>61</v>
      </c>
      <c r="D316" s="9" t="s">
        <v>58</v>
      </c>
      <c r="E316" s="9" t="s">
        <v>2</v>
      </c>
      <c r="F316" s="9">
        <v>1</v>
      </c>
      <c r="G316" s="5">
        <v>96300</v>
      </c>
      <c r="H316" s="4">
        <v>2</v>
      </c>
      <c r="I316" s="9" t="s">
        <v>8</v>
      </c>
      <c r="J316" s="4">
        <v>18</v>
      </c>
      <c r="K316" s="4" t="s">
        <v>14</v>
      </c>
      <c r="L316" s="4" t="s">
        <v>50</v>
      </c>
      <c r="M316" s="4" t="s">
        <v>35</v>
      </c>
      <c r="N316" s="10">
        <v>42049</v>
      </c>
      <c r="O316" s="6">
        <v>3915.86</v>
      </c>
      <c r="P316" s="15">
        <f>IF(Table1[[#This Row],[Amount Spent]]&gt;3500, 3500,Table1[[#This Row],[Amount Spent]])</f>
        <v>3500</v>
      </c>
    </row>
    <row r="317" spans="1:16" x14ac:dyDescent="0.35">
      <c r="A317" s="8">
        <v>317</v>
      </c>
      <c r="B317" s="1" t="s">
        <v>65</v>
      </c>
      <c r="C317" s="8" t="s">
        <v>61</v>
      </c>
      <c r="D317" s="8" t="s">
        <v>66</v>
      </c>
      <c r="E317" s="8" t="s">
        <v>70</v>
      </c>
      <c r="F317" s="8">
        <v>1</v>
      </c>
      <c r="G317" s="2">
        <v>32400</v>
      </c>
      <c r="H317" s="1">
        <v>1</v>
      </c>
      <c r="I317" s="8" t="s">
        <v>67</v>
      </c>
      <c r="J317" s="1">
        <v>12</v>
      </c>
      <c r="K317" s="1" t="s">
        <v>15</v>
      </c>
      <c r="L317" s="1" t="s">
        <v>44</v>
      </c>
      <c r="M317" s="1" t="s">
        <v>29</v>
      </c>
      <c r="N317" s="10">
        <v>40837</v>
      </c>
      <c r="O317" s="3">
        <v>515.447</v>
      </c>
      <c r="P317" s="15">
        <f>IF(Table1[[#This Row],[Amount Spent]]&gt;3500, 3500,Table1[[#This Row],[Amount Spent]])</f>
        <v>515.447</v>
      </c>
    </row>
    <row r="318" spans="1:16" x14ac:dyDescent="0.35">
      <c r="A318" s="9">
        <v>318</v>
      </c>
      <c r="B318" s="4" t="s">
        <v>64</v>
      </c>
      <c r="C318" s="9" t="s">
        <v>61</v>
      </c>
      <c r="D318" s="9" t="s">
        <v>58</v>
      </c>
      <c r="E318" s="9" t="s">
        <v>70</v>
      </c>
      <c r="F318" s="9">
        <v>1</v>
      </c>
      <c r="G318" s="5">
        <v>60200</v>
      </c>
      <c r="H318" s="4">
        <v>0</v>
      </c>
      <c r="I318" s="9" t="s">
        <v>68</v>
      </c>
      <c r="J318" s="4">
        <v>12</v>
      </c>
      <c r="K318" s="4" t="s">
        <v>14</v>
      </c>
      <c r="L318" s="4" t="s">
        <v>50</v>
      </c>
      <c r="M318" s="4" t="s">
        <v>35</v>
      </c>
      <c r="N318" s="10">
        <v>41473</v>
      </c>
      <c r="O318" s="6">
        <v>1365.3320000000001</v>
      </c>
      <c r="P318" s="15">
        <f>IF(Table1[[#This Row],[Amount Spent]]&gt;3500, 3500,Table1[[#This Row],[Amount Spent]])</f>
        <v>1365.3320000000001</v>
      </c>
    </row>
    <row r="319" spans="1:16" x14ac:dyDescent="0.35">
      <c r="A319" s="8">
        <v>319</v>
      </c>
      <c r="B319" s="1" t="s">
        <v>65</v>
      </c>
      <c r="C319" s="8" t="s">
        <v>62</v>
      </c>
      <c r="D319" s="8" t="s">
        <v>58</v>
      </c>
      <c r="E319" s="8" t="s">
        <v>2</v>
      </c>
      <c r="F319" s="8">
        <v>1</v>
      </c>
      <c r="G319" s="2">
        <v>72900</v>
      </c>
      <c r="H319" s="1">
        <v>0</v>
      </c>
      <c r="I319" s="8" t="s">
        <v>69</v>
      </c>
      <c r="J319" s="1">
        <v>6</v>
      </c>
      <c r="K319" s="1" t="s">
        <v>15</v>
      </c>
      <c r="L319" s="1" t="s">
        <v>28</v>
      </c>
      <c r="M319" s="1" t="s">
        <v>28</v>
      </c>
      <c r="N319" s="10">
        <v>41161</v>
      </c>
      <c r="O319" s="3">
        <v>752.51599999999996</v>
      </c>
      <c r="P319" s="15">
        <f>IF(Table1[[#This Row],[Amount Spent]]&gt;3500, 3500,Table1[[#This Row],[Amount Spent]])</f>
        <v>752.51599999999996</v>
      </c>
    </row>
    <row r="320" spans="1:16" x14ac:dyDescent="0.35">
      <c r="A320" s="9">
        <v>320</v>
      </c>
      <c r="B320" s="4" t="s">
        <v>63</v>
      </c>
      <c r="C320" s="9" t="s">
        <v>62</v>
      </c>
      <c r="D320" s="9" t="s">
        <v>66</v>
      </c>
      <c r="E320" s="9" t="s">
        <v>70</v>
      </c>
      <c r="F320" s="9">
        <v>1</v>
      </c>
      <c r="G320" s="5">
        <v>19300</v>
      </c>
      <c r="H320" s="4">
        <v>1</v>
      </c>
      <c r="I320" s="9" t="s">
        <v>67</v>
      </c>
      <c r="J320" s="4">
        <v>24</v>
      </c>
      <c r="K320" s="4" t="s">
        <v>14</v>
      </c>
      <c r="L320" s="4" t="s">
        <v>50</v>
      </c>
      <c r="M320" s="4" t="s">
        <v>34</v>
      </c>
      <c r="N320" s="10">
        <v>41361</v>
      </c>
      <c r="O320" s="6">
        <v>308.41699999999997</v>
      </c>
      <c r="P320" s="15">
        <f>IF(Table1[[#This Row],[Amount Spent]]&gt;3500, 3500,Table1[[#This Row],[Amount Spent]])</f>
        <v>308.41699999999997</v>
      </c>
    </row>
    <row r="321" spans="1:16" x14ac:dyDescent="0.35">
      <c r="A321" s="8">
        <v>321</v>
      </c>
      <c r="B321" s="1" t="s">
        <v>65</v>
      </c>
      <c r="C321" s="8" t="s">
        <v>61</v>
      </c>
      <c r="D321" s="8" t="s">
        <v>58</v>
      </c>
      <c r="E321" s="8" t="s">
        <v>2</v>
      </c>
      <c r="F321" s="8">
        <v>1</v>
      </c>
      <c r="G321" s="2">
        <v>74800</v>
      </c>
      <c r="H321" s="1">
        <v>0</v>
      </c>
      <c r="I321" s="8" t="s">
        <v>69</v>
      </c>
      <c r="J321" s="1">
        <v>18</v>
      </c>
      <c r="K321" s="1" t="s">
        <v>13</v>
      </c>
      <c r="L321" s="1" t="s">
        <v>46</v>
      </c>
      <c r="M321" s="1" t="s">
        <v>22</v>
      </c>
      <c r="N321" s="10">
        <v>40172</v>
      </c>
      <c r="O321" s="3">
        <v>1967.9179999999999</v>
      </c>
      <c r="P321" s="15">
        <f>IF(Table1[[#This Row],[Amount Spent]]&gt;3500, 3500,Table1[[#This Row],[Amount Spent]])</f>
        <v>1967.9179999999999</v>
      </c>
    </row>
    <row r="322" spans="1:16" x14ac:dyDescent="0.35">
      <c r="A322" s="9">
        <v>322</v>
      </c>
      <c r="B322" s="4" t="s">
        <v>63</v>
      </c>
      <c r="C322" s="9" t="s">
        <v>61</v>
      </c>
      <c r="D322" s="9" t="s">
        <v>66</v>
      </c>
      <c r="E322" s="9" t="s">
        <v>2</v>
      </c>
      <c r="F322" s="9">
        <v>1</v>
      </c>
      <c r="G322" s="5">
        <v>34300</v>
      </c>
      <c r="H322" s="4">
        <v>3</v>
      </c>
      <c r="I322" s="9" t="s">
        <v>8</v>
      </c>
      <c r="J322" s="4">
        <v>12</v>
      </c>
      <c r="K322" s="4" t="s">
        <v>14</v>
      </c>
      <c r="L322" s="4" t="s">
        <v>40</v>
      </c>
      <c r="M322" s="4" t="s">
        <v>37</v>
      </c>
      <c r="N322" s="10">
        <v>42244</v>
      </c>
      <c r="O322" s="6">
        <v>1296.595</v>
      </c>
      <c r="P322" s="15">
        <f>IF(Table1[[#This Row],[Amount Spent]]&gt;3500, 3500,Table1[[#This Row],[Amount Spent]])</f>
        <v>1296.595</v>
      </c>
    </row>
    <row r="323" spans="1:16" x14ac:dyDescent="0.35">
      <c r="A323" s="8">
        <v>323</v>
      </c>
      <c r="B323" s="1" t="s">
        <v>64</v>
      </c>
      <c r="C323" s="8" t="s">
        <v>61</v>
      </c>
      <c r="D323" s="8" t="s">
        <v>58</v>
      </c>
      <c r="E323" s="8" t="s">
        <v>70</v>
      </c>
      <c r="F323" s="8">
        <v>0</v>
      </c>
      <c r="G323" s="2">
        <v>75400</v>
      </c>
      <c r="H323" s="1">
        <v>0</v>
      </c>
      <c r="I323" s="8" t="s">
        <v>69</v>
      </c>
      <c r="J323" s="1">
        <v>24</v>
      </c>
      <c r="K323" s="1" t="s">
        <v>14</v>
      </c>
      <c r="L323" s="1" t="s">
        <v>51</v>
      </c>
      <c r="M323" s="1" t="s">
        <v>38</v>
      </c>
      <c r="N323" s="10">
        <v>39820</v>
      </c>
      <c r="O323" s="3">
        <v>2723.299</v>
      </c>
      <c r="P323" s="15">
        <f>IF(Table1[[#This Row],[Amount Spent]]&gt;3500, 3500,Table1[[#This Row],[Amount Spent]])</f>
        <v>2723.299</v>
      </c>
    </row>
    <row r="324" spans="1:16" x14ac:dyDescent="0.35">
      <c r="A324" s="9">
        <v>324</v>
      </c>
      <c r="B324" s="4" t="s">
        <v>63</v>
      </c>
      <c r="C324" s="9" t="s">
        <v>62</v>
      </c>
      <c r="D324" s="9" t="s">
        <v>66</v>
      </c>
      <c r="E324" s="9" t="s">
        <v>70</v>
      </c>
      <c r="F324" s="9">
        <v>0</v>
      </c>
      <c r="G324" s="5">
        <v>11400</v>
      </c>
      <c r="H324" s="4">
        <v>3</v>
      </c>
      <c r="I324" s="9" t="s">
        <v>8</v>
      </c>
      <c r="J324" s="4">
        <v>12</v>
      </c>
      <c r="K324" s="4" t="s">
        <v>14</v>
      </c>
      <c r="L324" s="4" t="s">
        <v>40</v>
      </c>
      <c r="M324" s="4" t="s">
        <v>37</v>
      </c>
      <c r="N324" s="10">
        <v>42027</v>
      </c>
      <c r="O324" s="6">
        <v>312.18599999999998</v>
      </c>
      <c r="P324" s="15">
        <f>IF(Table1[[#This Row],[Amount Spent]]&gt;3500, 3500,Table1[[#This Row],[Amount Spent]])</f>
        <v>312.18599999999998</v>
      </c>
    </row>
    <row r="325" spans="1:16" x14ac:dyDescent="0.35">
      <c r="A325" s="8">
        <v>325</v>
      </c>
      <c r="B325" s="1" t="s">
        <v>63</v>
      </c>
      <c r="C325" s="8" t="s">
        <v>61</v>
      </c>
      <c r="D325" s="8" t="s">
        <v>58</v>
      </c>
      <c r="E325" s="8" t="s">
        <v>2</v>
      </c>
      <c r="F325" s="8">
        <v>1</v>
      </c>
      <c r="G325" s="2">
        <v>30400</v>
      </c>
      <c r="H325" s="1">
        <v>0</v>
      </c>
      <c r="I325" s="8" t="s">
        <v>67</v>
      </c>
      <c r="J325" s="1">
        <v>6</v>
      </c>
      <c r="K325" s="1" t="s">
        <v>12</v>
      </c>
      <c r="L325" s="1" t="s">
        <v>54</v>
      </c>
      <c r="M325" s="1" t="s">
        <v>21</v>
      </c>
      <c r="N325" s="10">
        <v>40687</v>
      </c>
      <c r="O325" s="3">
        <v>494.73500000000001</v>
      </c>
      <c r="P325" s="15">
        <f>IF(Table1[[#This Row],[Amount Spent]]&gt;3500, 3500,Table1[[#This Row],[Amount Spent]])</f>
        <v>494.73500000000001</v>
      </c>
    </row>
    <row r="326" spans="1:16" x14ac:dyDescent="0.35">
      <c r="A326" s="9">
        <v>326</v>
      </c>
      <c r="B326" s="4" t="s">
        <v>64</v>
      </c>
      <c r="C326" s="9" t="s">
        <v>61</v>
      </c>
      <c r="D326" s="9" t="s">
        <v>66</v>
      </c>
      <c r="E326" s="9" t="s">
        <v>70</v>
      </c>
      <c r="F326" s="9">
        <v>1</v>
      </c>
      <c r="G326" s="5">
        <v>41200</v>
      </c>
      <c r="H326" s="4">
        <v>0</v>
      </c>
      <c r="I326" s="9" t="s">
        <v>68</v>
      </c>
      <c r="J326" s="4">
        <v>12</v>
      </c>
      <c r="K326" s="4" t="s">
        <v>15</v>
      </c>
      <c r="L326" s="4" t="s">
        <v>44</v>
      </c>
      <c r="M326" s="4" t="s">
        <v>29</v>
      </c>
      <c r="N326" s="10">
        <v>40312</v>
      </c>
      <c r="O326" s="6">
        <v>840.94600000000003</v>
      </c>
      <c r="P326" s="15">
        <f>IF(Table1[[#This Row],[Amount Spent]]&gt;3500, 3500,Table1[[#This Row],[Amount Spent]])</f>
        <v>840.94600000000003</v>
      </c>
    </row>
    <row r="327" spans="1:16" x14ac:dyDescent="0.35">
      <c r="A327" s="8">
        <v>327</v>
      </c>
      <c r="B327" s="1" t="s">
        <v>63</v>
      </c>
      <c r="C327" s="8" t="s">
        <v>61</v>
      </c>
      <c r="D327" s="8" t="s">
        <v>66</v>
      </c>
      <c r="E327" s="8" t="s">
        <v>70</v>
      </c>
      <c r="F327" s="8">
        <v>1</v>
      </c>
      <c r="G327" s="2">
        <v>21400</v>
      </c>
      <c r="H327" s="1">
        <v>0</v>
      </c>
      <c r="I327" s="8" t="s">
        <v>8</v>
      </c>
      <c r="J327" s="1">
        <v>12</v>
      </c>
      <c r="K327" s="1" t="s">
        <v>12</v>
      </c>
      <c r="L327" s="1" t="s">
        <v>54</v>
      </c>
      <c r="M327" s="1" t="s">
        <v>21</v>
      </c>
      <c r="N327" s="10">
        <v>42232</v>
      </c>
      <c r="O327" s="3">
        <v>413.90199999999999</v>
      </c>
      <c r="P327" s="15">
        <f>IF(Table1[[#This Row],[Amount Spent]]&gt;3500, 3500,Table1[[#This Row],[Amount Spent]])</f>
        <v>413.90199999999999</v>
      </c>
    </row>
    <row r="328" spans="1:16" x14ac:dyDescent="0.35">
      <c r="A328" s="9">
        <v>328</v>
      </c>
      <c r="B328" s="4" t="s">
        <v>63</v>
      </c>
      <c r="C328" s="9" t="s">
        <v>62</v>
      </c>
      <c r="D328" s="9" t="s">
        <v>66</v>
      </c>
      <c r="E328" s="9" t="s">
        <v>2</v>
      </c>
      <c r="F328" s="9">
        <v>1</v>
      </c>
      <c r="G328" s="5">
        <v>60600</v>
      </c>
      <c r="H328" s="4">
        <v>3</v>
      </c>
      <c r="I328" s="9" t="s">
        <v>67</v>
      </c>
      <c r="J328" s="4">
        <v>12</v>
      </c>
      <c r="K328" s="4" t="s">
        <v>14</v>
      </c>
      <c r="L328" s="4" t="s">
        <v>40</v>
      </c>
      <c r="M328" s="4" t="s">
        <v>37</v>
      </c>
      <c r="N328" s="10">
        <v>41544</v>
      </c>
      <c r="O328" s="6">
        <v>307.495</v>
      </c>
      <c r="P328" s="15">
        <f>IF(Table1[[#This Row],[Amount Spent]]&gt;3500, 3500,Table1[[#This Row],[Amount Spent]])</f>
        <v>307.495</v>
      </c>
    </row>
    <row r="329" spans="1:16" x14ac:dyDescent="0.35">
      <c r="A329" s="8">
        <v>329</v>
      </c>
      <c r="B329" s="1" t="s">
        <v>64</v>
      </c>
      <c r="C329" s="8" t="s">
        <v>61</v>
      </c>
      <c r="D329" s="8" t="s">
        <v>58</v>
      </c>
      <c r="E329" s="8" t="s">
        <v>2</v>
      </c>
      <c r="F329" s="8">
        <v>1</v>
      </c>
      <c r="G329" s="2">
        <v>105300</v>
      </c>
      <c r="H329" s="1">
        <v>1</v>
      </c>
      <c r="I329" s="8" t="s">
        <v>8</v>
      </c>
      <c r="J329" s="1">
        <v>18</v>
      </c>
      <c r="K329" s="1" t="s">
        <v>12</v>
      </c>
      <c r="L329" s="1" t="s">
        <v>41</v>
      </c>
      <c r="M329" s="1" t="s">
        <v>20</v>
      </c>
      <c r="N329" s="10">
        <v>42049</v>
      </c>
      <c r="O329" s="3">
        <v>3504.72</v>
      </c>
      <c r="P329" s="15">
        <f>IF(Table1[[#This Row],[Amount Spent]]&gt;3500, 3500,Table1[[#This Row],[Amount Spent]])</f>
        <v>3500</v>
      </c>
    </row>
    <row r="330" spans="1:16" x14ac:dyDescent="0.35">
      <c r="A330" s="9">
        <v>330</v>
      </c>
      <c r="B330" s="4" t="s">
        <v>64</v>
      </c>
      <c r="C330" s="9" t="s">
        <v>61</v>
      </c>
      <c r="D330" s="9" t="s">
        <v>58</v>
      </c>
      <c r="E330" s="9" t="s">
        <v>70</v>
      </c>
      <c r="F330" s="9">
        <v>1</v>
      </c>
      <c r="G330" s="5">
        <v>63700</v>
      </c>
      <c r="H330" s="4">
        <v>0</v>
      </c>
      <c r="I330" s="9" t="s">
        <v>8</v>
      </c>
      <c r="J330" s="4">
        <v>6</v>
      </c>
      <c r="K330" s="4" t="s">
        <v>14</v>
      </c>
      <c r="L330" s="4" t="s">
        <v>50</v>
      </c>
      <c r="M330" s="4" t="s">
        <v>34</v>
      </c>
      <c r="N330" s="10">
        <v>42242</v>
      </c>
      <c r="O330" s="6">
        <v>1350.6489999999999</v>
      </c>
      <c r="P330" s="15">
        <f>IF(Table1[[#This Row],[Amount Spent]]&gt;3500, 3500,Table1[[#This Row],[Amount Spent]])</f>
        <v>1350.6489999999999</v>
      </c>
    </row>
    <row r="331" spans="1:16" x14ac:dyDescent="0.35">
      <c r="A331" s="8">
        <v>331</v>
      </c>
      <c r="B331" s="1" t="s">
        <v>63</v>
      </c>
      <c r="C331" s="8" t="s">
        <v>61</v>
      </c>
      <c r="D331" s="8" t="s">
        <v>66</v>
      </c>
      <c r="E331" s="8" t="s">
        <v>70</v>
      </c>
      <c r="F331" s="8">
        <v>1</v>
      </c>
      <c r="G331" s="2">
        <v>15800</v>
      </c>
      <c r="H331" s="1">
        <v>2</v>
      </c>
      <c r="I331" s="8" t="s">
        <v>67</v>
      </c>
      <c r="J331" s="1">
        <v>12</v>
      </c>
      <c r="K331" s="1" t="s">
        <v>15</v>
      </c>
      <c r="L331" s="1" t="s">
        <v>52</v>
      </c>
      <c r="M331" s="1" t="s">
        <v>30</v>
      </c>
      <c r="N331" s="10">
        <v>41563</v>
      </c>
      <c r="O331" s="3">
        <v>147.25299999999999</v>
      </c>
      <c r="P331" s="15">
        <f>IF(Table1[[#This Row],[Amount Spent]]&gt;3500, 3500,Table1[[#This Row],[Amount Spent]])</f>
        <v>147.25299999999999</v>
      </c>
    </row>
    <row r="332" spans="1:16" x14ac:dyDescent="0.35">
      <c r="A332" s="9">
        <v>332</v>
      </c>
      <c r="B332" s="4" t="s">
        <v>64</v>
      </c>
      <c r="C332" s="9" t="s">
        <v>61</v>
      </c>
      <c r="D332" s="9" t="s">
        <v>66</v>
      </c>
      <c r="E332" s="9" t="s">
        <v>70</v>
      </c>
      <c r="F332" s="9">
        <v>0</v>
      </c>
      <c r="G332" s="5">
        <v>56900</v>
      </c>
      <c r="H332" s="4">
        <v>0</v>
      </c>
      <c r="I332" s="9" t="s">
        <v>69</v>
      </c>
      <c r="J332" s="4">
        <v>24</v>
      </c>
      <c r="K332" s="4" t="s">
        <v>13</v>
      </c>
      <c r="L332" s="4" t="s">
        <v>45</v>
      </c>
      <c r="M332" s="4" t="s">
        <v>26</v>
      </c>
      <c r="N332" s="10">
        <v>42213</v>
      </c>
      <c r="O332" s="6">
        <v>1856.6389999999999</v>
      </c>
      <c r="P332" s="15">
        <f>IF(Table1[[#This Row],[Amount Spent]]&gt;3500, 3500,Table1[[#This Row],[Amount Spent]])</f>
        <v>1856.6389999999999</v>
      </c>
    </row>
    <row r="333" spans="1:16" x14ac:dyDescent="0.35">
      <c r="A333" s="8">
        <v>333</v>
      </c>
      <c r="B333" s="1" t="s">
        <v>63</v>
      </c>
      <c r="C333" s="8" t="s">
        <v>62</v>
      </c>
      <c r="D333" s="8" t="s">
        <v>66</v>
      </c>
      <c r="E333" s="8" t="s">
        <v>70</v>
      </c>
      <c r="F333" s="8">
        <v>1</v>
      </c>
      <c r="G333" s="2">
        <v>15900</v>
      </c>
      <c r="H333" s="1">
        <v>0</v>
      </c>
      <c r="I333" s="8" t="s">
        <v>67</v>
      </c>
      <c r="J333" s="1">
        <v>18</v>
      </c>
      <c r="K333" s="1" t="s">
        <v>14</v>
      </c>
      <c r="L333" s="1" t="s">
        <v>40</v>
      </c>
      <c r="M333" s="1" t="s">
        <v>37</v>
      </c>
      <c r="N333" s="10">
        <v>40608</v>
      </c>
      <c r="O333" s="3">
        <v>502.72</v>
      </c>
      <c r="P333" s="15">
        <f>IF(Table1[[#This Row],[Amount Spent]]&gt;3500, 3500,Table1[[#This Row],[Amount Spent]])</f>
        <v>502.72</v>
      </c>
    </row>
    <row r="334" spans="1:16" x14ac:dyDescent="0.35">
      <c r="A334" s="9">
        <v>334</v>
      </c>
      <c r="B334" s="4" t="s">
        <v>65</v>
      </c>
      <c r="C334" s="9" t="s">
        <v>62</v>
      </c>
      <c r="D334" s="9" t="s">
        <v>58</v>
      </c>
      <c r="E334" s="9" t="s">
        <v>2</v>
      </c>
      <c r="F334" s="9">
        <v>0</v>
      </c>
      <c r="G334" s="5">
        <v>37500</v>
      </c>
      <c r="H334" s="4">
        <v>0</v>
      </c>
      <c r="I334" s="9" t="s">
        <v>68</v>
      </c>
      <c r="J334" s="4">
        <v>18</v>
      </c>
      <c r="K334" s="4" t="s">
        <v>15</v>
      </c>
      <c r="L334" s="4" t="s">
        <v>28</v>
      </c>
      <c r="M334" s="4" t="s">
        <v>33</v>
      </c>
      <c r="N334" s="10">
        <v>40134</v>
      </c>
      <c r="O334" s="6">
        <v>1577.7470000000001</v>
      </c>
      <c r="P334" s="15">
        <f>IF(Table1[[#This Row],[Amount Spent]]&gt;3500, 3500,Table1[[#This Row],[Amount Spent]])</f>
        <v>1577.7470000000001</v>
      </c>
    </row>
    <row r="335" spans="1:16" x14ac:dyDescent="0.35">
      <c r="A335" s="8">
        <v>335</v>
      </c>
      <c r="B335" s="1" t="s">
        <v>64</v>
      </c>
      <c r="C335" s="8" t="s">
        <v>61</v>
      </c>
      <c r="D335" s="8" t="s">
        <v>66</v>
      </c>
      <c r="E335" s="8" t="s">
        <v>70</v>
      </c>
      <c r="F335" s="8">
        <v>0</v>
      </c>
      <c r="G335" s="2">
        <v>42500</v>
      </c>
      <c r="H335" s="1">
        <v>1</v>
      </c>
      <c r="I335" s="8" t="s">
        <v>8</v>
      </c>
      <c r="J335" s="1">
        <v>6</v>
      </c>
      <c r="K335" s="1" t="s">
        <v>14</v>
      </c>
      <c r="L335" s="1" t="s">
        <v>40</v>
      </c>
      <c r="M335" s="1" t="s">
        <v>37</v>
      </c>
      <c r="N335" s="10">
        <v>42188</v>
      </c>
      <c r="O335" s="3">
        <v>797.92200000000003</v>
      </c>
      <c r="P335" s="15">
        <f>IF(Table1[[#This Row],[Amount Spent]]&gt;3500, 3500,Table1[[#This Row],[Amount Spent]])</f>
        <v>797.92200000000003</v>
      </c>
    </row>
    <row r="336" spans="1:16" x14ac:dyDescent="0.35">
      <c r="A336" s="9">
        <v>336</v>
      </c>
      <c r="B336" s="4" t="s">
        <v>64</v>
      </c>
      <c r="C336" s="9" t="s">
        <v>61</v>
      </c>
      <c r="D336" s="9" t="s">
        <v>58</v>
      </c>
      <c r="E336" s="9" t="s">
        <v>2</v>
      </c>
      <c r="F336" s="9">
        <v>1</v>
      </c>
      <c r="G336" s="5">
        <v>97500</v>
      </c>
      <c r="H336" s="4">
        <v>0</v>
      </c>
      <c r="I336" s="9" t="s">
        <v>69</v>
      </c>
      <c r="J336" s="4">
        <v>18</v>
      </c>
      <c r="K336" s="4" t="s">
        <v>15</v>
      </c>
      <c r="L336" s="4" t="s">
        <v>28</v>
      </c>
      <c r="M336" s="4" t="s">
        <v>28</v>
      </c>
      <c r="N336" s="10">
        <v>39939</v>
      </c>
      <c r="O336" s="6">
        <v>2836.752</v>
      </c>
      <c r="P336" s="15">
        <f>IF(Table1[[#This Row],[Amount Spent]]&gt;3500, 3500,Table1[[#This Row],[Amount Spent]])</f>
        <v>2836.752</v>
      </c>
    </row>
    <row r="337" spans="1:16" x14ac:dyDescent="0.35">
      <c r="A337" s="8">
        <v>337</v>
      </c>
      <c r="B337" s="1" t="s">
        <v>63</v>
      </c>
      <c r="C337" s="8" t="s">
        <v>61</v>
      </c>
      <c r="D337" s="8" t="s">
        <v>58</v>
      </c>
      <c r="E337" s="8" t="s">
        <v>70</v>
      </c>
      <c r="F337" s="8">
        <v>1</v>
      </c>
      <c r="G337" s="2">
        <v>29600</v>
      </c>
      <c r="H337" s="1">
        <v>3</v>
      </c>
      <c r="I337" s="8" t="s">
        <v>8</v>
      </c>
      <c r="J337" s="1">
        <v>12</v>
      </c>
      <c r="K337" s="1" t="s">
        <v>14</v>
      </c>
      <c r="L337" s="1" t="s">
        <v>50</v>
      </c>
      <c r="M337" s="1" t="s">
        <v>35</v>
      </c>
      <c r="N337" s="10">
        <v>42085</v>
      </c>
      <c r="O337" s="3">
        <v>583.08100000000002</v>
      </c>
      <c r="P337" s="15">
        <f>IF(Table1[[#This Row],[Amount Spent]]&gt;3500, 3500,Table1[[#This Row],[Amount Spent]])</f>
        <v>583.08100000000002</v>
      </c>
    </row>
    <row r="338" spans="1:16" x14ac:dyDescent="0.35">
      <c r="A338" s="9">
        <v>338</v>
      </c>
      <c r="B338" s="4" t="s">
        <v>64</v>
      </c>
      <c r="C338" s="9" t="s">
        <v>61</v>
      </c>
      <c r="D338" s="9" t="s">
        <v>58</v>
      </c>
      <c r="E338" s="9" t="s">
        <v>70</v>
      </c>
      <c r="F338" s="9">
        <v>1</v>
      </c>
      <c r="G338" s="5">
        <v>55600</v>
      </c>
      <c r="H338" s="4">
        <v>0</v>
      </c>
      <c r="I338" s="9" t="s">
        <v>8</v>
      </c>
      <c r="J338" s="4">
        <v>12</v>
      </c>
      <c r="K338" s="4" t="s">
        <v>15</v>
      </c>
      <c r="L338" s="4" t="s">
        <v>44</v>
      </c>
      <c r="M338" s="4" t="s">
        <v>29</v>
      </c>
      <c r="N338" s="10">
        <v>42076</v>
      </c>
      <c r="O338" s="6">
        <v>951.952</v>
      </c>
      <c r="P338" s="15">
        <f>IF(Table1[[#This Row],[Amount Spent]]&gt;3500, 3500,Table1[[#This Row],[Amount Spent]])</f>
        <v>951.952</v>
      </c>
    </row>
    <row r="339" spans="1:16" x14ac:dyDescent="0.35">
      <c r="A339" s="8">
        <v>339</v>
      </c>
      <c r="B339" s="1" t="s">
        <v>64</v>
      </c>
      <c r="C339" s="8" t="s">
        <v>61</v>
      </c>
      <c r="D339" s="8" t="s">
        <v>66</v>
      </c>
      <c r="E339" s="8" t="s">
        <v>2</v>
      </c>
      <c r="F339" s="8">
        <v>1</v>
      </c>
      <c r="G339" s="2">
        <v>74600</v>
      </c>
      <c r="H339" s="1">
        <v>2</v>
      </c>
      <c r="I339" s="8" t="s">
        <v>68</v>
      </c>
      <c r="J339" s="1">
        <v>18</v>
      </c>
      <c r="K339" s="1" t="s">
        <v>14</v>
      </c>
      <c r="L339" s="1" t="s">
        <v>50</v>
      </c>
      <c r="M339" s="1" t="s">
        <v>34</v>
      </c>
      <c r="N339" s="10">
        <v>41694</v>
      </c>
      <c r="O339" s="3">
        <v>705.04399999999998</v>
      </c>
      <c r="P339" s="15">
        <f>IF(Table1[[#This Row],[Amount Spent]]&gt;3500, 3500,Table1[[#This Row],[Amount Spent]])</f>
        <v>705.04399999999998</v>
      </c>
    </row>
    <row r="340" spans="1:16" x14ac:dyDescent="0.35">
      <c r="A340" s="9">
        <v>340</v>
      </c>
      <c r="B340" s="4" t="s">
        <v>64</v>
      </c>
      <c r="C340" s="9" t="s">
        <v>62</v>
      </c>
      <c r="D340" s="9" t="s">
        <v>58</v>
      </c>
      <c r="E340" s="9" t="s">
        <v>2</v>
      </c>
      <c r="F340" s="9">
        <v>1</v>
      </c>
      <c r="G340" s="5">
        <v>68500</v>
      </c>
      <c r="H340" s="4">
        <v>2</v>
      </c>
      <c r="I340" s="9" t="s">
        <v>8</v>
      </c>
      <c r="J340" s="4">
        <v>12</v>
      </c>
      <c r="K340" s="4" t="s">
        <v>13</v>
      </c>
      <c r="L340" s="4" t="s">
        <v>56</v>
      </c>
      <c r="M340" s="4" t="s">
        <v>24</v>
      </c>
      <c r="N340" s="10">
        <v>42096</v>
      </c>
      <c r="O340" s="6">
        <v>1499.8420000000001</v>
      </c>
      <c r="P340" s="15">
        <f>IF(Table1[[#This Row],[Amount Spent]]&gt;3500, 3500,Table1[[#This Row],[Amount Spent]])</f>
        <v>1499.8420000000001</v>
      </c>
    </row>
    <row r="341" spans="1:16" x14ac:dyDescent="0.35">
      <c r="A341" s="8">
        <v>341</v>
      </c>
      <c r="B341" s="1" t="s">
        <v>64</v>
      </c>
      <c r="C341" s="8" t="s">
        <v>62</v>
      </c>
      <c r="D341" s="8" t="s">
        <v>58</v>
      </c>
      <c r="E341" s="8" t="s">
        <v>70</v>
      </c>
      <c r="F341" s="8">
        <v>1</v>
      </c>
      <c r="G341" s="2">
        <v>51900</v>
      </c>
      <c r="H341" s="1">
        <v>2</v>
      </c>
      <c r="I341" s="8" t="s">
        <v>8</v>
      </c>
      <c r="J341" s="1">
        <v>12</v>
      </c>
      <c r="K341" s="1" t="s">
        <v>12</v>
      </c>
      <c r="L341" s="1" t="s">
        <v>41</v>
      </c>
      <c r="M341" s="1" t="s">
        <v>20</v>
      </c>
      <c r="N341" s="10">
        <v>42168</v>
      </c>
      <c r="O341" s="3">
        <v>1161.7760000000001</v>
      </c>
      <c r="P341" s="15">
        <f>IF(Table1[[#This Row],[Amount Spent]]&gt;3500, 3500,Table1[[#This Row],[Amount Spent]])</f>
        <v>1161.7760000000001</v>
      </c>
    </row>
    <row r="342" spans="1:16" x14ac:dyDescent="0.35">
      <c r="A342" s="9">
        <v>342</v>
      </c>
      <c r="B342" s="4" t="s">
        <v>63</v>
      </c>
      <c r="C342" s="9" t="s">
        <v>62</v>
      </c>
      <c r="D342" s="9" t="s">
        <v>66</v>
      </c>
      <c r="E342" s="9" t="s">
        <v>70</v>
      </c>
      <c r="F342" s="9">
        <v>1</v>
      </c>
      <c r="G342" s="5">
        <v>17200</v>
      </c>
      <c r="H342" s="4">
        <v>1</v>
      </c>
      <c r="I342" s="9" t="s">
        <v>8</v>
      </c>
      <c r="J342" s="4">
        <v>12</v>
      </c>
      <c r="K342" s="4" t="s">
        <v>14</v>
      </c>
      <c r="L342" s="4" t="s">
        <v>50</v>
      </c>
      <c r="M342" s="4" t="s">
        <v>35</v>
      </c>
      <c r="N342" s="10">
        <v>42220</v>
      </c>
      <c r="O342" s="6">
        <v>329.39699999999999</v>
      </c>
      <c r="P342" s="15">
        <f>IF(Table1[[#This Row],[Amount Spent]]&gt;3500, 3500,Table1[[#This Row],[Amount Spent]])</f>
        <v>329.39699999999999</v>
      </c>
    </row>
    <row r="343" spans="1:16" x14ac:dyDescent="0.35">
      <c r="A343" s="8">
        <v>343</v>
      </c>
      <c r="B343" s="1" t="s">
        <v>63</v>
      </c>
      <c r="C343" s="8" t="s">
        <v>62</v>
      </c>
      <c r="D343" s="8" t="s">
        <v>66</v>
      </c>
      <c r="E343" s="8" t="s">
        <v>2</v>
      </c>
      <c r="F343" s="8">
        <v>0</v>
      </c>
      <c r="G343" s="2">
        <v>51900</v>
      </c>
      <c r="H343" s="1">
        <v>0</v>
      </c>
      <c r="I343" s="8" t="s">
        <v>8</v>
      </c>
      <c r="J343" s="1">
        <v>6</v>
      </c>
      <c r="K343" s="1" t="s">
        <v>13</v>
      </c>
      <c r="L343" s="1" t="s">
        <v>46</v>
      </c>
      <c r="M343" s="1" t="s">
        <v>22</v>
      </c>
      <c r="N343" s="10">
        <v>42190</v>
      </c>
      <c r="O343" s="3">
        <v>779.51700000000005</v>
      </c>
      <c r="P343" s="15">
        <f>IF(Table1[[#This Row],[Amount Spent]]&gt;3500, 3500,Table1[[#This Row],[Amount Spent]])</f>
        <v>779.51700000000005</v>
      </c>
    </row>
    <row r="344" spans="1:16" x14ac:dyDescent="0.35">
      <c r="A344" s="9">
        <v>344</v>
      </c>
      <c r="B344" s="4" t="s">
        <v>64</v>
      </c>
      <c r="C344" s="9" t="s">
        <v>61</v>
      </c>
      <c r="D344" s="9" t="s">
        <v>58</v>
      </c>
      <c r="E344" s="9" t="s">
        <v>2</v>
      </c>
      <c r="F344" s="9">
        <v>1</v>
      </c>
      <c r="G344" s="5">
        <v>70200</v>
      </c>
      <c r="H344" s="4">
        <v>0</v>
      </c>
      <c r="I344" s="9" t="s">
        <v>8</v>
      </c>
      <c r="J344" s="4">
        <v>6</v>
      </c>
      <c r="K344" s="4" t="s">
        <v>12</v>
      </c>
      <c r="L344" s="4" t="s">
        <v>47</v>
      </c>
      <c r="M344" s="4" t="s">
        <v>18</v>
      </c>
      <c r="N344" s="10">
        <v>42042</v>
      </c>
      <c r="O344" s="6">
        <v>1582.604</v>
      </c>
      <c r="P344" s="15">
        <f>IF(Table1[[#This Row],[Amount Spent]]&gt;3500, 3500,Table1[[#This Row],[Amount Spent]])</f>
        <v>1582.604</v>
      </c>
    </row>
    <row r="345" spans="1:16" x14ac:dyDescent="0.35">
      <c r="A345" s="8">
        <v>345</v>
      </c>
      <c r="B345" s="1" t="s">
        <v>64</v>
      </c>
      <c r="C345" s="8" t="s">
        <v>62</v>
      </c>
      <c r="D345" s="8" t="s">
        <v>58</v>
      </c>
      <c r="E345" s="8" t="s">
        <v>70</v>
      </c>
      <c r="F345" s="8">
        <v>0</v>
      </c>
      <c r="G345" s="2">
        <v>64400</v>
      </c>
      <c r="H345" s="1">
        <v>3</v>
      </c>
      <c r="I345" s="8" t="s">
        <v>68</v>
      </c>
      <c r="J345" s="1">
        <v>24</v>
      </c>
      <c r="K345" s="1" t="s">
        <v>13</v>
      </c>
      <c r="L345" s="1" t="s">
        <v>45</v>
      </c>
      <c r="M345" s="1" t="s">
        <v>26</v>
      </c>
      <c r="N345" s="10">
        <v>40118</v>
      </c>
      <c r="O345" s="3">
        <v>1913.32</v>
      </c>
      <c r="P345" s="15">
        <f>IF(Table1[[#This Row],[Amount Spent]]&gt;3500, 3500,Table1[[#This Row],[Amount Spent]])</f>
        <v>1913.32</v>
      </c>
    </row>
    <row r="346" spans="1:16" x14ac:dyDescent="0.35">
      <c r="A346" s="9">
        <v>346</v>
      </c>
      <c r="B346" s="4" t="s">
        <v>64</v>
      </c>
      <c r="C346" s="9" t="s">
        <v>62</v>
      </c>
      <c r="D346" s="9" t="s">
        <v>58</v>
      </c>
      <c r="E346" s="9" t="s">
        <v>2</v>
      </c>
      <c r="F346" s="9">
        <v>1</v>
      </c>
      <c r="G346" s="5">
        <v>70900</v>
      </c>
      <c r="H346" s="4">
        <v>1</v>
      </c>
      <c r="I346" s="9" t="s">
        <v>68</v>
      </c>
      <c r="J346" s="4">
        <v>12</v>
      </c>
      <c r="K346" s="4" t="s">
        <v>15</v>
      </c>
      <c r="L346" s="4" t="s">
        <v>44</v>
      </c>
      <c r="M346" s="4" t="s">
        <v>29</v>
      </c>
      <c r="N346" s="10">
        <v>40993</v>
      </c>
      <c r="O346" s="6">
        <v>794.1</v>
      </c>
      <c r="P346" s="15">
        <f>IF(Table1[[#This Row],[Amount Spent]]&gt;3500, 3500,Table1[[#This Row],[Amount Spent]])</f>
        <v>794.1</v>
      </c>
    </row>
    <row r="347" spans="1:16" x14ac:dyDescent="0.35">
      <c r="A347" s="8">
        <v>347</v>
      </c>
      <c r="B347" s="1" t="s">
        <v>64</v>
      </c>
      <c r="C347" s="8" t="s">
        <v>61</v>
      </c>
      <c r="D347" s="8" t="s">
        <v>58</v>
      </c>
      <c r="E347" s="8" t="s">
        <v>2</v>
      </c>
      <c r="F347" s="8">
        <v>0</v>
      </c>
      <c r="G347" s="2">
        <v>72500</v>
      </c>
      <c r="H347" s="1">
        <v>0</v>
      </c>
      <c r="I347" s="8" t="s">
        <v>8</v>
      </c>
      <c r="J347" s="1">
        <v>24</v>
      </c>
      <c r="K347" s="1" t="s">
        <v>14</v>
      </c>
      <c r="L347" s="1" t="s">
        <v>50</v>
      </c>
      <c r="M347" s="1" t="s">
        <v>35</v>
      </c>
      <c r="N347" s="10">
        <v>42020</v>
      </c>
      <c r="O347" s="3">
        <v>2594.924</v>
      </c>
      <c r="P347" s="15">
        <f>IF(Table1[[#This Row],[Amount Spent]]&gt;3500, 3500,Table1[[#This Row],[Amount Spent]])</f>
        <v>2594.924</v>
      </c>
    </row>
    <row r="348" spans="1:16" x14ac:dyDescent="0.35">
      <c r="A348" s="9">
        <v>348</v>
      </c>
      <c r="B348" s="4" t="s">
        <v>65</v>
      </c>
      <c r="C348" s="9" t="s">
        <v>62</v>
      </c>
      <c r="D348" s="9" t="s">
        <v>58</v>
      </c>
      <c r="E348" s="9" t="s">
        <v>70</v>
      </c>
      <c r="F348" s="9">
        <v>1</v>
      </c>
      <c r="G348" s="5">
        <v>33200</v>
      </c>
      <c r="H348" s="4">
        <v>0</v>
      </c>
      <c r="I348" s="9" t="s">
        <v>68</v>
      </c>
      <c r="J348" s="4">
        <v>24</v>
      </c>
      <c r="K348" s="4" t="s">
        <v>12</v>
      </c>
      <c r="L348" s="4" t="s">
        <v>54</v>
      </c>
      <c r="M348" s="4" t="s">
        <v>21</v>
      </c>
      <c r="N348" s="10">
        <v>40813</v>
      </c>
      <c r="O348" s="6">
        <v>1036.6600000000001</v>
      </c>
      <c r="P348" s="15">
        <f>IF(Table1[[#This Row],[Amount Spent]]&gt;3500, 3500,Table1[[#This Row],[Amount Spent]])</f>
        <v>1036.6600000000001</v>
      </c>
    </row>
    <row r="349" spans="1:16" x14ac:dyDescent="0.35">
      <c r="A349" s="8">
        <v>349</v>
      </c>
      <c r="B349" s="1" t="s">
        <v>64</v>
      </c>
      <c r="C349" s="8" t="s">
        <v>61</v>
      </c>
      <c r="D349" s="8" t="s">
        <v>66</v>
      </c>
      <c r="E349" s="8" t="s">
        <v>70</v>
      </c>
      <c r="F349" s="8">
        <v>0</v>
      </c>
      <c r="G349" s="2">
        <v>58600</v>
      </c>
      <c r="H349" s="1">
        <v>2</v>
      </c>
      <c r="I349" s="8" t="s">
        <v>8</v>
      </c>
      <c r="J349" s="1">
        <v>6</v>
      </c>
      <c r="K349" s="1" t="s">
        <v>13</v>
      </c>
      <c r="L349" s="1" t="s">
        <v>56</v>
      </c>
      <c r="M349" s="1" t="s">
        <v>24</v>
      </c>
      <c r="N349" s="10">
        <v>42021</v>
      </c>
      <c r="O349" s="3">
        <v>988.75900000000001</v>
      </c>
      <c r="P349" s="15">
        <f>IF(Table1[[#This Row],[Amount Spent]]&gt;3500, 3500,Table1[[#This Row],[Amount Spent]])</f>
        <v>988.75900000000001</v>
      </c>
    </row>
    <row r="350" spans="1:16" x14ac:dyDescent="0.35">
      <c r="A350" s="9">
        <v>350</v>
      </c>
      <c r="B350" s="4" t="s">
        <v>64</v>
      </c>
      <c r="C350" s="9" t="s">
        <v>61</v>
      </c>
      <c r="D350" s="9" t="s">
        <v>58</v>
      </c>
      <c r="E350" s="9" t="s">
        <v>2</v>
      </c>
      <c r="F350" s="9">
        <v>1</v>
      </c>
      <c r="G350" s="5">
        <v>54700</v>
      </c>
      <c r="H350" s="4">
        <v>0</v>
      </c>
      <c r="I350" s="9" t="s">
        <v>68</v>
      </c>
      <c r="J350" s="4">
        <v>18</v>
      </c>
      <c r="K350" s="4" t="s">
        <v>15</v>
      </c>
      <c r="L350" s="4" t="s">
        <v>52</v>
      </c>
      <c r="M350" s="4" t="s">
        <v>30</v>
      </c>
      <c r="N350" s="10">
        <v>40076</v>
      </c>
      <c r="O350" s="6">
        <v>848.279</v>
      </c>
      <c r="P350" s="15">
        <f>IF(Table1[[#This Row],[Amount Spent]]&gt;3500, 3500,Table1[[#This Row],[Amount Spent]])</f>
        <v>848.279</v>
      </c>
    </row>
    <row r="351" spans="1:16" x14ac:dyDescent="0.35">
      <c r="A351" s="8">
        <v>351</v>
      </c>
      <c r="B351" s="1" t="s">
        <v>64</v>
      </c>
      <c r="C351" s="8" t="s">
        <v>61</v>
      </c>
      <c r="D351" s="8" t="s">
        <v>66</v>
      </c>
      <c r="E351" s="8" t="s">
        <v>2</v>
      </c>
      <c r="F351" s="8">
        <v>0</v>
      </c>
      <c r="G351" s="2">
        <v>64000</v>
      </c>
      <c r="H351" s="1">
        <v>1</v>
      </c>
      <c r="I351" s="8" t="s">
        <v>8</v>
      </c>
      <c r="J351" s="1">
        <v>6</v>
      </c>
      <c r="K351" s="1" t="s">
        <v>15</v>
      </c>
      <c r="L351" s="1" t="s">
        <v>52</v>
      </c>
      <c r="M351" s="1" t="s">
        <v>31</v>
      </c>
      <c r="N351" s="10">
        <v>42020</v>
      </c>
      <c r="O351" s="3">
        <v>1552.162</v>
      </c>
      <c r="P351" s="15">
        <f>IF(Table1[[#This Row],[Amount Spent]]&gt;3500, 3500,Table1[[#This Row],[Amount Spent]])</f>
        <v>1552.162</v>
      </c>
    </row>
    <row r="352" spans="1:16" x14ac:dyDescent="0.35">
      <c r="A352" s="9">
        <v>352</v>
      </c>
      <c r="B352" s="4" t="s">
        <v>63</v>
      </c>
      <c r="C352" s="9" t="s">
        <v>62</v>
      </c>
      <c r="D352" s="9" t="s">
        <v>66</v>
      </c>
      <c r="E352" s="9" t="s">
        <v>70</v>
      </c>
      <c r="F352" s="9">
        <v>0</v>
      </c>
      <c r="G352" s="5">
        <v>12500</v>
      </c>
      <c r="H352" s="4">
        <v>1</v>
      </c>
      <c r="I352" s="9" t="s">
        <v>8</v>
      </c>
      <c r="J352" s="4">
        <v>12</v>
      </c>
      <c r="K352" s="4" t="s">
        <v>15</v>
      </c>
      <c r="L352" s="4" t="s">
        <v>28</v>
      </c>
      <c r="M352" s="4" t="s">
        <v>28</v>
      </c>
      <c r="N352" s="10">
        <v>42102</v>
      </c>
      <c r="O352" s="6">
        <v>421.96899999999999</v>
      </c>
      <c r="P352" s="15">
        <f>IF(Table1[[#This Row],[Amount Spent]]&gt;3500, 3500,Table1[[#This Row],[Amount Spent]])</f>
        <v>421.96899999999999</v>
      </c>
    </row>
    <row r="353" spans="1:16" x14ac:dyDescent="0.35">
      <c r="A353" s="8">
        <v>353</v>
      </c>
      <c r="B353" s="1" t="s">
        <v>64</v>
      </c>
      <c r="C353" s="8" t="s">
        <v>61</v>
      </c>
      <c r="D353" s="8" t="s">
        <v>58</v>
      </c>
      <c r="E353" s="8" t="s">
        <v>2</v>
      </c>
      <c r="F353" s="8">
        <v>1</v>
      </c>
      <c r="G353" s="2">
        <v>122700</v>
      </c>
      <c r="H353" s="1">
        <v>1</v>
      </c>
      <c r="I353" s="8" t="s">
        <v>8</v>
      </c>
      <c r="J353" s="1">
        <v>18</v>
      </c>
      <c r="K353" s="1" t="s">
        <v>13</v>
      </c>
      <c r="L353" s="1" t="s">
        <v>46</v>
      </c>
      <c r="M353" s="1" t="s">
        <v>22</v>
      </c>
      <c r="N353" s="10">
        <v>42031</v>
      </c>
      <c r="O353" s="3">
        <v>4983.7759999999998</v>
      </c>
      <c r="P353" s="15">
        <f>IF(Table1[[#This Row],[Amount Spent]]&gt;3500, 3500,Table1[[#This Row],[Amount Spent]])</f>
        <v>3500</v>
      </c>
    </row>
    <row r="354" spans="1:16" x14ac:dyDescent="0.35">
      <c r="A354" s="9">
        <v>354</v>
      </c>
      <c r="B354" s="4" t="s">
        <v>63</v>
      </c>
      <c r="C354" s="9" t="s">
        <v>61</v>
      </c>
      <c r="D354" s="9" t="s">
        <v>66</v>
      </c>
      <c r="E354" s="9" t="s">
        <v>70</v>
      </c>
      <c r="F354" s="9">
        <v>1</v>
      </c>
      <c r="G354" s="5">
        <v>23200</v>
      </c>
      <c r="H354" s="4">
        <v>1</v>
      </c>
      <c r="I354" s="9" t="s">
        <v>67</v>
      </c>
      <c r="J354" s="4">
        <v>24</v>
      </c>
      <c r="K354" s="4" t="s">
        <v>14</v>
      </c>
      <c r="L354" s="4" t="s">
        <v>51</v>
      </c>
      <c r="M354" s="4" t="s">
        <v>38</v>
      </c>
      <c r="N354" s="10">
        <v>41365</v>
      </c>
      <c r="O354" s="6">
        <v>504.00200000000001</v>
      </c>
      <c r="P354" s="15">
        <f>IF(Table1[[#This Row],[Amount Spent]]&gt;3500, 3500,Table1[[#This Row],[Amount Spent]])</f>
        <v>504.00200000000001</v>
      </c>
    </row>
    <row r="355" spans="1:16" x14ac:dyDescent="0.35">
      <c r="A355" s="8">
        <v>355</v>
      </c>
      <c r="B355" s="1" t="s">
        <v>63</v>
      </c>
      <c r="C355" s="8" t="s">
        <v>61</v>
      </c>
      <c r="D355" s="8" t="s">
        <v>66</v>
      </c>
      <c r="E355" s="8" t="s">
        <v>2</v>
      </c>
      <c r="F355" s="8">
        <v>1</v>
      </c>
      <c r="G355" s="2">
        <v>41600</v>
      </c>
      <c r="H355" s="1">
        <v>3</v>
      </c>
      <c r="I355" s="8" t="s">
        <v>8</v>
      </c>
      <c r="J355" s="1">
        <v>24</v>
      </c>
      <c r="K355" s="1" t="s">
        <v>14</v>
      </c>
      <c r="L355" s="1" t="s">
        <v>50</v>
      </c>
      <c r="M355" s="1" t="s">
        <v>35</v>
      </c>
      <c r="N355" s="10">
        <v>42037</v>
      </c>
      <c r="O355" s="3">
        <v>1633.5550000000001</v>
      </c>
      <c r="P355" s="15">
        <f>IF(Table1[[#This Row],[Amount Spent]]&gt;3500, 3500,Table1[[#This Row],[Amount Spent]])</f>
        <v>1633.5550000000001</v>
      </c>
    </row>
    <row r="356" spans="1:16" x14ac:dyDescent="0.35">
      <c r="A356" s="9">
        <v>356</v>
      </c>
      <c r="B356" s="4" t="s">
        <v>65</v>
      </c>
      <c r="C356" s="9" t="s">
        <v>62</v>
      </c>
      <c r="D356" s="9" t="s">
        <v>58</v>
      </c>
      <c r="E356" s="9" t="s">
        <v>2</v>
      </c>
      <c r="F356" s="9">
        <v>1</v>
      </c>
      <c r="G356" s="5">
        <v>69400</v>
      </c>
      <c r="H356" s="4">
        <v>0</v>
      </c>
      <c r="I356" s="9" t="s">
        <v>69</v>
      </c>
      <c r="J356" s="4">
        <v>18</v>
      </c>
      <c r="K356" s="4" t="s">
        <v>12</v>
      </c>
      <c r="L356" s="4" t="s">
        <v>47</v>
      </c>
      <c r="M356" s="4" t="s">
        <v>18</v>
      </c>
      <c r="N356" s="10">
        <v>40559</v>
      </c>
      <c r="O356" s="6">
        <v>2418.6019999999999</v>
      </c>
      <c r="P356" s="15">
        <f>IF(Table1[[#This Row],[Amount Spent]]&gt;3500, 3500,Table1[[#This Row],[Amount Spent]])</f>
        <v>2418.6019999999999</v>
      </c>
    </row>
    <row r="357" spans="1:16" x14ac:dyDescent="0.35">
      <c r="A357" s="8">
        <v>357</v>
      </c>
      <c r="B357" s="1" t="s">
        <v>64</v>
      </c>
      <c r="C357" s="8" t="s">
        <v>62</v>
      </c>
      <c r="D357" s="8" t="s">
        <v>58</v>
      </c>
      <c r="E357" s="8" t="s">
        <v>2</v>
      </c>
      <c r="F357" s="8">
        <v>1</v>
      </c>
      <c r="G357" s="2">
        <v>109800</v>
      </c>
      <c r="H357" s="1">
        <v>1</v>
      </c>
      <c r="I357" s="8" t="s">
        <v>69</v>
      </c>
      <c r="J357" s="1">
        <v>24</v>
      </c>
      <c r="K357" s="1" t="s">
        <v>12</v>
      </c>
      <c r="L357" s="1" t="s">
        <v>55</v>
      </c>
      <c r="M357" s="1" t="s">
        <v>17</v>
      </c>
      <c r="N357" s="10">
        <v>40125</v>
      </c>
      <c r="O357" s="3">
        <v>2258.049</v>
      </c>
      <c r="P357" s="15">
        <f>IF(Table1[[#This Row],[Amount Spent]]&gt;3500, 3500,Table1[[#This Row],[Amount Spent]])</f>
        <v>2258.049</v>
      </c>
    </row>
    <row r="358" spans="1:16" x14ac:dyDescent="0.35">
      <c r="A358" s="9">
        <v>358</v>
      </c>
      <c r="B358" s="4" t="s">
        <v>64</v>
      </c>
      <c r="C358" s="9" t="s">
        <v>62</v>
      </c>
      <c r="D358" s="9" t="s">
        <v>58</v>
      </c>
      <c r="E358" s="9" t="s">
        <v>70</v>
      </c>
      <c r="F358" s="9">
        <v>0</v>
      </c>
      <c r="G358" s="5">
        <v>66800</v>
      </c>
      <c r="H358" s="4">
        <v>3</v>
      </c>
      <c r="I358" s="9" t="s">
        <v>8</v>
      </c>
      <c r="J358" s="4">
        <v>24</v>
      </c>
      <c r="K358" s="4" t="s">
        <v>13</v>
      </c>
      <c r="L358" s="4" t="s">
        <v>43</v>
      </c>
      <c r="M358" s="4" t="s">
        <v>23</v>
      </c>
      <c r="N358" s="10">
        <v>42136</v>
      </c>
      <c r="O358" s="6">
        <v>2098.029</v>
      </c>
      <c r="P358" s="15">
        <f>IF(Table1[[#This Row],[Amount Spent]]&gt;3500, 3500,Table1[[#This Row],[Amount Spent]])</f>
        <v>2098.029</v>
      </c>
    </row>
    <row r="359" spans="1:16" x14ac:dyDescent="0.35">
      <c r="A359" s="8">
        <v>359</v>
      </c>
      <c r="B359" s="1" t="s">
        <v>64</v>
      </c>
      <c r="C359" s="8" t="s">
        <v>61</v>
      </c>
      <c r="D359" s="8" t="s">
        <v>66</v>
      </c>
      <c r="E359" s="8" t="s">
        <v>2</v>
      </c>
      <c r="F359" s="8">
        <v>0</v>
      </c>
      <c r="G359" s="2">
        <v>87100</v>
      </c>
      <c r="H359" s="1">
        <v>2</v>
      </c>
      <c r="I359" s="8" t="s">
        <v>69</v>
      </c>
      <c r="J359" s="1">
        <v>18</v>
      </c>
      <c r="K359" s="1" t="s">
        <v>12</v>
      </c>
      <c r="L359" s="1" t="s">
        <v>47</v>
      </c>
      <c r="M359" s="1" t="s">
        <v>18</v>
      </c>
      <c r="N359" s="10">
        <v>41919</v>
      </c>
      <c r="O359" s="3">
        <v>1687.807</v>
      </c>
      <c r="P359" s="15">
        <f>IF(Table1[[#This Row],[Amount Spent]]&gt;3500, 3500,Table1[[#This Row],[Amount Spent]])</f>
        <v>1687.807</v>
      </c>
    </row>
    <row r="360" spans="1:16" x14ac:dyDescent="0.35">
      <c r="A360" s="9">
        <v>360</v>
      </c>
      <c r="B360" s="4" t="s">
        <v>64</v>
      </c>
      <c r="C360" s="9" t="s">
        <v>61</v>
      </c>
      <c r="D360" s="9" t="s">
        <v>58</v>
      </c>
      <c r="E360" s="9" t="s">
        <v>70</v>
      </c>
      <c r="F360" s="9">
        <v>0</v>
      </c>
      <c r="G360" s="5">
        <v>80800</v>
      </c>
      <c r="H360" s="4">
        <v>2</v>
      </c>
      <c r="I360" s="9" t="s">
        <v>69</v>
      </c>
      <c r="J360" s="4">
        <v>18</v>
      </c>
      <c r="K360" s="4" t="s">
        <v>14</v>
      </c>
      <c r="L360" s="4" t="s">
        <v>49</v>
      </c>
      <c r="M360" s="4" t="s">
        <v>39</v>
      </c>
      <c r="N360" s="10">
        <v>41018</v>
      </c>
      <c r="O360" s="6">
        <v>2444.4490000000001</v>
      </c>
      <c r="P360" s="15">
        <f>IF(Table1[[#This Row],[Amount Spent]]&gt;3500, 3500,Table1[[#This Row],[Amount Spent]])</f>
        <v>2444.4490000000001</v>
      </c>
    </row>
    <row r="361" spans="1:16" x14ac:dyDescent="0.35">
      <c r="A361" s="8">
        <v>361</v>
      </c>
      <c r="B361" s="1" t="s">
        <v>64</v>
      </c>
      <c r="C361" s="8" t="s">
        <v>61</v>
      </c>
      <c r="D361" s="8" t="s">
        <v>58</v>
      </c>
      <c r="E361" s="8" t="s">
        <v>2</v>
      </c>
      <c r="F361" s="8">
        <v>0</v>
      </c>
      <c r="G361" s="2">
        <v>122100</v>
      </c>
      <c r="H361" s="1">
        <v>0</v>
      </c>
      <c r="I361" s="8" t="s">
        <v>69</v>
      </c>
      <c r="J361" s="1">
        <v>12</v>
      </c>
      <c r="K361" s="1" t="s">
        <v>13</v>
      </c>
      <c r="L361" s="1" t="s">
        <v>56</v>
      </c>
      <c r="M361" s="1" t="s">
        <v>24</v>
      </c>
      <c r="N361" s="10">
        <v>41130</v>
      </c>
      <c r="O361" s="3">
        <v>2408.482</v>
      </c>
      <c r="P361" s="15">
        <f>IF(Table1[[#This Row],[Amount Spent]]&gt;3500, 3500,Table1[[#This Row],[Amount Spent]])</f>
        <v>2408.482</v>
      </c>
    </row>
    <row r="362" spans="1:16" x14ac:dyDescent="0.35">
      <c r="A362" s="9">
        <v>362</v>
      </c>
      <c r="B362" s="4" t="s">
        <v>63</v>
      </c>
      <c r="C362" s="9" t="s">
        <v>62</v>
      </c>
      <c r="D362" s="9" t="s">
        <v>66</v>
      </c>
      <c r="E362" s="9" t="s">
        <v>70</v>
      </c>
      <c r="F362" s="9">
        <v>1</v>
      </c>
      <c r="G362" s="5">
        <v>19400</v>
      </c>
      <c r="H362" s="4">
        <v>1</v>
      </c>
      <c r="I362" s="9" t="s">
        <v>8</v>
      </c>
      <c r="J362" s="4">
        <v>18</v>
      </c>
      <c r="K362" s="4" t="s">
        <v>12</v>
      </c>
      <c r="L362" s="4" t="s">
        <v>55</v>
      </c>
      <c r="M362" s="4" t="s">
        <v>17</v>
      </c>
      <c r="N362" s="10">
        <v>42192</v>
      </c>
      <c r="O362" s="6">
        <v>384.24799999999999</v>
      </c>
      <c r="P362" s="15">
        <f>IF(Table1[[#This Row],[Amount Spent]]&gt;3500, 3500,Table1[[#This Row],[Amount Spent]])</f>
        <v>384.24799999999999</v>
      </c>
    </row>
    <row r="363" spans="1:16" x14ac:dyDescent="0.35">
      <c r="A363" s="8">
        <v>363</v>
      </c>
      <c r="B363" s="1" t="s">
        <v>64</v>
      </c>
      <c r="C363" s="8" t="s">
        <v>62</v>
      </c>
      <c r="D363" s="8" t="s">
        <v>58</v>
      </c>
      <c r="E363" s="8" t="s">
        <v>70</v>
      </c>
      <c r="F363" s="8">
        <v>1</v>
      </c>
      <c r="G363" s="2">
        <v>43300</v>
      </c>
      <c r="H363" s="1">
        <v>1</v>
      </c>
      <c r="I363" s="8" t="s">
        <v>8</v>
      </c>
      <c r="J363" s="1">
        <v>18</v>
      </c>
      <c r="K363" s="1" t="s">
        <v>14</v>
      </c>
      <c r="L363" s="1" t="s">
        <v>50</v>
      </c>
      <c r="M363" s="1" t="s">
        <v>35</v>
      </c>
      <c r="N363" s="10">
        <v>42092</v>
      </c>
      <c r="O363" s="3">
        <v>1020.542</v>
      </c>
      <c r="P363" s="15">
        <f>IF(Table1[[#This Row],[Amount Spent]]&gt;3500, 3500,Table1[[#This Row],[Amount Spent]])</f>
        <v>1020.542</v>
      </c>
    </row>
    <row r="364" spans="1:16" x14ac:dyDescent="0.35">
      <c r="A364" s="9">
        <v>364</v>
      </c>
      <c r="B364" s="4" t="s">
        <v>65</v>
      </c>
      <c r="C364" s="9" t="s">
        <v>61</v>
      </c>
      <c r="D364" s="9" t="s">
        <v>58</v>
      </c>
      <c r="E364" s="9" t="s">
        <v>2</v>
      </c>
      <c r="F364" s="9">
        <v>0</v>
      </c>
      <c r="G364" s="5">
        <v>33000</v>
      </c>
      <c r="H364" s="4">
        <v>0</v>
      </c>
      <c r="I364" s="9" t="s">
        <v>68</v>
      </c>
      <c r="J364" s="4">
        <v>12</v>
      </c>
      <c r="K364" s="4" t="s">
        <v>12</v>
      </c>
      <c r="L364" s="4" t="s">
        <v>47</v>
      </c>
      <c r="M364" s="4" t="s">
        <v>16</v>
      </c>
      <c r="N364" s="10">
        <v>41332</v>
      </c>
      <c r="O364" s="6">
        <v>978.798</v>
      </c>
      <c r="P364" s="15">
        <f>IF(Table1[[#This Row],[Amount Spent]]&gt;3500, 3500,Table1[[#This Row],[Amount Spent]])</f>
        <v>978.798</v>
      </c>
    </row>
    <row r="365" spans="1:16" x14ac:dyDescent="0.35">
      <c r="A365" s="8">
        <v>365</v>
      </c>
      <c r="B365" s="1" t="s">
        <v>65</v>
      </c>
      <c r="C365" s="8" t="s">
        <v>61</v>
      </c>
      <c r="D365" s="8" t="s">
        <v>66</v>
      </c>
      <c r="E365" s="8" t="s">
        <v>2</v>
      </c>
      <c r="F365" s="8">
        <v>0</v>
      </c>
      <c r="G365" s="2">
        <v>66300</v>
      </c>
      <c r="H365" s="1">
        <v>0</v>
      </c>
      <c r="I365" s="8" t="s">
        <v>8</v>
      </c>
      <c r="J365" s="1">
        <v>18</v>
      </c>
      <c r="K365" s="1" t="s">
        <v>14</v>
      </c>
      <c r="L365" s="1" t="s">
        <v>49</v>
      </c>
      <c r="M365" s="1" t="s">
        <v>39</v>
      </c>
      <c r="N365" s="10">
        <v>42045</v>
      </c>
      <c r="O365" s="3">
        <v>2243.0479999999998</v>
      </c>
      <c r="P365" s="15">
        <f>IF(Table1[[#This Row],[Amount Spent]]&gt;3500, 3500,Table1[[#This Row],[Amount Spent]])</f>
        <v>2243.0479999999998</v>
      </c>
    </row>
    <row r="366" spans="1:16" x14ac:dyDescent="0.35">
      <c r="A366" s="9">
        <v>366</v>
      </c>
      <c r="B366" s="4" t="s">
        <v>64</v>
      </c>
      <c r="C366" s="9" t="s">
        <v>61</v>
      </c>
      <c r="D366" s="9" t="s">
        <v>58</v>
      </c>
      <c r="E366" s="9" t="s">
        <v>2</v>
      </c>
      <c r="F366" s="9">
        <v>1</v>
      </c>
      <c r="G366" s="5">
        <v>96300</v>
      </c>
      <c r="H366" s="4">
        <v>1</v>
      </c>
      <c r="I366" s="9" t="s">
        <v>69</v>
      </c>
      <c r="J366" s="4">
        <v>24</v>
      </c>
      <c r="K366" s="4" t="s">
        <v>15</v>
      </c>
      <c r="L366" s="4" t="s">
        <v>52</v>
      </c>
      <c r="M366" s="4" t="s">
        <v>30</v>
      </c>
      <c r="N366" s="10">
        <v>40883</v>
      </c>
      <c r="O366" s="6">
        <v>1909.1679999999999</v>
      </c>
      <c r="P366" s="15">
        <f>IF(Table1[[#This Row],[Amount Spent]]&gt;3500, 3500,Table1[[#This Row],[Amount Spent]])</f>
        <v>1909.1679999999999</v>
      </c>
    </row>
    <row r="367" spans="1:16" x14ac:dyDescent="0.35">
      <c r="A367" s="8">
        <v>367</v>
      </c>
      <c r="B367" s="1" t="s">
        <v>64</v>
      </c>
      <c r="C367" s="8" t="s">
        <v>61</v>
      </c>
      <c r="D367" s="8" t="s">
        <v>66</v>
      </c>
      <c r="E367" s="8" t="s">
        <v>70</v>
      </c>
      <c r="F367" s="8">
        <v>0</v>
      </c>
      <c r="G367" s="2">
        <v>55800</v>
      </c>
      <c r="H367" s="1">
        <v>1</v>
      </c>
      <c r="I367" s="8" t="s">
        <v>8</v>
      </c>
      <c r="J367" s="1">
        <v>6</v>
      </c>
      <c r="K367" s="1" t="s">
        <v>14</v>
      </c>
      <c r="L367" s="1" t="s">
        <v>49</v>
      </c>
      <c r="M367" s="1" t="s">
        <v>39</v>
      </c>
      <c r="N367" s="10">
        <v>42243</v>
      </c>
      <c r="O367" s="3">
        <v>820.97199999999998</v>
      </c>
      <c r="P367" s="15">
        <f>IF(Table1[[#This Row],[Amount Spent]]&gt;3500, 3500,Table1[[#This Row],[Amount Spent]])</f>
        <v>820.97199999999998</v>
      </c>
    </row>
    <row r="368" spans="1:16" x14ac:dyDescent="0.35">
      <c r="A368" s="9">
        <v>368</v>
      </c>
      <c r="B368" s="4" t="s">
        <v>64</v>
      </c>
      <c r="C368" s="9" t="s">
        <v>61</v>
      </c>
      <c r="D368" s="9" t="s">
        <v>66</v>
      </c>
      <c r="E368" s="9" t="s">
        <v>2</v>
      </c>
      <c r="F368" s="9">
        <v>1</v>
      </c>
      <c r="G368" s="5">
        <v>63500</v>
      </c>
      <c r="H368" s="4">
        <v>2</v>
      </c>
      <c r="I368" s="9" t="s">
        <v>8</v>
      </c>
      <c r="J368" s="4">
        <v>24</v>
      </c>
      <c r="K368" s="4" t="s">
        <v>13</v>
      </c>
      <c r="L368" s="4" t="s">
        <v>45</v>
      </c>
      <c r="M368" s="4" t="s">
        <v>26</v>
      </c>
      <c r="N368" s="10">
        <v>42017</v>
      </c>
      <c r="O368" s="6">
        <v>2321.2440000000001</v>
      </c>
      <c r="P368" s="15">
        <f>IF(Table1[[#This Row],[Amount Spent]]&gt;3500, 3500,Table1[[#This Row],[Amount Spent]])</f>
        <v>2321.2440000000001</v>
      </c>
    </row>
    <row r="369" spans="1:16" x14ac:dyDescent="0.35">
      <c r="A369" s="8">
        <v>369</v>
      </c>
      <c r="B369" s="1" t="s">
        <v>64</v>
      </c>
      <c r="C369" s="8" t="s">
        <v>61</v>
      </c>
      <c r="D369" s="8" t="s">
        <v>58</v>
      </c>
      <c r="E369" s="8" t="s">
        <v>2</v>
      </c>
      <c r="F369" s="8">
        <v>0</v>
      </c>
      <c r="G369" s="2">
        <v>113400</v>
      </c>
      <c r="H369" s="1">
        <v>3</v>
      </c>
      <c r="I369" s="8" t="s">
        <v>69</v>
      </c>
      <c r="J369" s="1">
        <v>18</v>
      </c>
      <c r="K369" s="1" t="s">
        <v>13</v>
      </c>
      <c r="L369" s="1" t="s">
        <v>48</v>
      </c>
      <c r="M369" s="1" t="s">
        <v>27</v>
      </c>
      <c r="N369" s="10">
        <v>41968</v>
      </c>
      <c r="O369" s="3">
        <v>1790.4010000000001</v>
      </c>
      <c r="P369" s="15">
        <f>IF(Table1[[#This Row],[Amount Spent]]&gt;3500, 3500,Table1[[#This Row],[Amount Spent]])</f>
        <v>1790.4010000000001</v>
      </c>
    </row>
    <row r="370" spans="1:16" x14ac:dyDescent="0.35">
      <c r="A370" s="9">
        <v>370</v>
      </c>
      <c r="B370" s="4" t="s">
        <v>63</v>
      </c>
      <c r="C370" s="9" t="s">
        <v>62</v>
      </c>
      <c r="D370" s="9" t="s">
        <v>66</v>
      </c>
      <c r="E370" s="9" t="s">
        <v>70</v>
      </c>
      <c r="F370" s="9">
        <v>1</v>
      </c>
      <c r="G370" s="5">
        <v>14200</v>
      </c>
      <c r="H370" s="4">
        <v>0</v>
      </c>
      <c r="I370" s="9" t="s">
        <v>8</v>
      </c>
      <c r="J370" s="4">
        <v>6</v>
      </c>
      <c r="K370" s="4" t="s">
        <v>12</v>
      </c>
      <c r="L370" s="4" t="s">
        <v>47</v>
      </c>
      <c r="M370" s="4" t="s">
        <v>18</v>
      </c>
      <c r="N370" s="10">
        <v>42101</v>
      </c>
      <c r="O370" s="6">
        <v>191.60900000000001</v>
      </c>
      <c r="P370" s="15">
        <f>IF(Table1[[#This Row],[Amount Spent]]&gt;3500, 3500,Table1[[#This Row],[Amount Spent]])</f>
        <v>191.60900000000001</v>
      </c>
    </row>
    <row r="371" spans="1:16" x14ac:dyDescent="0.35">
      <c r="A371" s="8">
        <v>371</v>
      </c>
      <c r="B371" s="1" t="s">
        <v>63</v>
      </c>
      <c r="C371" s="8" t="s">
        <v>61</v>
      </c>
      <c r="D371" s="8" t="s">
        <v>66</v>
      </c>
      <c r="E371" s="8" t="s">
        <v>2</v>
      </c>
      <c r="F371" s="8">
        <v>1</v>
      </c>
      <c r="G371" s="2">
        <v>41500</v>
      </c>
      <c r="H371" s="1">
        <v>0</v>
      </c>
      <c r="I371" s="8" t="s">
        <v>8</v>
      </c>
      <c r="J371" s="1">
        <v>24</v>
      </c>
      <c r="K371" s="1" t="s">
        <v>12</v>
      </c>
      <c r="L371" s="1" t="s">
        <v>47</v>
      </c>
      <c r="M371" s="1" t="s">
        <v>18</v>
      </c>
      <c r="N371" s="10">
        <v>42192</v>
      </c>
      <c r="O371" s="3">
        <v>1212.5940000000001</v>
      </c>
      <c r="P371" s="15">
        <f>IF(Table1[[#This Row],[Amount Spent]]&gt;3500, 3500,Table1[[#This Row],[Amount Spent]])</f>
        <v>1212.5940000000001</v>
      </c>
    </row>
    <row r="372" spans="1:16" x14ac:dyDescent="0.35">
      <c r="A372" s="9">
        <v>372</v>
      </c>
      <c r="B372" s="4" t="s">
        <v>64</v>
      </c>
      <c r="C372" s="9" t="s">
        <v>61</v>
      </c>
      <c r="D372" s="9" t="s">
        <v>58</v>
      </c>
      <c r="E372" s="9" t="s">
        <v>2</v>
      </c>
      <c r="F372" s="9">
        <v>1</v>
      </c>
      <c r="G372" s="5">
        <v>82500</v>
      </c>
      <c r="H372" s="4">
        <v>0</v>
      </c>
      <c r="I372" s="9" t="s">
        <v>69</v>
      </c>
      <c r="J372" s="4">
        <v>6</v>
      </c>
      <c r="K372" s="4" t="s">
        <v>13</v>
      </c>
      <c r="L372" s="4" t="s">
        <v>48</v>
      </c>
      <c r="M372" s="4" t="s">
        <v>27</v>
      </c>
      <c r="N372" s="10">
        <v>42172</v>
      </c>
      <c r="O372" s="6">
        <v>859.42600000000004</v>
      </c>
      <c r="P372" s="15">
        <f>IF(Table1[[#This Row],[Amount Spent]]&gt;3500, 3500,Table1[[#This Row],[Amount Spent]])</f>
        <v>859.42600000000004</v>
      </c>
    </row>
    <row r="373" spans="1:16" x14ac:dyDescent="0.35">
      <c r="A373" s="8">
        <v>373</v>
      </c>
      <c r="B373" s="1" t="s">
        <v>64</v>
      </c>
      <c r="C373" s="8" t="s">
        <v>61</v>
      </c>
      <c r="D373" s="8" t="s">
        <v>58</v>
      </c>
      <c r="E373" s="8" t="s">
        <v>2</v>
      </c>
      <c r="F373" s="8">
        <v>1</v>
      </c>
      <c r="G373" s="2">
        <v>85600</v>
      </c>
      <c r="H373" s="1">
        <v>1</v>
      </c>
      <c r="I373" s="8" t="s">
        <v>69</v>
      </c>
      <c r="J373" s="1">
        <v>18</v>
      </c>
      <c r="K373" s="1" t="s">
        <v>14</v>
      </c>
      <c r="L373" s="1" t="s">
        <v>40</v>
      </c>
      <c r="M373" s="1" t="s">
        <v>37</v>
      </c>
      <c r="N373" s="10">
        <v>41328</v>
      </c>
      <c r="O373" s="3">
        <v>2435.6660000000002</v>
      </c>
      <c r="P373" s="15">
        <f>IF(Table1[[#This Row],[Amount Spent]]&gt;3500, 3500,Table1[[#This Row],[Amount Spent]])</f>
        <v>2435.6660000000002</v>
      </c>
    </row>
    <row r="374" spans="1:16" x14ac:dyDescent="0.35">
      <c r="A374" s="9">
        <v>374</v>
      </c>
      <c r="B374" s="4" t="s">
        <v>63</v>
      </c>
      <c r="C374" s="9" t="s">
        <v>62</v>
      </c>
      <c r="D374" s="9" t="s">
        <v>66</v>
      </c>
      <c r="E374" s="9" t="s">
        <v>70</v>
      </c>
      <c r="F374" s="9">
        <v>0</v>
      </c>
      <c r="G374" s="5">
        <v>18400</v>
      </c>
      <c r="H374" s="4">
        <v>1</v>
      </c>
      <c r="I374" s="9" t="s">
        <v>67</v>
      </c>
      <c r="J374" s="4">
        <v>6</v>
      </c>
      <c r="K374" s="4" t="s">
        <v>12</v>
      </c>
      <c r="L374" s="4" t="s">
        <v>47</v>
      </c>
      <c r="M374" s="4" t="s">
        <v>18</v>
      </c>
      <c r="N374" s="10">
        <v>41664</v>
      </c>
      <c r="O374" s="6">
        <v>319.18700000000001</v>
      </c>
      <c r="P374" s="15">
        <f>IF(Table1[[#This Row],[Amount Spent]]&gt;3500, 3500,Table1[[#This Row],[Amount Spent]])</f>
        <v>319.18700000000001</v>
      </c>
    </row>
    <row r="375" spans="1:16" x14ac:dyDescent="0.35">
      <c r="A375" s="8">
        <v>375</v>
      </c>
      <c r="B375" s="1" t="s">
        <v>65</v>
      </c>
      <c r="C375" s="8" t="s">
        <v>62</v>
      </c>
      <c r="D375" s="8" t="s">
        <v>58</v>
      </c>
      <c r="E375" s="8" t="s">
        <v>2</v>
      </c>
      <c r="F375" s="8">
        <v>1</v>
      </c>
      <c r="G375" s="2">
        <v>62600</v>
      </c>
      <c r="H375" s="1">
        <v>0</v>
      </c>
      <c r="I375" s="8" t="s">
        <v>69</v>
      </c>
      <c r="J375" s="1">
        <v>6</v>
      </c>
      <c r="K375" s="1" t="s">
        <v>14</v>
      </c>
      <c r="L375" s="1" t="s">
        <v>40</v>
      </c>
      <c r="M375" s="1" t="s">
        <v>37</v>
      </c>
      <c r="N375" s="10">
        <v>42196</v>
      </c>
      <c r="O375" s="3">
        <v>565.26499999999999</v>
      </c>
      <c r="P375" s="15">
        <f>IF(Table1[[#This Row],[Amount Spent]]&gt;3500, 3500,Table1[[#This Row],[Amount Spent]])</f>
        <v>565.26499999999999</v>
      </c>
    </row>
    <row r="376" spans="1:16" x14ac:dyDescent="0.35">
      <c r="A376" s="9">
        <v>376</v>
      </c>
      <c r="B376" s="4" t="s">
        <v>63</v>
      </c>
      <c r="C376" s="9" t="s">
        <v>62</v>
      </c>
      <c r="D376" s="9" t="s">
        <v>66</v>
      </c>
      <c r="E376" s="9" t="s">
        <v>70</v>
      </c>
      <c r="F376" s="9">
        <v>0</v>
      </c>
      <c r="G376" s="5">
        <v>13800</v>
      </c>
      <c r="H376" s="4">
        <v>3</v>
      </c>
      <c r="I376" s="9" t="s">
        <v>67</v>
      </c>
      <c r="J376" s="4">
        <v>6</v>
      </c>
      <c r="K376" s="4" t="s">
        <v>13</v>
      </c>
      <c r="L376" s="4" t="s">
        <v>43</v>
      </c>
      <c r="M376" s="4" t="s">
        <v>23</v>
      </c>
      <c r="N376" s="10">
        <v>39987</v>
      </c>
      <c r="O376" s="6">
        <v>127.25700000000001</v>
      </c>
      <c r="P376" s="15">
        <f>IF(Table1[[#This Row],[Amount Spent]]&gt;3500, 3500,Table1[[#This Row],[Amount Spent]])</f>
        <v>127.25700000000001</v>
      </c>
    </row>
    <row r="377" spans="1:16" x14ac:dyDescent="0.35">
      <c r="A377" s="8">
        <v>377</v>
      </c>
      <c r="B377" s="1" t="s">
        <v>64</v>
      </c>
      <c r="C377" s="8" t="s">
        <v>61</v>
      </c>
      <c r="D377" s="8" t="s">
        <v>58</v>
      </c>
      <c r="E377" s="8" t="s">
        <v>70</v>
      </c>
      <c r="F377" s="8">
        <v>1</v>
      </c>
      <c r="G377" s="2">
        <v>60300</v>
      </c>
      <c r="H377" s="1">
        <v>0</v>
      </c>
      <c r="I377" s="8" t="s">
        <v>69</v>
      </c>
      <c r="J377" s="1">
        <v>24</v>
      </c>
      <c r="K377" s="1" t="s">
        <v>14</v>
      </c>
      <c r="L377" s="1" t="s">
        <v>40</v>
      </c>
      <c r="M377" s="1" t="s">
        <v>36</v>
      </c>
      <c r="N377" s="10">
        <v>42194</v>
      </c>
      <c r="O377" s="3">
        <v>1263.126</v>
      </c>
      <c r="P377" s="15">
        <f>IF(Table1[[#This Row],[Amount Spent]]&gt;3500, 3500,Table1[[#This Row],[Amount Spent]])</f>
        <v>1263.126</v>
      </c>
    </row>
    <row r="378" spans="1:16" x14ac:dyDescent="0.35">
      <c r="A378" s="9">
        <v>378</v>
      </c>
      <c r="B378" s="4" t="s">
        <v>63</v>
      </c>
      <c r="C378" s="9" t="s">
        <v>61</v>
      </c>
      <c r="D378" s="9" t="s">
        <v>58</v>
      </c>
      <c r="E378" s="9" t="s">
        <v>70</v>
      </c>
      <c r="F378" s="9">
        <v>1</v>
      </c>
      <c r="G378" s="5">
        <v>31500</v>
      </c>
      <c r="H378" s="4">
        <v>3</v>
      </c>
      <c r="I378" s="9" t="s">
        <v>67</v>
      </c>
      <c r="J378" s="4">
        <v>18</v>
      </c>
      <c r="K378" s="4" t="s">
        <v>15</v>
      </c>
      <c r="L378" s="4" t="s">
        <v>42</v>
      </c>
      <c r="M378" s="4" t="s">
        <v>32</v>
      </c>
      <c r="N378" s="10">
        <v>40824</v>
      </c>
      <c r="O378" s="6">
        <v>269.30399999999997</v>
      </c>
      <c r="P378" s="15">
        <f>IF(Table1[[#This Row],[Amount Spent]]&gt;3500, 3500,Table1[[#This Row],[Amount Spent]])</f>
        <v>269.30399999999997</v>
      </c>
    </row>
    <row r="379" spans="1:16" x14ac:dyDescent="0.35">
      <c r="A379" s="8">
        <v>379</v>
      </c>
      <c r="B379" s="1" t="s">
        <v>65</v>
      </c>
      <c r="C379" s="8" t="s">
        <v>62</v>
      </c>
      <c r="D379" s="8" t="s">
        <v>58</v>
      </c>
      <c r="E379" s="8" t="s">
        <v>2</v>
      </c>
      <c r="F379" s="8">
        <v>1</v>
      </c>
      <c r="G379" s="2">
        <v>111500</v>
      </c>
      <c r="H379" s="1">
        <v>0</v>
      </c>
      <c r="I379" s="8" t="s">
        <v>69</v>
      </c>
      <c r="J379" s="1">
        <v>18</v>
      </c>
      <c r="K379" s="1" t="s">
        <v>14</v>
      </c>
      <c r="L379" s="1" t="s">
        <v>51</v>
      </c>
      <c r="M379" s="1" t="s">
        <v>38</v>
      </c>
      <c r="N379" s="10">
        <v>40617</v>
      </c>
      <c r="O379" s="3">
        <v>2510.02</v>
      </c>
      <c r="P379" s="15">
        <f>IF(Table1[[#This Row],[Amount Spent]]&gt;3500, 3500,Table1[[#This Row],[Amount Spent]])</f>
        <v>2510.02</v>
      </c>
    </row>
    <row r="380" spans="1:16" x14ac:dyDescent="0.35">
      <c r="A380" s="9">
        <v>380</v>
      </c>
      <c r="B380" s="4" t="s">
        <v>64</v>
      </c>
      <c r="C380" s="9" t="s">
        <v>61</v>
      </c>
      <c r="D380" s="9" t="s">
        <v>58</v>
      </c>
      <c r="E380" s="9" t="s">
        <v>70</v>
      </c>
      <c r="F380" s="9">
        <v>1</v>
      </c>
      <c r="G380" s="5">
        <v>67900</v>
      </c>
      <c r="H380" s="4">
        <v>0</v>
      </c>
      <c r="I380" s="9" t="s">
        <v>69</v>
      </c>
      <c r="J380" s="4">
        <v>18</v>
      </c>
      <c r="K380" s="4" t="s">
        <v>14</v>
      </c>
      <c r="L380" s="4" t="s">
        <v>49</v>
      </c>
      <c r="M380" s="4" t="s">
        <v>39</v>
      </c>
      <c r="N380" s="10">
        <v>42179</v>
      </c>
      <c r="O380" s="6">
        <v>1418.346</v>
      </c>
      <c r="P380" s="15">
        <f>IF(Table1[[#This Row],[Amount Spent]]&gt;3500, 3500,Table1[[#This Row],[Amount Spent]])</f>
        <v>1418.346</v>
      </c>
    </row>
    <row r="381" spans="1:16" x14ac:dyDescent="0.35">
      <c r="A381" s="8">
        <v>381</v>
      </c>
      <c r="B381" s="1" t="s">
        <v>63</v>
      </c>
      <c r="C381" s="8" t="s">
        <v>61</v>
      </c>
      <c r="D381" s="8" t="s">
        <v>66</v>
      </c>
      <c r="E381" s="8" t="s">
        <v>70</v>
      </c>
      <c r="F381" s="8">
        <v>1</v>
      </c>
      <c r="G381" s="2">
        <v>29200</v>
      </c>
      <c r="H381" s="1">
        <v>0</v>
      </c>
      <c r="I381" s="8" t="s">
        <v>67</v>
      </c>
      <c r="J381" s="1">
        <v>18</v>
      </c>
      <c r="K381" s="1" t="s">
        <v>12</v>
      </c>
      <c r="L381" s="1" t="s">
        <v>54</v>
      </c>
      <c r="M381" s="1" t="s">
        <v>21</v>
      </c>
      <c r="N381" s="10">
        <v>41261</v>
      </c>
      <c r="O381" s="3">
        <v>737.4</v>
      </c>
      <c r="P381" s="15">
        <f>IF(Table1[[#This Row],[Amount Spent]]&gt;3500, 3500,Table1[[#This Row],[Amount Spent]])</f>
        <v>737.4</v>
      </c>
    </row>
    <row r="382" spans="1:16" x14ac:dyDescent="0.35">
      <c r="A382" s="9">
        <v>382</v>
      </c>
      <c r="B382" s="4" t="s">
        <v>65</v>
      </c>
      <c r="C382" s="9" t="s">
        <v>61</v>
      </c>
      <c r="D382" s="9" t="s">
        <v>58</v>
      </c>
      <c r="E382" s="9" t="s">
        <v>2</v>
      </c>
      <c r="F382" s="9">
        <v>1</v>
      </c>
      <c r="G382" s="5">
        <v>84500</v>
      </c>
      <c r="H382" s="4">
        <v>0</v>
      </c>
      <c r="I382" s="9" t="s">
        <v>8</v>
      </c>
      <c r="J382" s="4">
        <v>12</v>
      </c>
      <c r="K382" s="4" t="s">
        <v>13</v>
      </c>
      <c r="L382" s="4" t="s">
        <v>45</v>
      </c>
      <c r="M382" s="4" t="s">
        <v>26</v>
      </c>
      <c r="N382" s="10">
        <v>42226</v>
      </c>
      <c r="O382" s="6">
        <v>1557.0250000000001</v>
      </c>
      <c r="P382" s="15">
        <f>IF(Table1[[#This Row],[Amount Spent]]&gt;3500, 3500,Table1[[#This Row],[Amount Spent]])</f>
        <v>1557.0250000000001</v>
      </c>
    </row>
    <row r="383" spans="1:16" x14ac:dyDescent="0.35">
      <c r="A383" s="8">
        <v>383</v>
      </c>
      <c r="B383" s="1" t="s">
        <v>64</v>
      </c>
      <c r="C383" s="8" t="s">
        <v>61</v>
      </c>
      <c r="D383" s="8" t="s">
        <v>58</v>
      </c>
      <c r="E383" s="8" t="s">
        <v>2</v>
      </c>
      <c r="F383" s="8">
        <v>1</v>
      </c>
      <c r="G383" s="2">
        <v>84700</v>
      </c>
      <c r="H383" s="1">
        <v>3</v>
      </c>
      <c r="I383" s="8" t="s">
        <v>8</v>
      </c>
      <c r="J383" s="1">
        <v>24</v>
      </c>
      <c r="K383" s="1" t="s">
        <v>15</v>
      </c>
      <c r="L383" s="1" t="s">
        <v>42</v>
      </c>
      <c r="M383" s="1" t="s">
        <v>32</v>
      </c>
      <c r="N383" s="10">
        <v>42109</v>
      </c>
      <c r="O383" s="3">
        <v>2704.53</v>
      </c>
      <c r="P383" s="15">
        <f>IF(Table1[[#This Row],[Amount Spent]]&gt;3500, 3500,Table1[[#This Row],[Amount Spent]])</f>
        <v>2704.53</v>
      </c>
    </row>
    <row r="384" spans="1:16" x14ac:dyDescent="0.35">
      <c r="A384" s="9">
        <v>384</v>
      </c>
      <c r="B384" s="4" t="s">
        <v>63</v>
      </c>
      <c r="C384" s="9" t="s">
        <v>61</v>
      </c>
      <c r="D384" s="9" t="s">
        <v>66</v>
      </c>
      <c r="E384" s="9" t="s">
        <v>2</v>
      </c>
      <c r="F384" s="9">
        <v>0</v>
      </c>
      <c r="G384" s="5">
        <v>67300</v>
      </c>
      <c r="H384" s="4">
        <v>3</v>
      </c>
      <c r="I384" s="9" t="s">
        <v>8</v>
      </c>
      <c r="J384" s="4">
        <v>6</v>
      </c>
      <c r="K384" s="4" t="s">
        <v>15</v>
      </c>
      <c r="L384" s="4" t="s">
        <v>42</v>
      </c>
      <c r="M384" s="4" t="s">
        <v>32</v>
      </c>
      <c r="N384" s="10">
        <v>42203</v>
      </c>
      <c r="O384" s="6">
        <v>1211.953</v>
      </c>
      <c r="P384" s="15">
        <f>IF(Table1[[#This Row],[Amount Spent]]&gt;3500, 3500,Table1[[#This Row],[Amount Spent]])</f>
        <v>1211.953</v>
      </c>
    </row>
    <row r="385" spans="1:16" x14ac:dyDescent="0.35">
      <c r="A385" s="8">
        <v>385</v>
      </c>
      <c r="B385" s="1" t="s">
        <v>64</v>
      </c>
      <c r="C385" s="8" t="s">
        <v>61</v>
      </c>
      <c r="D385" s="8" t="s">
        <v>66</v>
      </c>
      <c r="E385" s="8" t="s">
        <v>70</v>
      </c>
      <c r="F385" s="8">
        <v>0</v>
      </c>
      <c r="G385" s="2">
        <v>51100</v>
      </c>
      <c r="H385" s="1">
        <v>0</v>
      </c>
      <c r="I385" s="8" t="s">
        <v>69</v>
      </c>
      <c r="J385" s="1">
        <v>24</v>
      </c>
      <c r="K385" s="1" t="s">
        <v>12</v>
      </c>
      <c r="L385" s="1" t="s">
        <v>47</v>
      </c>
      <c r="M385" s="1" t="s">
        <v>18</v>
      </c>
      <c r="N385" s="10">
        <v>41202</v>
      </c>
      <c r="O385" s="3">
        <v>1983.5609999999999</v>
      </c>
      <c r="P385" s="15">
        <f>IF(Table1[[#This Row],[Amount Spent]]&gt;3500, 3500,Table1[[#This Row],[Amount Spent]])</f>
        <v>1983.5609999999999</v>
      </c>
    </row>
    <row r="386" spans="1:16" x14ac:dyDescent="0.35">
      <c r="A386" s="9">
        <v>386</v>
      </c>
      <c r="B386" s="4" t="s">
        <v>63</v>
      </c>
      <c r="C386" s="9" t="s">
        <v>61</v>
      </c>
      <c r="D386" s="9" t="s">
        <v>66</v>
      </c>
      <c r="E386" s="9" t="s">
        <v>70</v>
      </c>
      <c r="F386" s="9">
        <v>1</v>
      </c>
      <c r="G386" s="5">
        <v>23500</v>
      </c>
      <c r="H386" s="4">
        <v>0</v>
      </c>
      <c r="I386" s="9" t="s">
        <v>67</v>
      </c>
      <c r="J386" s="4">
        <v>12</v>
      </c>
      <c r="K386" s="4" t="s">
        <v>12</v>
      </c>
      <c r="L386" s="4" t="s">
        <v>47</v>
      </c>
      <c r="M386" s="4" t="s">
        <v>16</v>
      </c>
      <c r="N386" s="10">
        <v>41323</v>
      </c>
      <c r="O386" s="6">
        <v>371.30500000000001</v>
      </c>
      <c r="P386" s="15">
        <f>IF(Table1[[#This Row],[Amount Spent]]&gt;3500, 3500,Table1[[#This Row],[Amount Spent]])</f>
        <v>371.30500000000001</v>
      </c>
    </row>
    <row r="387" spans="1:16" x14ac:dyDescent="0.35">
      <c r="A387" s="8">
        <v>387</v>
      </c>
      <c r="B387" s="1" t="s">
        <v>63</v>
      </c>
      <c r="C387" s="8" t="s">
        <v>61</v>
      </c>
      <c r="D387" s="8" t="s">
        <v>66</v>
      </c>
      <c r="E387" s="8" t="s">
        <v>70</v>
      </c>
      <c r="F387" s="8">
        <v>1</v>
      </c>
      <c r="G387" s="2">
        <v>21300</v>
      </c>
      <c r="H387" s="1">
        <v>1</v>
      </c>
      <c r="I387" s="8" t="s">
        <v>8</v>
      </c>
      <c r="J387" s="1">
        <v>12</v>
      </c>
      <c r="K387" s="1" t="s">
        <v>12</v>
      </c>
      <c r="L387" s="1" t="s">
        <v>55</v>
      </c>
      <c r="M387" s="1" t="s">
        <v>17</v>
      </c>
      <c r="N387" s="10">
        <v>42102</v>
      </c>
      <c r="O387" s="3">
        <v>329.13400000000001</v>
      </c>
      <c r="P387" s="15">
        <f>IF(Table1[[#This Row],[Amount Spent]]&gt;3500, 3500,Table1[[#This Row],[Amount Spent]])</f>
        <v>329.13400000000001</v>
      </c>
    </row>
    <row r="388" spans="1:16" x14ac:dyDescent="0.35">
      <c r="A388" s="9">
        <v>388</v>
      </c>
      <c r="B388" s="4" t="s">
        <v>64</v>
      </c>
      <c r="C388" s="9" t="s">
        <v>61</v>
      </c>
      <c r="D388" s="9" t="s">
        <v>58</v>
      </c>
      <c r="E388" s="9" t="s">
        <v>2</v>
      </c>
      <c r="F388" s="9">
        <v>1</v>
      </c>
      <c r="G388" s="5">
        <v>90100</v>
      </c>
      <c r="H388" s="4">
        <v>0</v>
      </c>
      <c r="I388" s="9" t="s">
        <v>69</v>
      </c>
      <c r="J388" s="4">
        <v>18</v>
      </c>
      <c r="K388" s="4" t="s">
        <v>13</v>
      </c>
      <c r="L388" s="4" t="s">
        <v>46</v>
      </c>
      <c r="M388" s="4" t="s">
        <v>22</v>
      </c>
      <c r="N388" s="10">
        <v>41687</v>
      </c>
      <c r="O388" s="6">
        <v>1956.2809999999999</v>
      </c>
      <c r="P388" s="15">
        <f>IF(Table1[[#This Row],[Amount Spent]]&gt;3500, 3500,Table1[[#This Row],[Amount Spent]])</f>
        <v>1956.2809999999999</v>
      </c>
    </row>
    <row r="389" spans="1:16" x14ac:dyDescent="0.35">
      <c r="A389" s="8">
        <v>389</v>
      </c>
      <c r="B389" s="1" t="s">
        <v>64</v>
      </c>
      <c r="C389" s="8" t="s">
        <v>61</v>
      </c>
      <c r="D389" s="8" t="s">
        <v>58</v>
      </c>
      <c r="E389" s="8" t="s">
        <v>2</v>
      </c>
      <c r="F389" s="8">
        <v>0</v>
      </c>
      <c r="G389" s="2">
        <v>84300</v>
      </c>
      <c r="H389" s="1">
        <v>2</v>
      </c>
      <c r="I389" s="8" t="s">
        <v>69</v>
      </c>
      <c r="J389" s="1">
        <v>18</v>
      </c>
      <c r="K389" s="1" t="s">
        <v>15</v>
      </c>
      <c r="L389" s="1" t="s">
        <v>42</v>
      </c>
      <c r="M389" s="1" t="s">
        <v>32</v>
      </c>
      <c r="N389" s="10">
        <v>40910</v>
      </c>
      <c r="O389" s="3">
        <v>1648.4369999999999</v>
      </c>
      <c r="P389" s="15">
        <f>IF(Table1[[#This Row],[Amount Spent]]&gt;3500, 3500,Table1[[#This Row],[Amount Spent]])</f>
        <v>1648.4369999999999</v>
      </c>
    </row>
    <row r="390" spans="1:16" x14ac:dyDescent="0.35">
      <c r="A390" s="9">
        <v>390</v>
      </c>
      <c r="B390" s="4" t="s">
        <v>63</v>
      </c>
      <c r="C390" s="9" t="s">
        <v>62</v>
      </c>
      <c r="D390" s="9" t="s">
        <v>66</v>
      </c>
      <c r="E390" s="9" t="s">
        <v>70</v>
      </c>
      <c r="F390" s="9">
        <v>0</v>
      </c>
      <c r="G390" s="5">
        <v>13200</v>
      </c>
      <c r="H390" s="4">
        <v>0</v>
      </c>
      <c r="I390" s="9" t="s">
        <v>8</v>
      </c>
      <c r="J390" s="4">
        <v>18</v>
      </c>
      <c r="K390" s="4" t="s">
        <v>13</v>
      </c>
      <c r="L390" s="4" t="s">
        <v>42</v>
      </c>
      <c r="M390" s="4" t="s">
        <v>25</v>
      </c>
      <c r="N390" s="10">
        <v>42079</v>
      </c>
      <c r="O390" s="6">
        <v>511.76100000000002</v>
      </c>
      <c r="P390" s="15">
        <f>IF(Table1[[#This Row],[Amount Spent]]&gt;3500, 3500,Table1[[#This Row],[Amount Spent]])</f>
        <v>511.76100000000002</v>
      </c>
    </row>
    <row r="391" spans="1:16" x14ac:dyDescent="0.35">
      <c r="A391" s="8">
        <v>391</v>
      </c>
      <c r="B391" s="1" t="s">
        <v>63</v>
      </c>
      <c r="C391" s="8" t="s">
        <v>62</v>
      </c>
      <c r="D391" s="8" t="s">
        <v>66</v>
      </c>
      <c r="E391" s="8" t="s">
        <v>70</v>
      </c>
      <c r="F391" s="8">
        <v>1</v>
      </c>
      <c r="G391" s="2">
        <v>22100</v>
      </c>
      <c r="H391" s="1">
        <v>2</v>
      </c>
      <c r="I391" s="8" t="s">
        <v>67</v>
      </c>
      <c r="J391" s="1">
        <v>18</v>
      </c>
      <c r="K391" s="1" t="s">
        <v>14</v>
      </c>
      <c r="L391" s="1" t="s">
        <v>51</v>
      </c>
      <c r="M391" s="1" t="s">
        <v>38</v>
      </c>
      <c r="N391" s="10">
        <v>40507</v>
      </c>
      <c r="O391" s="3">
        <v>280.38099999999997</v>
      </c>
      <c r="P391" s="15">
        <f>IF(Table1[[#This Row],[Amount Spent]]&gt;3500, 3500,Table1[[#This Row],[Amount Spent]])</f>
        <v>280.38099999999997</v>
      </c>
    </row>
    <row r="392" spans="1:16" x14ac:dyDescent="0.35">
      <c r="A392" s="9">
        <v>392</v>
      </c>
      <c r="B392" s="4" t="s">
        <v>64</v>
      </c>
      <c r="C392" s="9" t="s">
        <v>61</v>
      </c>
      <c r="D392" s="9" t="s">
        <v>58</v>
      </c>
      <c r="E392" s="9" t="s">
        <v>2</v>
      </c>
      <c r="F392" s="9">
        <v>1</v>
      </c>
      <c r="G392" s="5">
        <v>53700</v>
      </c>
      <c r="H392" s="4">
        <v>1</v>
      </c>
      <c r="I392" s="9" t="s">
        <v>8</v>
      </c>
      <c r="J392" s="4">
        <v>12</v>
      </c>
      <c r="K392" s="4" t="s">
        <v>12</v>
      </c>
      <c r="L392" s="4" t="s">
        <v>47</v>
      </c>
      <c r="M392" s="4" t="s">
        <v>16</v>
      </c>
      <c r="N392" s="10">
        <v>42077</v>
      </c>
      <c r="O392" s="6">
        <v>1080.982</v>
      </c>
      <c r="P392" s="15">
        <f>IF(Table1[[#This Row],[Amount Spent]]&gt;3500, 3500,Table1[[#This Row],[Amount Spent]])</f>
        <v>1080.982</v>
      </c>
    </row>
    <row r="393" spans="1:16" x14ac:dyDescent="0.35">
      <c r="A393" s="8">
        <v>393</v>
      </c>
      <c r="B393" s="1" t="s">
        <v>64</v>
      </c>
      <c r="C393" s="8" t="s">
        <v>61</v>
      </c>
      <c r="D393" s="8" t="s">
        <v>66</v>
      </c>
      <c r="E393" s="8" t="s">
        <v>70</v>
      </c>
      <c r="F393" s="8">
        <v>0</v>
      </c>
      <c r="G393" s="2">
        <v>38700</v>
      </c>
      <c r="H393" s="1">
        <v>1</v>
      </c>
      <c r="I393" s="8" t="s">
        <v>68</v>
      </c>
      <c r="J393" s="1">
        <v>18</v>
      </c>
      <c r="K393" s="1" t="s">
        <v>12</v>
      </c>
      <c r="L393" s="1" t="s">
        <v>47</v>
      </c>
      <c r="M393" s="1" t="s">
        <v>16</v>
      </c>
      <c r="N393" s="10">
        <v>40332</v>
      </c>
      <c r="O393" s="3">
        <v>1009.45</v>
      </c>
      <c r="P393" s="15">
        <f>IF(Table1[[#This Row],[Amount Spent]]&gt;3500, 3500,Table1[[#This Row],[Amount Spent]])</f>
        <v>1009.45</v>
      </c>
    </row>
    <row r="394" spans="1:16" x14ac:dyDescent="0.35">
      <c r="A394" s="9">
        <v>394</v>
      </c>
      <c r="B394" s="4" t="s">
        <v>64</v>
      </c>
      <c r="C394" s="9" t="s">
        <v>62</v>
      </c>
      <c r="D394" s="9" t="s">
        <v>58</v>
      </c>
      <c r="E394" s="9" t="s">
        <v>70</v>
      </c>
      <c r="F394" s="9">
        <v>1</v>
      </c>
      <c r="G394" s="5">
        <v>35200</v>
      </c>
      <c r="H394" s="4">
        <v>2</v>
      </c>
      <c r="I394" s="9" t="s">
        <v>67</v>
      </c>
      <c r="J394" s="4">
        <v>6</v>
      </c>
      <c r="K394" s="4" t="s">
        <v>14</v>
      </c>
      <c r="L394" s="4" t="s">
        <v>40</v>
      </c>
      <c r="M394" s="4" t="s">
        <v>37</v>
      </c>
      <c r="N394" s="10">
        <v>40535</v>
      </c>
      <c r="O394" s="6">
        <v>232.88200000000001</v>
      </c>
      <c r="P394" s="15">
        <f>IF(Table1[[#This Row],[Amount Spent]]&gt;3500, 3500,Table1[[#This Row],[Amount Spent]])</f>
        <v>232.88200000000001</v>
      </c>
    </row>
    <row r="395" spans="1:16" x14ac:dyDescent="0.35">
      <c r="A395" s="8">
        <v>395</v>
      </c>
      <c r="B395" s="1" t="s">
        <v>64</v>
      </c>
      <c r="C395" s="8" t="s">
        <v>61</v>
      </c>
      <c r="D395" s="8" t="s">
        <v>58</v>
      </c>
      <c r="E395" s="8" t="s">
        <v>2</v>
      </c>
      <c r="F395" s="8">
        <v>0</v>
      </c>
      <c r="G395" s="2">
        <v>113300</v>
      </c>
      <c r="H395" s="1">
        <v>1</v>
      </c>
      <c r="I395" s="8" t="s">
        <v>69</v>
      </c>
      <c r="J395" s="1">
        <v>18</v>
      </c>
      <c r="K395" s="1" t="s">
        <v>12</v>
      </c>
      <c r="L395" s="1" t="s">
        <v>53</v>
      </c>
      <c r="M395" s="1" t="s">
        <v>19</v>
      </c>
      <c r="N395" s="10">
        <v>41290</v>
      </c>
      <c r="O395" s="3">
        <v>5151.4309999999996</v>
      </c>
      <c r="P395" s="15">
        <f>IF(Table1[[#This Row],[Amount Spent]]&gt;3500, 3500,Table1[[#This Row],[Amount Spent]])</f>
        <v>3500</v>
      </c>
    </row>
    <row r="396" spans="1:16" x14ac:dyDescent="0.35">
      <c r="A396" s="9">
        <v>396</v>
      </c>
      <c r="B396" s="4" t="s">
        <v>64</v>
      </c>
      <c r="C396" s="9" t="s">
        <v>61</v>
      </c>
      <c r="D396" s="9" t="s">
        <v>66</v>
      </c>
      <c r="E396" s="9" t="s">
        <v>2</v>
      </c>
      <c r="F396" s="9">
        <v>1</v>
      </c>
      <c r="G396" s="5">
        <v>105600</v>
      </c>
      <c r="H396" s="4">
        <v>3</v>
      </c>
      <c r="I396" s="9" t="s">
        <v>67</v>
      </c>
      <c r="J396" s="4">
        <v>6</v>
      </c>
      <c r="K396" s="4" t="s">
        <v>14</v>
      </c>
      <c r="L396" s="4" t="s">
        <v>50</v>
      </c>
      <c r="M396" s="4" t="s">
        <v>35</v>
      </c>
      <c r="N396" s="10">
        <v>42044</v>
      </c>
      <c r="O396" s="6">
        <v>304.20100000000002</v>
      </c>
      <c r="P396" s="15">
        <f>IF(Table1[[#This Row],[Amount Spent]]&gt;3500, 3500,Table1[[#This Row],[Amount Spent]])</f>
        <v>304.20100000000002</v>
      </c>
    </row>
    <row r="397" spans="1:16" x14ac:dyDescent="0.35">
      <c r="A397" s="8">
        <v>397</v>
      </c>
      <c r="B397" s="1" t="s">
        <v>65</v>
      </c>
      <c r="C397" s="8" t="s">
        <v>62</v>
      </c>
      <c r="D397" s="8" t="s">
        <v>58</v>
      </c>
      <c r="E397" s="8" t="s">
        <v>2</v>
      </c>
      <c r="F397" s="8">
        <v>1</v>
      </c>
      <c r="G397" s="2">
        <v>74700</v>
      </c>
      <c r="H397" s="1">
        <v>0</v>
      </c>
      <c r="I397" s="8" t="s">
        <v>69</v>
      </c>
      <c r="J397" s="1">
        <v>12</v>
      </c>
      <c r="K397" s="1" t="s">
        <v>15</v>
      </c>
      <c r="L397" s="1" t="s">
        <v>44</v>
      </c>
      <c r="M397" s="1" t="s">
        <v>29</v>
      </c>
      <c r="N397" s="10">
        <v>40794</v>
      </c>
      <c r="O397" s="3">
        <v>1698.873</v>
      </c>
      <c r="P397" s="15">
        <f>IF(Table1[[#This Row],[Amount Spent]]&gt;3500, 3500,Table1[[#This Row],[Amount Spent]])</f>
        <v>1698.873</v>
      </c>
    </row>
    <row r="398" spans="1:16" x14ac:dyDescent="0.35">
      <c r="A398" s="9">
        <v>398</v>
      </c>
      <c r="B398" s="4" t="s">
        <v>64</v>
      </c>
      <c r="C398" s="9" t="s">
        <v>62</v>
      </c>
      <c r="D398" s="9" t="s">
        <v>58</v>
      </c>
      <c r="E398" s="9" t="s">
        <v>70</v>
      </c>
      <c r="F398" s="9">
        <v>1</v>
      </c>
      <c r="G398" s="5">
        <v>60200</v>
      </c>
      <c r="H398" s="4">
        <v>1</v>
      </c>
      <c r="I398" s="9" t="s">
        <v>8</v>
      </c>
      <c r="J398" s="4">
        <v>12</v>
      </c>
      <c r="K398" s="4" t="s">
        <v>15</v>
      </c>
      <c r="L398" s="4" t="s">
        <v>44</v>
      </c>
      <c r="M398" s="4" t="s">
        <v>29</v>
      </c>
      <c r="N398" s="10">
        <v>42063</v>
      </c>
      <c r="O398" s="6">
        <v>1747.789</v>
      </c>
      <c r="P398" s="15">
        <f>IF(Table1[[#This Row],[Amount Spent]]&gt;3500, 3500,Table1[[#This Row],[Amount Spent]])</f>
        <v>1747.789</v>
      </c>
    </row>
    <row r="399" spans="1:16" x14ac:dyDescent="0.35">
      <c r="A399" s="8">
        <v>399</v>
      </c>
      <c r="B399" s="1" t="s">
        <v>63</v>
      </c>
      <c r="C399" s="8" t="s">
        <v>62</v>
      </c>
      <c r="D399" s="8" t="s">
        <v>66</v>
      </c>
      <c r="E399" s="8" t="s">
        <v>70</v>
      </c>
      <c r="F399" s="8">
        <v>1</v>
      </c>
      <c r="G399" s="2">
        <v>12000</v>
      </c>
      <c r="H399" s="1">
        <v>0</v>
      </c>
      <c r="I399" s="8" t="s">
        <v>67</v>
      </c>
      <c r="J399" s="1">
        <v>24</v>
      </c>
      <c r="K399" s="1" t="s">
        <v>13</v>
      </c>
      <c r="L399" s="1" t="s">
        <v>48</v>
      </c>
      <c r="M399" s="1" t="s">
        <v>27</v>
      </c>
      <c r="N399" s="10">
        <v>41135</v>
      </c>
      <c r="O399" s="3">
        <v>343.80399999999997</v>
      </c>
      <c r="P399" s="15">
        <f>IF(Table1[[#This Row],[Amount Spent]]&gt;3500, 3500,Table1[[#This Row],[Amount Spent]])</f>
        <v>343.80399999999997</v>
      </c>
    </row>
    <row r="400" spans="1:16" x14ac:dyDescent="0.35">
      <c r="A400" s="9">
        <v>400</v>
      </c>
      <c r="B400" s="4" t="s">
        <v>63</v>
      </c>
      <c r="C400" s="9" t="s">
        <v>62</v>
      </c>
      <c r="D400" s="9" t="s">
        <v>66</v>
      </c>
      <c r="E400" s="9" t="s">
        <v>70</v>
      </c>
      <c r="F400" s="9">
        <v>1</v>
      </c>
      <c r="G400" s="5">
        <v>16700</v>
      </c>
      <c r="H400" s="4">
        <v>2</v>
      </c>
      <c r="I400" s="9" t="s">
        <v>67</v>
      </c>
      <c r="J400" s="4">
        <v>12</v>
      </c>
      <c r="K400" s="4" t="s">
        <v>12</v>
      </c>
      <c r="L400" s="4" t="s">
        <v>47</v>
      </c>
      <c r="M400" s="4" t="s">
        <v>16</v>
      </c>
      <c r="N400" s="10">
        <v>40009</v>
      </c>
      <c r="O400" s="6">
        <v>108.051</v>
      </c>
      <c r="P400" s="15">
        <f>IF(Table1[[#This Row],[Amount Spent]]&gt;3500, 3500,Table1[[#This Row],[Amount Spent]])</f>
        <v>108.051</v>
      </c>
    </row>
    <row r="401" spans="1:16" x14ac:dyDescent="0.35">
      <c r="A401" s="8">
        <v>401</v>
      </c>
      <c r="B401" s="1" t="s">
        <v>64</v>
      </c>
      <c r="C401" s="8" t="s">
        <v>62</v>
      </c>
      <c r="D401" s="8" t="s">
        <v>58</v>
      </c>
      <c r="E401" s="8" t="s">
        <v>70</v>
      </c>
      <c r="F401" s="8">
        <v>1</v>
      </c>
      <c r="G401" s="2">
        <v>46100</v>
      </c>
      <c r="H401" s="1">
        <v>2</v>
      </c>
      <c r="I401" s="8" t="s">
        <v>67</v>
      </c>
      <c r="J401" s="1">
        <v>12</v>
      </c>
      <c r="K401" s="1" t="s">
        <v>15</v>
      </c>
      <c r="L401" s="1" t="s">
        <v>28</v>
      </c>
      <c r="M401" s="1" t="s">
        <v>28</v>
      </c>
      <c r="N401" s="10">
        <v>41420</v>
      </c>
      <c r="O401" s="3">
        <v>418.435</v>
      </c>
      <c r="P401" s="15">
        <f>IF(Table1[[#This Row],[Amount Spent]]&gt;3500, 3500,Table1[[#This Row],[Amount Spent]])</f>
        <v>418.435</v>
      </c>
    </row>
    <row r="402" spans="1:16" x14ac:dyDescent="0.35">
      <c r="A402" s="9">
        <v>402</v>
      </c>
      <c r="B402" s="4" t="s">
        <v>64</v>
      </c>
      <c r="C402" s="9" t="s">
        <v>61</v>
      </c>
      <c r="D402" s="9" t="s">
        <v>58</v>
      </c>
      <c r="E402" s="9" t="s">
        <v>2</v>
      </c>
      <c r="F402" s="9">
        <v>0</v>
      </c>
      <c r="G402" s="5">
        <v>103700</v>
      </c>
      <c r="H402" s="4">
        <v>1</v>
      </c>
      <c r="I402" s="9" t="s">
        <v>69</v>
      </c>
      <c r="J402" s="4">
        <v>24</v>
      </c>
      <c r="K402" s="4" t="s">
        <v>14</v>
      </c>
      <c r="L402" s="4" t="s">
        <v>40</v>
      </c>
      <c r="M402" s="4" t="s">
        <v>37</v>
      </c>
      <c r="N402" s="10">
        <v>41926</v>
      </c>
      <c r="O402" s="6">
        <v>2338.933</v>
      </c>
      <c r="P402" s="15">
        <f>IF(Table1[[#This Row],[Amount Spent]]&gt;3500, 3500,Table1[[#This Row],[Amount Spent]])</f>
        <v>2338.933</v>
      </c>
    </row>
    <row r="403" spans="1:16" x14ac:dyDescent="0.35">
      <c r="A403" s="8">
        <v>403</v>
      </c>
      <c r="B403" s="1" t="s">
        <v>64</v>
      </c>
      <c r="C403" s="8" t="s">
        <v>61</v>
      </c>
      <c r="D403" s="8" t="s">
        <v>66</v>
      </c>
      <c r="E403" s="8" t="s">
        <v>70</v>
      </c>
      <c r="F403" s="8">
        <v>1</v>
      </c>
      <c r="G403" s="2">
        <v>63800</v>
      </c>
      <c r="H403" s="1">
        <v>1</v>
      </c>
      <c r="I403" s="8" t="s">
        <v>68</v>
      </c>
      <c r="J403" s="1">
        <v>24</v>
      </c>
      <c r="K403" s="1" t="s">
        <v>12</v>
      </c>
      <c r="L403" s="1" t="s">
        <v>55</v>
      </c>
      <c r="M403" s="1" t="s">
        <v>17</v>
      </c>
      <c r="N403" s="10">
        <v>41066</v>
      </c>
      <c r="O403" s="3">
        <v>1621.6320000000001</v>
      </c>
      <c r="P403" s="15">
        <f>IF(Table1[[#This Row],[Amount Spent]]&gt;3500, 3500,Table1[[#This Row],[Amount Spent]])</f>
        <v>1621.6320000000001</v>
      </c>
    </row>
    <row r="404" spans="1:16" x14ac:dyDescent="0.35">
      <c r="A404" s="9">
        <v>404</v>
      </c>
      <c r="B404" s="4" t="s">
        <v>64</v>
      </c>
      <c r="C404" s="9" t="s">
        <v>62</v>
      </c>
      <c r="D404" s="9" t="s">
        <v>58</v>
      </c>
      <c r="E404" s="9" t="s">
        <v>2</v>
      </c>
      <c r="F404" s="9">
        <v>1</v>
      </c>
      <c r="G404" s="5">
        <v>65400</v>
      </c>
      <c r="H404" s="4">
        <v>2</v>
      </c>
      <c r="I404" s="9" t="s">
        <v>68</v>
      </c>
      <c r="J404" s="4">
        <v>24</v>
      </c>
      <c r="K404" s="4" t="s">
        <v>12</v>
      </c>
      <c r="L404" s="4" t="s">
        <v>47</v>
      </c>
      <c r="M404" s="4" t="s">
        <v>18</v>
      </c>
      <c r="N404" s="10">
        <v>41656</v>
      </c>
      <c r="O404" s="6">
        <v>937.76199999999994</v>
      </c>
      <c r="P404" s="15">
        <f>IF(Table1[[#This Row],[Amount Spent]]&gt;3500, 3500,Table1[[#This Row],[Amount Spent]])</f>
        <v>937.76199999999994</v>
      </c>
    </row>
    <row r="405" spans="1:16" x14ac:dyDescent="0.35">
      <c r="A405" s="8">
        <v>405</v>
      </c>
      <c r="B405" s="1" t="s">
        <v>64</v>
      </c>
      <c r="C405" s="8" t="s">
        <v>61</v>
      </c>
      <c r="D405" s="8" t="s">
        <v>58</v>
      </c>
      <c r="E405" s="8" t="s">
        <v>70</v>
      </c>
      <c r="F405" s="8">
        <v>1</v>
      </c>
      <c r="G405" s="2">
        <v>49900</v>
      </c>
      <c r="H405" s="1">
        <v>1</v>
      </c>
      <c r="I405" s="8" t="s">
        <v>8</v>
      </c>
      <c r="J405" s="1">
        <v>24</v>
      </c>
      <c r="K405" s="1" t="s">
        <v>15</v>
      </c>
      <c r="L405" s="1" t="s">
        <v>52</v>
      </c>
      <c r="M405" s="1" t="s">
        <v>30</v>
      </c>
      <c r="N405" s="10">
        <v>42199</v>
      </c>
      <c r="O405" s="3">
        <v>1630.84</v>
      </c>
      <c r="P405" s="15">
        <f>IF(Table1[[#This Row],[Amount Spent]]&gt;3500, 3500,Table1[[#This Row],[Amount Spent]])</f>
        <v>1630.84</v>
      </c>
    </row>
    <row r="406" spans="1:16" x14ac:dyDescent="0.35">
      <c r="A406" s="9">
        <v>406</v>
      </c>
      <c r="B406" s="4" t="s">
        <v>64</v>
      </c>
      <c r="C406" s="9" t="s">
        <v>61</v>
      </c>
      <c r="D406" s="9" t="s">
        <v>58</v>
      </c>
      <c r="E406" s="9" t="s">
        <v>2</v>
      </c>
      <c r="F406" s="9">
        <v>1</v>
      </c>
      <c r="G406" s="5">
        <v>64300</v>
      </c>
      <c r="H406" s="4">
        <v>2</v>
      </c>
      <c r="I406" s="9" t="s">
        <v>68</v>
      </c>
      <c r="J406" s="4">
        <v>6</v>
      </c>
      <c r="K406" s="4" t="s">
        <v>15</v>
      </c>
      <c r="L406" s="4" t="s">
        <v>28</v>
      </c>
      <c r="M406" s="4" t="s">
        <v>33</v>
      </c>
      <c r="N406" s="10">
        <v>40518</v>
      </c>
      <c r="O406" s="6">
        <v>661.11900000000003</v>
      </c>
      <c r="P406" s="15">
        <f>IF(Table1[[#This Row],[Amount Spent]]&gt;3500, 3500,Table1[[#This Row],[Amount Spent]])</f>
        <v>661.11900000000003</v>
      </c>
    </row>
    <row r="407" spans="1:16" x14ac:dyDescent="0.35">
      <c r="A407" s="8">
        <v>407</v>
      </c>
      <c r="B407" s="1" t="s">
        <v>64</v>
      </c>
      <c r="C407" s="8" t="s">
        <v>61</v>
      </c>
      <c r="D407" s="8" t="s">
        <v>58</v>
      </c>
      <c r="E407" s="8" t="s">
        <v>70</v>
      </c>
      <c r="F407" s="8">
        <v>0</v>
      </c>
      <c r="G407" s="2">
        <v>59600</v>
      </c>
      <c r="H407" s="1">
        <v>2</v>
      </c>
      <c r="I407" s="8" t="s">
        <v>68</v>
      </c>
      <c r="J407" s="1">
        <v>18</v>
      </c>
      <c r="K407" s="1" t="s">
        <v>13</v>
      </c>
      <c r="L407" s="1" t="s">
        <v>56</v>
      </c>
      <c r="M407" s="1" t="s">
        <v>24</v>
      </c>
      <c r="N407" s="10">
        <v>42169</v>
      </c>
      <c r="O407" s="3">
        <v>1216.682</v>
      </c>
      <c r="P407" s="15">
        <f>IF(Table1[[#This Row],[Amount Spent]]&gt;3500, 3500,Table1[[#This Row],[Amount Spent]])</f>
        <v>1216.682</v>
      </c>
    </row>
    <row r="408" spans="1:16" x14ac:dyDescent="0.35">
      <c r="A408" s="9">
        <v>408</v>
      </c>
      <c r="B408" s="4" t="s">
        <v>64</v>
      </c>
      <c r="C408" s="9" t="s">
        <v>62</v>
      </c>
      <c r="D408" s="9" t="s">
        <v>58</v>
      </c>
      <c r="E408" s="9" t="s">
        <v>70</v>
      </c>
      <c r="F408" s="9">
        <v>1</v>
      </c>
      <c r="G408" s="5">
        <v>45100</v>
      </c>
      <c r="H408" s="4">
        <v>1</v>
      </c>
      <c r="I408" s="9" t="s">
        <v>68</v>
      </c>
      <c r="J408" s="4">
        <v>12</v>
      </c>
      <c r="K408" s="4" t="s">
        <v>13</v>
      </c>
      <c r="L408" s="4" t="s">
        <v>42</v>
      </c>
      <c r="M408" s="4" t="s">
        <v>25</v>
      </c>
      <c r="N408" s="10">
        <v>40932</v>
      </c>
      <c r="O408" s="6">
        <v>448.39400000000001</v>
      </c>
      <c r="P408" s="15">
        <f>IF(Table1[[#This Row],[Amount Spent]]&gt;3500, 3500,Table1[[#This Row],[Amount Spent]])</f>
        <v>448.39400000000001</v>
      </c>
    </row>
    <row r="409" spans="1:16" x14ac:dyDescent="0.35">
      <c r="A409" s="8">
        <v>409</v>
      </c>
      <c r="B409" s="1" t="s">
        <v>64</v>
      </c>
      <c r="C409" s="8" t="s">
        <v>62</v>
      </c>
      <c r="D409" s="8" t="s">
        <v>66</v>
      </c>
      <c r="E409" s="8" t="s">
        <v>70</v>
      </c>
      <c r="F409" s="8">
        <v>1</v>
      </c>
      <c r="G409" s="2">
        <v>39900</v>
      </c>
      <c r="H409" s="1">
        <v>1</v>
      </c>
      <c r="I409" s="8" t="s">
        <v>67</v>
      </c>
      <c r="J409" s="1">
        <v>12</v>
      </c>
      <c r="K409" s="1" t="s">
        <v>12</v>
      </c>
      <c r="L409" s="1" t="s">
        <v>47</v>
      </c>
      <c r="M409" s="1" t="s">
        <v>18</v>
      </c>
      <c r="N409" s="10">
        <v>40980</v>
      </c>
      <c r="O409" s="3">
        <v>586.30999999999995</v>
      </c>
      <c r="P409" s="15">
        <f>IF(Table1[[#This Row],[Amount Spent]]&gt;3500, 3500,Table1[[#This Row],[Amount Spent]])</f>
        <v>586.30999999999995</v>
      </c>
    </row>
    <row r="410" spans="1:16" x14ac:dyDescent="0.35">
      <c r="A410" s="9">
        <v>410</v>
      </c>
      <c r="B410" s="4" t="s">
        <v>63</v>
      </c>
      <c r="C410" s="9" t="s">
        <v>61</v>
      </c>
      <c r="D410" s="9" t="s">
        <v>58</v>
      </c>
      <c r="E410" s="9" t="s">
        <v>70</v>
      </c>
      <c r="F410" s="9">
        <v>1</v>
      </c>
      <c r="G410" s="5">
        <v>33400</v>
      </c>
      <c r="H410" s="4">
        <v>0</v>
      </c>
      <c r="I410" s="9" t="s">
        <v>8</v>
      </c>
      <c r="J410" s="4">
        <v>12</v>
      </c>
      <c r="K410" s="4" t="s">
        <v>15</v>
      </c>
      <c r="L410" s="4" t="s">
        <v>42</v>
      </c>
      <c r="M410" s="4" t="s">
        <v>32</v>
      </c>
      <c r="N410" s="10">
        <v>42035</v>
      </c>
      <c r="O410" s="6">
        <v>567.13400000000001</v>
      </c>
      <c r="P410" s="15">
        <f>IF(Table1[[#This Row],[Amount Spent]]&gt;3500, 3500,Table1[[#This Row],[Amount Spent]])</f>
        <v>567.13400000000001</v>
      </c>
    </row>
    <row r="411" spans="1:16" x14ac:dyDescent="0.35">
      <c r="A411" s="8">
        <v>411</v>
      </c>
      <c r="B411" s="1" t="s">
        <v>64</v>
      </c>
      <c r="C411" s="8" t="s">
        <v>61</v>
      </c>
      <c r="D411" s="8" t="s">
        <v>58</v>
      </c>
      <c r="E411" s="8" t="s">
        <v>2</v>
      </c>
      <c r="F411" s="8">
        <v>1</v>
      </c>
      <c r="G411" s="2">
        <v>99600</v>
      </c>
      <c r="H411" s="1">
        <v>1</v>
      </c>
      <c r="I411" s="8" t="s">
        <v>69</v>
      </c>
      <c r="J411" s="1">
        <v>6</v>
      </c>
      <c r="K411" s="1" t="s">
        <v>12</v>
      </c>
      <c r="L411" s="1" t="s">
        <v>54</v>
      </c>
      <c r="M411" s="1" t="s">
        <v>21</v>
      </c>
      <c r="N411" s="10">
        <v>40057</v>
      </c>
      <c r="O411" s="3">
        <v>871.49099999999999</v>
      </c>
      <c r="P411" s="15">
        <f>IF(Table1[[#This Row],[Amount Spent]]&gt;3500, 3500,Table1[[#This Row],[Amount Spent]])</f>
        <v>871.49099999999999</v>
      </c>
    </row>
    <row r="412" spans="1:16" x14ac:dyDescent="0.35">
      <c r="A412" s="9">
        <v>412</v>
      </c>
      <c r="B412" s="4" t="s">
        <v>64</v>
      </c>
      <c r="C412" s="9" t="s">
        <v>61</v>
      </c>
      <c r="D412" s="9" t="s">
        <v>58</v>
      </c>
      <c r="E412" s="9" t="s">
        <v>70</v>
      </c>
      <c r="F412" s="9">
        <v>1</v>
      </c>
      <c r="G412" s="5">
        <v>58400</v>
      </c>
      <c r="H412" s="4">
        <v>0</v>
      </c>
      <c r="I412" s="9" t="s">
        <v>68</v>
      </c>
      <c r="J412" s="4">
        <v>12</v>
      </c>
      <c r="K412" s="4" t="s">
        <v>12</v>
      </c>
      <c r="L412" s="4" t="s">
        <v>47</v>
      </c>
      <c r="M412" s="4" t="s">
        <v>18</v>
      </c>
      <c r="N412" s="10">
        <v>41189</v>
      </c>
      <c r="O412" s="6">
        <v>829.33299999999997</v>
      </c>
      <c r="P412" s="15">
        <f>IF(Table1[[#This Row],[Amount Spent]]&gt;3500, 3500,Table1[[#This Row],[Amount Spent]])</f>
        <v>829.33299999999997</v>
      </c>
    </row>
    <row r="413" spans="1:16" x14ac:dyDescent="0.35">
      <c r="A413" s="8">
        <v>413</v>
      </c>
      <c r="B413" s="1" t="s">
        <v>64</v>
      </c>
      <c r="C413" s="8" t="s">
        <v>61</v>
      </c>
      <c r="D413" s="8" t="s">
        <v>66</v>
      </c>
      <c r="E413" s="8" t="s">
        <v>70</v>
      </c>
      <c r="F413" s="8">
        <v>1</v>
      </c>
      <c r="G413" s="2">
        <v>35100</v>
      </c>
      <c r="H413" s="1">
        <v>1</v>
      </c>
      <c r="I413" s="8" t="s">
        <v>67</v>
      </c>
      <c r="J413" s="1">
        <v>6</v>
      </c>
      <c r="K413" s="1" t="s">
        <v>13</v>
      </c>
      <c r="L413" s="1" t="s">
        <v>45</v>
      </c>
      <c r="M413" s="1" t="s">
        <v>26</v>
      </c>
      <c r="N413" s="10">
        <v>39949</v>
      </c>
      <c r="O413" s="3">
        <v>421.024</v>
      </c>
      <c r="P413" s="15">
        <f>IF(Table1[[#This Row],[Amount Spent]]&gt;3500, 3500,Table1[[#This Row],[Amount Spent]])</f>
        <v>421.024</v>
      </c>
    </row>
    <row r="414" spans="1:16" x14ac:dyDescent="0.35">
      <c r="A414" s="9">
        <v>414</v>
      </c>
      <c r="B414" s="4" t="s">
        <v>65</v>
      </c>
      <c r="C414" s="9" t="s">
        <v>61</v>
      </c>
      <c r="D414" s="9" t="s">
        <v>58</v>
      </c>
      <c r="E414" s="9" t="s">
        <v>70</v>
      </c>
      <c r="F414" s="9">
        <v>1</v>
      </c>
      <c r="G414" s="5">
        <v>53400</v>
      </c>
      <c r="H414" s="4">
        <v>1</v>
      </c>
      <c r="I414" s="9" t="s">
        <v>68</v>
      </c>
      <c r="J414" s="4">
        <v>12</v>
      </c>
      <c r="K414" s="4" t="s">
        <v>13</v>
      </c>
      <c r="L414" s="4" t="s">
        <v>45</v>
      </c>
      <c r="M414" s="4" t="s">
        <v>26</v>
      </c>
      <c r="N414" s="10">
        <v>40521</v>
      </c>
      <c r="O414" s="6">
        <v>885.89700000000005</v>
      </c>
      <c r="P414" s="15">
        <f>IF(Table1[[#This Row],[Amount Spent]]&gt;3500, 3500,Table1[[#This Row],[Amount Spent]])</f>
        <v>885.89700000000005</v>
      </c>
    </row>
    <row r="415" spans="1:16" x14ac:dyDescent="0.35">
      <c r="A415" s="8">
        <v>415</v>
      </c>
      <c r="B415" s="1" t="s">
        <v>64</v>
      </c>
      <c r="C415" s="8" t="s">
        <v>61</v>
      </c>
      <c r="D415" s="8" t="s">
        <v>58</v>
      </c>
      <c r="E415" s="8" t="s">
        <v>70</v>
      </c>
      <c r="F415" s="8">
        <v>1</v>
      </c>
      <c r="G415" s="2">
        <v>61600</v>
      </c>
      <c r="H415" s="1">
        <v>0</v>
      </c>
      <c r="I415" s="8" t="s">
        <v>8</v>
      </c>
      <c r="J415" s="1">
        <v>18</v>
      </c>
      <c r="K415" s="1" t="s">
        <v>13</v>
      </c>
      <c r="L415" s="1" t="s">
        <v>45</v>
      </c>
      <c r="M415" s="1" t="s">
        <v>26</v>
      </c>
      <c r="N415" s="10">
        <v>42057</v>
      </c>
      <c r="O415" s="3">
        <v>1666.471</v>
      </c>
      <c r="P415" s="15">
        <f>IF(Table1[[#This Row],[Amount Spent]]&gt;3500, 3500,Table1[[#This Row],[Amount Spent]])</f>
        <v>1666.471</v>
      </c>
    </row>
    <row r="416" spans="1:16" x14ac:dyDescent="0.35">
      <c r="A416" s="9">
        <v>416</v>
      </c>
      <c r="B416" s="4" t="s">
        <v>63</v>
      </c>
      <c r="C416" s="9" t="s">
        <v>62</v>
      </c>
      <c r="D416" s="9" t="s">
        <v>58</v>
      </c>
      <c r="E416" s="9" t="s">
        <v>70</v>
      </c>
      <c r="F416" s="9">
        <v>0</v>
      </c>
      <c r="G416" s="5">
        <v>21400</v>
      </c>
      <c r="H416" s="4">
        <v>3</v>
      </c>
      <c r="I416" s="9" t="s">
        <v>8</v>
      </c>
      <c r="J416" s="4">
        <v>6</v>
      </c>
      <c r="K416" s="4" t="s">
        <v>12</v>
      </c>
      <c r="L416" s="4" t="s">
        <v>47</v>
      </c>
      <c r="M416" s="4" t="s">
        <v>16</v>
      </c>
      <c r="N416" s="10">
        <v>42102</v>
      </c>
      <c r="O416" s="6">
        <v>326.3</v>
      </c>
      <c r="P416" s="15">
        <f>IF(Table1[[#This Row],[Amount Spent]]&gt;3500, 3500,Table1[[#This Row],[Amount Spent]])</f>
        <v>326.3</v>
      </c>
    </row>
    <row r="417" spans="1:16" x14ac:dyDescent="0.35">
      <c r="A417" s="8">
        <v>417</v>
      </c>
      <c r="B417" s="1" t="s">
        <v>63</v>
      </c>
      <c r="C417" s="8" t="s">
        <v>62</v>
      </c>
      <c r="D417" s="8" t="s">
        <v>66</v>
      </c>
      <c r="E417" s="8" t="s">
        <v>70</v>
      </c>
      <c r="F417" s="8">
        <v>0</v>
      </c>
      <c r="G417" s="2">
        <v>20000</v>
      </c>
      <c r="H417" s="1">
        <v>3</v>
      </c>
      <c r="I417" s="8" t="s">
        <v>67</v>
      </c>
      <c r="J417" s="1">
        <v>6</v>
      </c>
      <c r="K417" s="1" t="s">
        <v>12</v>
      </c>
      <c r="L417" s="1" t="s">
        <v>41</v>
      </c>
      <c r="M417" s="1" t="s">
        <v>20</v>
      </c>
      <c r="N417" s="10">
        <v>40077</v>
      </c>
      <c r="O417" s="3">
        <v>182.43199999999999</v>
      </c>
      <c r="P417" s="15">
        <f>IF(Table1[[#This Row],[Amount Spent]]&gt;3500, 3500,Table1[[#This Row],[Amount Spent]])</f>
        <v>182.43199999999999</v>
      </c>
    </row>
    <row r="418" spans="1:16" x14ac:dyDescent="0.35">
      <c r="A418" s="9">
        <v>418</v>
      </c>
      <c r="B418" s="4" t="s">
        <v>65</v>
      </c>
      <c r="C418" s="9" t="s">
        <v>62</v>
      </c>
      <c r="D418" s="9" t="s">
        <v>58</v>
      </c>
      <c r="E418" s="9" t="s">
        <v>70</v>
      </c>
      <c r="F418" s="9">
        <v>0</v>
      </c>
      <c r="G418" s="5">
        <v>32700</v>
      </c>
      <c r="H418" s="4">
        <v>0</v>
      </c>
      <c r="I418" s="9" t="s">
        <v>68</v>
      </c>
      <c r="J418" s="4">
        <v>24</v>
      </c>
      <c r="K418" s="4" t="s">
        <v>15</v>
      </c>
      <c r="L418" s="4" t="s">
        <v>42</v>
      </c>
      <c r="M418" s="4" t="s">
        <v>32</v>
      </c>
      <c r="N418" s="10">
        <v>40866</v>
      </c>
      <c r="O418" s="6">
        <v>1251.7909999999999</v>
      </c>
      <c r="P418" s="15">
        <f>IF(Table1[[#This Row],[Amount Spent]]&gt;3500, 3500,Table1[[#This Row],[Amount Spent]])</f>
        <v>1251.7909999999999</v>
      </c>
    </row>
    <row r="419" spans="1:16" x14ac:dyDescent="0.35">
      <c r="A419" s="8">
        <v>419</v>
      </c>
      <c r="B419" s="1" t="s">
        <v>64</v>
      </c>
      <c r="C419" s="8" t="s">
        <v>62</v>
      </c>
      <c r="D419" s="8" t="s">
        <v>58</v>
      </c>
      <c r="E419" s="8" t="s">
        <v>2</v>
      </c>
      <c r="F419" s="8">
        <v>0</v>
      </c>
      <c r="G419" s="2">
        <v>99200</v>
      </c>
      <c r="H419" s="1">
        <v>0</v>
      </c>
      <c r="I419" s="8" t="s">
        <v>69</v>
      </c>
      <c r="J419" s="1">
        <v>24</v>
      </c>
      <c r="K419" s="1" t="s">
        <v>13</v>
      </c>
      <c r="L419" s="1" t="s">
        <v>56</v>
      </c>
      <c r="M419" s="1" t="s">
        <v>24</v>
      </c>
      <c r="N419" s="10">
        <v>41269</v>
      </c>
      <c r="O419" s="3">
        <v>5503.3950000000004</v>
      </c>
      <c r="P419" s="15">
        <f>IF(Table1[[#This Row],[Amount Spent]]&gt;3500, 3500,Table1[[#This Row],[Amount Spent]])</f>
        <v>3500</v>
      </c>
    </row>
    <row r="420" spans="1:16" x14ac:dyDescent="0.35">
      <c r="A420" s="9">
        <v>420</v>
      </c>
      <c r="B420" s="4" t="s">
        <v>64</v>
      </c>
      <c r="C420" s="9" t="s">
        <v>61</v>
      </c>
      <c r="D420" s="9" t="s">
        <v>58</v>
      </c>
      <c r="E420" s="9" t="s">
        <v>2</v>
      </c>
      <c r="F420" s="9">
        <v>1</v>
      </c>
      <c r="G420" s="5">
        <v>109600</v>
      </c>
      <c r="H420" s="4">
        <v>1</v>
      </c>
      <c r="I420" s="9" t="s">
        <v>69</v>
      </c>
      <c r="J420" s="4">
        <v>12</v>
      </c>
      <c r="K420" s="4" t="s">
        <v>14</v>
      </c>
      <c r="L420" s="4" t="s">
        <v>50</v>
      </c>
      <c r="M420" s="4" t="s">
        <v>35</v>
      </c>
      <c r="N420" s="10">
        <v>42052</v>
      </c>
      <c r="O420" s="6">
        <v>2317.5540000000001</v>
      </c>
      <c r="P420" s="15">
        <f>IF(Table1[[#This Row],[Amount Spent]]&gt;3500, 3500,Table1[[#This Row],[Amount Spent]])</f>
        <v>2317.5540000000001</v>
      </c>
    </row>
    <row r="421" spans="1:16" x14ac:dyDescent="0.35">
      <c r="A421" s="8">
        <v>421</v>
      </c>
      <c r="B421" s="1" t="s">
        <v>65</v>
      </c>
      <c r="C421" s="8" t="s">
        <v>62</v>
      </c>
      <c r="D421" s="8" t="s">
        <v>58</v>
      </c>
      <c r="E421" s="8" t="s">
        <v>2</v>
      </c>
      <c r="F421" s="8">
        <v>0</v>
      </c>
      <c r="G421" s="2">
        <v>22800</v>
      </c>
      <c r="H421" s="1">
        <v>0</v>
      </c>
      <c r="I421" s="8" t="s">
        <v>8</v>
      </c>
      <c r="J421" s="1">
        <v>12</v>
      </c>
      <c r="K421" s="1" t="s">
        <v>15</v>
      </c>
      <c r="L421" s="1" t="s">
        <v>42</v>
      </c>
      <c r="M421" s="1" t="s">
        <v>32</v>
      </c>
      <c r="N421" s="10">
        <v>42062</v>
      </c>
      <c r="O421" s="3">
        <v>451.779</v>
      </c>
      <c r="P421" s="15">
        <f>IF(Table1[[#This Row],[Amount Spent]]&gt;3500, 3500,Table1[[#This Row],[Amount Spent]])</f>
        <v>451.779</v>
      </c>
    </row>
    <row r="422" spans="1:16" x14ac:dyDescent="0.35">
      <c r="A422" s="9">
        <v>422</v>
      </c>
      <c r="B422" s="4" t="s">
        <v>65</v>
      </c>
      <c r="C422" s="9" t="s">
        <v>61</v>
      </c>
      <c r="D422" s="9" t="s">
        <v>58</v>
      </c>
      <c r="E422" s="9" t="s">
        <v>2</v>
      </c>
      <c r="F422" s="9">
        <v>0</v>
      </c>
      <c r="G422" s="5">
        <v>76900</v>
      </c>
      <c r="H422" s="4">
        <v>2</v>
      </c>
      <c r="I422" s="9" t="s">
        <v>69</v>
      </c>
      <c r="J422" s="4">
        <v>24</v>
      </c>
      <c r="K422" s="4" t="s">
        <v>15</v>
      </c>
      <c r="L422" s="4" t="s">
        <v>52</v>
      </c>
      <c r="M422" s="4" t="s">
        <v>31</v>
      </c>
      <c r="N422" s="10">
        <v>41103</v>
      </c>
      <c r="O422" s="6">
        <v>3229.5010000000002</v>
      </c>
      <c r="P422" s="15">
        <f>IF(Table1[[#This Row],[Amount Spent]]&gt;3500, 3500,Table1[[#This Row],[Amount Spent]])</f>
        <v>3229.5010000000002</v>
      </c>
    </row>
    <row r="423" spans="1:16" x14ac:dyDescent="0.35">
      <c r="A423" s="8">
        <v>423</v>
      </c>
      <c r="B423" s="1" t="s">
        <v>64</v>
      </c>
      <c r="C423" s="8" t="s">
        <v>62</v>
      </c>
      <c r="D423" s="8" t="s">
        <v>66</v>
      </c>
      <c r="E423" s="8" t="s">
        <v>2</v>
      </c>
      <c r="F423" s="8">
        <v>1</v>
      </c>
      <c r="G423" s="2">
        <v>97400</v>
      </c>
      <c r="H423" s="1">
        <v>3</v>
      </c>
      <c r="I423" s="8" t="s">
        <v>67</v>
      </c>
      <c r="J423" s="1">
        <v>6</v>
      </c>
      <c r="K423" s="1" t="s">
        <v>15</v>
      </c>
      <c r="L423" s="1" t="s">
        <v>42</v>
      </c>
      <c r="M423" s="1" t="s">
        <v>32</v>
      </c>
      <c r="N423" s="10">
        <v>41565</v>
      </c>
      <c r="O423" s="3">
        <v>212.709</v>
      </c>
      <c r="P423" s="15">
        <f>IF(Table1[[#This Row],[Amount Spent]]&gt;3500, 3500,Table1[[#This Row],[Amount Spent]])</f>
        <v>212.709</v>
      </c>
    </row>
    <row r="424" spans="1:16" x14ac:dyDescent="0.35">
      <c r="A424" s="9">
        <v>424</v>
      </c>
      <c r="B424" s="4" t="s">
        <v>64</v>
      </c>
      <c r="C424" s="9" t="s">
        <v>61</v>
      </c>
      <c r="D424" s="9" t="s">
        <v>66</v>
      </c>
      <c r="E424" s="9" t="s">
        <v>70</v>
      </c>
      <c r="F424" s="9">
        <v>1</v>
      </c>
      <c r="G424" s="5">
        <v>43700</v>
      </c>
      <c r="H424" s="4">
        <v>0</v>
      </c>
      <c r="I424" s="9" t="s">
        <v>8</v>
      </c>
      <c r="J424" s="4">
        <v>18</v>
      </c>
      <c r="K424" s="4" t="s">
        <v>12</v>
      </c>
      <c r="L424" s="4" t="s">
        <v>53</v>
      </c>
      <c r="M424" s="4" t="s">
        <v>19</v>
      </c>
      <c r="N424" s="10">
        <v>42101</v>
      </c>
      <c r="O424" s="6">
        <v>1343.6469999999999</v>
      </c>
      <c r="P424" s="15">
        <f>IF(Table1[[#This Row],[Amount Spent]]&gt;3500, 3500,Table1[[#This Row],[Amount Spent]])</f>
        <v>1343.6469999999999</v>
      </c>
    </row>
    <row r="425" spans="1:16" x14ac:dyDescent="0.35">
      <c r="A425" s="8">
        <v>425</v>
      </c>
      <c r="B425" s="1" t="s">
        <v>64</v>
      </c>
      <c r="C425" s="8" t="s">
        <v>62</v>
      </c>
      <c r="D425" s="8" t="s">
        <v>58</v>
      </c>
      <c r="E425" s="8" t="s">
        <v>70</v>
      </c>
      <c r="F425" s="8">
        <v>1</v>
      </c>
      <c r="G425" s="2">
        <v>49600</v>
      </c>
      <c r="H425" s="1">
        <v>1</v>
      </c>
      <c r="I425" s="8" t="s">
        <v>68</v>
      </c>
      <c r="J425" s="1">
        <v>12</v>
      </c>
      <c r="K425" s="1" t="s">
        <v>13</v>
      </c>
      <c r="L425" s="1" t="s">
        <v>45</v>
      </c>
      <c r="M425" s="1" t="s">
        <v>26</v>
      </c>
      <c r="N425" s="10">
        <v>42232</v>
      </c>
      <c r="O425" s="3">
        <v>844.452</v>
      </c>
      <c r="P425" s="15">
        <f>IF(Table1[[#This Row],[Amount Spent]]&gt;3500, 3500,Table1[[#This Row],[Amount Spent]])</f>
        <v>844.452</v>
      </c>
    </row>
    <row r="426" spans="1:16" x14ac:dyDescent="0.35">
      <c r="A426" s="9">
        <v>426</v>
      </c>
      <c r="B426" s="4" t="s">
        <v>65</v>
      </c>
      <c r="C426" s="9" t="s">
        <v>61</v>
      </c>
      <c r="D426" s="9" t="s">
        <v>58</v>
      </c>
      <c r="E426" s="9" t="s">
        <v>70</v>
      </c>
      <c r="F426" s="9">
        <v>1</v>
      </c>
      <c r="G426" s="5">
        <v>71300</v>
      </c>
      <c r="H426" s="4">
        <v>0</v>
      </c>
      <c r="I426" s="9" t="s">
        <v>69</v>
      </c>
      <c r="J426" s="4">
        <v>18</v>
      </c>
      <c r="K426" s="4" t="s">
        <v>12</v>
      </c>
      <c r="L426" s="4" t="s">
        <v>53</v>
      </c>
      <c r="M426" s="4" t="s">
        <v>19</v>
      </c>
      <c r="N426" s="10">
        <v>41067</v>
      </c>
      <c r="O426" s="6">
        <v>1542.5650000000001</v>
      </c>
      <c r="P426" s="15">
        <f>IF(Table1[[#This Row],[Amount Spent]]&gt;3500, 3500,Table1[[#This Row],[Amount Spent]])</f>
        <v>1542.5650000000001</v>
      </c>
    </row>
    <row r="427" spans="1:16" x14ac:dyDescent="0.35">
      <c r="A427" s="8">
        <v>427</v>
      </c>
      <c r="B427" s="1" t="s">
        <v>65</v>
      </c>
      <c r="C427" s="8" t="s">
        <v>62</v>
      </c>
      <c r="D427" s="8" t="s">
        <v>58</v>
      </c>
      <c r="E427" s="8" t="s">
        <v>2</v>
      </c>
      <c r="F427" s="8">
        <v>1</v>
      </c>
      <c r="G427" s="2">
        <v>10100</v>
      </c>
      <c r="H427" s="1">
        <v>1</v>
      </c>
      <c r="I427" s="8" t="s">
        <v>67</v>
      </c>
      <c r="J427" s="1">
        <v>6</v>
      </c>
      <c r="K427" s="1" t="s">
        <v>12</v>
      </c>
      <c r="L427" s="1" t="s">
        <v>54</v>
      </c>
      <c r="M427" s="1" t="s">
        <v>21</v>
      </c>
      <c r="N427" s="10">
        <v>40305</v>
      </c>
      <c r="O427" s="3">
        <v>93.447999999999993</v>
      </c>
      <c r="P427" s="15">
        <f>IF(Table1[[#This Row],[Amount Spent]]&gt;3500, 3500,Table1[[#This Row],[Amount Spent]])</f>
        <v>93.447999999999993</v>
      </c>
    </row>
    <row r="428" spans="1:16" x14ac:dyDescent="0.35">
      <c r="A428" s="9">
        <v>428</v>
      </c>
      <c r="B428" s="4" t="s">
        <v>64</v>
      </c>
      <c r="C428" s="9" t="s">
        <v>62</v>
      </c>
      <c r="D428" s="9" t="s">
        <v>58</v>
      </c>
      <c r="E428" s="9" t="s">
        <v>70</v>
      </c>
      <c r="F428" s="9">
        <v>1</v>
      </c>
      <c r="G428" s="5">
        <v>35800</v>
      </c>
      <c r="H428" s="4">
        <v>1</v>
      </c>
      <c r="I428" s="9" t="s">
        <v>8</v>
      </c>
      <c r="J428" s="4">
        <v>24</v>
      </c>
      <c r="K428" s="4" t="s">
        <v>13</v>
      </c>
      <c r="L428" s="4" t="s">
        <v>56</v>
      </c>
      <c r="M428" s="4" t="s">
        <v>24</v>
      </c>
      <c r="N428" s="10">
        <v>42185</v>
      </c>
      <c r="O428" s="6">
        <v>1355.154</v>
      </c>
      <c r="P428" s="15">
        <f>IF(Table1[[#This Row],[Amount Spent]]&gt;3500, 3500,Table1[[#This Row],[Amount Spent]])</f>
        <v>1355.154</v>
      </c>
    </row>
    <row r="429" spans="1:16" x14ac:dyDescent="0.35">
      <c r="A429" s="8">
        <v>429</v>
      </c>
      <c r="B429" s="1" t="s">
        <v>64</v>
      </c>
      <c r="C429" s="8" t="s">
        <v>61</v>
      </c>
      <c r="D429" s="8" t="s">
        <v>58</v>
      </c>
      <c r="E429" s="8" t="s">
        <v>2</v>
      </c>
      <c r="F429" s="8">
        <v>1</v>
      </c>
      <c r="G429" s="2">
        <v>113000</v>
      </c>
      <c r="H429" s="1">
        <v>2</v>
      </c>
      <c r="I429" s="8" t="s">
        <v>68</v>
      </c>
      <c r="J429" s="1">
        <v>18</v>
      </c>
      <c r="K429" s="1" t="s">
        <v>13</v>
      </c>
      <c r="L429" s="1" t="s">
        <v>48</v>
      </c>
      <c r="M429" s="1" t="s">
        <v>27</v>
      </c>
      <c r="N429" s="10">
        <v>41805</v>
      </c>
      <c r="O429" s="3">
        <v>1554.1210000000001</v>
      </c>
      <c r="P429" s="15">
        <f>IF(Table1[[#This Row],[Amount Spent]]&gt;3500, 3500,Table1[[#This Row],[Amount Spent]])</f>
        <v>1554.1210000000001</v>
      </c>
    </row>
    <row r="430" spans="1:16" x14ac:dyDescent="0.35">
      <c r="A430" s="9">
        <v>430</v>
      </c>
      <c r="B430" s="4" t="s">
        <v>63</v>
      </c>
      <c r="C430" s="9" t="s">
        <v>62</v>
      </c>
      <c r="D430" s="9" t="s">
        <v>66</v>
      </c>
      <c r="E430" s="9" t="s">
        <v>70</v>
      </c>
      <c r="F430" s="9">
        <v>0</v>
      </c>
      <c r="G430" s="5">
        <v>23200</v>
      </c>
      <c r="H430" s="4">
        <v>2</v>
      </c>
      <c r="I430" s="9" t="s">
        <v>8</v>
      </c>
      <c r="J430" s="4">
        <v>24</v>
      </c>
      <c r="K430" s="4" t="s">
        <v>15</v>
      </c>
      <c r="L430" s="4" t="s">
        <v>28</v>
      </c>
      <c r="M430" s="4" t="s">
        <v>33</v>
      </c>
      <c r="N430" s="10">
        <v>42034</v>
      </c>
      <c r="O430" s="6">
        <v>787.61699999999996</v>
      </c>
      <c r="P430" s="15">
        <f>IF(Table1[[#This Row],[Amount Spent]]&gt;3500, 3500,Table1[[#This Row],[Amount Spent]])</f>
        <v>787.61699999999996</v>
      </c>
    </row>
    <row r="431" spans="1:16" x14ac:dyDescent="0.35">
      <c r="A431" s="8">
        <v>431</v>
      </c>
      <c r="B431" s="1" t="s">
        <v>64</v>
      </c>
      <c r="C431" s="8" t="s">
        <v>61</v>
      </c>
      <c r="D431" s="8" t="s">
        <v>66</v>
      </c>
      <c r="E431" s="8" t="s">
        <v>2</v>
      </c>
      <c r="F431" s="8">
        <v>1</v>
      </c>
      <c r="G431" s="2">
        <v>88500</v>
      </c>
      <c r="H431" s="1">
        <v>2</v>
      </c>
      <c r="I431" s="8" t="s">
        <v>68</v>
      </c>
      <c r="J431" s="1">
        <v>24</v>
      </c>
      <c r="K431" s="1" t="s">
        <v>13</v>
      </c>
      <c r="L431" s="1" t="s">
        <v>46</v>
      </c>
      <c r="M431" s="1" t="s">
        <v>22</v>
      </c>
      <c r="N431" s="10">
        <v>41806</v>
      </c>
      <c r="O431" s="3">
        <v>1103.825</v>
      </c>
      <c r="P431" s="15">
        <f>IF(Table1[[#This Row],[Amount Spent]]&gt;3500, 3500,Table1[[#This Row],[Amount Spent]])</f>
        <v>1103.825</v>
      </c>
    </row>
    <row r="432" spans="1:16" x14ac:dyDescent="0.35">
      <c r="A432" s="9">
        <v>432</v>
      </c>
      <c r="B432" s="4" t="s">
        <v>64</v>
      </c>
      <c r="C432" s="9" t="s">
        <v>61</v>
      </c>
      <c r="D432" s="9" t="s">
        <v>58</v>
      </c>
      <c r="E432" s="9" t="s">
        <v>2</v>
      </c>
      <c r="F432" s="9">
        <v>1</v>
      </c>
      <c r="G432" s="5">
        <v>96900</v>
      </c>
      <c r="H432" s="4">
        <v>1</v>
      </c>
      <c r="I432" s="9" t="s">
        <v>69</v>
      </c>
      <c r="J432" s="4">
        <v>12</v>
      </c>
      <c r="K432" s="4" t="s">
        <v>15</v>
      </c>
      <c r="L432" s="4" t="s">
        <v>28</v>
      </c>
      <c r="M432" s="4" t="s">
        <v>33</v>
      </c>
      <c r="N432" s="10">
        <v>41429</v>
      </c>
      <c r="O432" s="6">
        <v>1419.508</v>
      </c>
      <c r="P432" s="15">
        <f>IF(Table1[[#This Row],[Amount Spent]]&gt;3500, 3500,Table1[[#This Row],[Amount Spent]])</f>
        <v>1419.508</v>
      </c>
    </row>
    <row r="433" spans="1:16" x14ac:dyDescent="0.35">
      <c r="A433" s="8">
        <v>433</v>
      </c>
      <c r="B433" s="1" t="s">
        <v>63</v>
      </c>
      <c r="C433" s="8" t="s">
        <v>62</v>
      </c>
      <c r="D433" s="8" t="s">
        <v>66</v>
      </c>
      <c r="E433" s="8" t="s">
        <v>70</v>
      </c>
      <c r="F433" s="8">
        <v>1</v>
      </c>
      <c r="G433" s="2">
        <v>22000</v>
      </c>
      <c r="H433" s="1">
        <v>1</v>
      </c>
      <c r="I433" s="8" t="s">
        <v>67</v>
      </c>
      <c r="J433" s="1">
        <v>12</v>
      </c>
      <c r="K433" s="1" t="s">
        <v>12</v>
      </c>
      <c r="L433" s="1" t="s">
        <v>47</v>
      </c>
      <c r="M433" s="1" t="s">
        <v>16</v>
      </c>
      <c r="N433" s="10">
        <v>40979</v>
      </c>
      <c r="O433" s="3">
        <v>471.72500000000002</v>
      </c>
      <c r="P433" s="15">
        <f>IF(Table1[[#This Row],[Amount Spent]]&gt;3500, 3500,Table1[[#This Row],[Amount Spent]])</f>
        <v>471.72500000000002</v>
      </c>
    </row>
    <row r="434" spans="1:16" x14ac:dyDescent="0.35">
      <c r="A434" s="9">
        <v>434</v>
      </c>
      <c r="B434" s="4" t="s">
        <v>64</v>
      </c>
      <c r="C434" s="9" t="s">
        <v>62</v>
      </c>
      <c r="D434" s="9" t="s">
        <v>66</v>
      </c>
      <c r="E434" s="9" t="s">
        <v>2</v>
      </c>
      <c r="F434" s="9">
        <v>1</v>
      </c>
      <c r="G434" s="5">
        <v>81400</v>
      </c>
      <c r="H434" s="4">
        <v>2</v>
      </c>
      <c r="I434" s="9" t="s">
        <v>8</v>
      </c>
      <c r="J434" s="4">
        <v>6</v>
      </c>
      <c r="K434" s="4" t="s">
        <v>15</v>
      </c>
      <c r="L434" s="4" t="s">
        <v>28</v>
      </c>
      <c r="M434" s="4" t="s">
        <v>28</v>
      </c>
      <c r="N434" s="10">
        <v>42088</v>
      </c>
      <c r="O434" s="6">
        <v>1014.335</v>
      </c>
      <c r="P434" s="15">
        <f>IF(Table1[[#This Row],[Amount Spent]]&gt;3500, 3500,Table1[[#This Row],[Amount Spent]])</f>
        <v>1014.335</v>
      </c>
    </row>
    <row r="435" spans="1:16" x14ac:dyDescent="0.35">
      <c r="A435" s="8">
        <v>435</v>
      </c>
      <c r="B435" s="1" t="s">
        <v>65</v>
      </c>
      <c r="C435" s="8" t="s">
        <v>62</v>
      </c>
      <c r="D435" s="8" t="s">
        <v>58</v>
      </c>
      <c r="E435" s="8" t="s">
        <v>2</v>
      </c>
      <c r="F435" s="8">
        <v>1</v>
      </c>
      <c r="G435" s="2">
        <v>114800</v>
      </c>
      <c r="H435" s="1">
        <v>0</v>
      </c>
      <c r="I435" s="8" t="s">
        <v>69</v>
      </c>
      <c r="J435" s="1">
        <v>18</v>
      </c>
      <c r="K435" s="1" t="s">
        <v>13</v>
      </c>
      <c r="L435" s="1" t="s">
        <v>45</v>
      </c>
      <c r="M435" s="1" t="s">
        <v>26</v>
      </c>
      <c r="N435" s="10">
        <v>40789</v>
      </c>
      <c r="O435" s="3">
        <v>3596.4960000000001</v>
      </c>
      <c r="P435" s="15">
        <f>IF(Table1[[#This Row],[Amount Spent]]&gt;3500, 3500,Table1[[#This Row],[Amount Spent]])</f>
        <v>3500</v>
      </c>
    </row>
    <row r="436" spans="1:16" x14ac:dyDescent="0.35">
      <c r="A436" s="9">
        <v>436</v>
      </c>
      <c r="B436" s="4" t="s">
        <v>64</v>
      </c>
      <c r="C436" s="9" t="s">
        <v>62</v>
      </c>
      <c r="D436" s="9" t="s">
        <v>58</v>
      </c>
      <c r="E436" s="9" t="s">
        <v>2</v>
      </c>
      <c r="F436" s="9">
        <v>1</v>
      </c>
      <c r="G436" s="5">
        <v>79900</v>
      </c>
      <c r="H436" s="4">
        <v>3</v>
      </c>
      <c r="I436" s="9" t="s">
        <v>67</v>
      </c>
      <c r="J436" s="4">
        <v>12</v>
      </c>
      <c r="K436" s="4" t="s">
        <v>14</v>
      </c>
      <c r="L436" s="4" t="s">
        <v>51</v>
      </c>
      <c r="M436" s="4" t="s">
        <v>38</v>
      </c>
      <c r="N436" s="10">
        <v>41443</v>
      </c>
      <c r="O436" s="6">
        <v>294.76100000000002</v>
      </c>
      <c r="P436" s="15">
        <f>IF(Table1[[#This Row],[Amount Spent]]&gt;3500, 3500,Table1[[#This Row],[Amount Spent]])</f>
        <v>294.76100000000002</v>
      </c>
    </row>
    <row r="437" spans="1:16" x14ac:dyDescent="0.35">
      <c r="A437" s="8">
        <v>437</v>
      </c>
      <c r="B437" s="1" t="s">
        <v>64</v>
      </c>
      <c r="C437" s="8" t="s">
        <v>61</v>
      </c>
      <c r="D437" s="8" t="s">
        <v>58</v>
      </c>
      <c r="E437" s="8" t="s">
        <v>2</v>
      </c>
      <c r="F437" s="8">
        <v>1</v>
      </c>
      <c r="G437" s="2">
        <v>107400</v>
      </c>
      <c r="H437" s="1">
        <v>1</v>
      </c>
      <c r="I437" s="8" t="s">
        <v>69</v>
      </c>
      <c r="J437" s="1">
        <v>24</v>
      </c>
      <c r="K437" s="1" t="s">
        <v>15</v>
      </c>
      <c r="L437" s="1" t="s">
        <v>52</v>
      </c>
      <c r="M437" s="1" t="s">
        <v>30</v>
      </c>
      <c r="N437" s="10">
        <v>41117</v>
      </c>
      <c r="O437" s="3">
        <v>1821.345</v>
      </c>
      <c r="P437" s="15">
        <f>IF(Table1[[#This Row],[Amount Spent]]&gt;3500, 3500,Table1[[#This Row],[Amount Spent]])</f>
        <v>1821.345</v>
      </c>
    </row>
    <row r="438" spans="1:16" x14ac:dyDescent="0.35">
      <c r="A438" s="9">
        <v>438</v>
      </c>
      <c r="B438" s="4" t="s">
        <v>65</v>
      </c>
      <c r="C438" s="9" t="s">
        <v>62</v>
      </c>
      <c r="D438" s="9" t="s">
        <v>58</v>
      </c>
      <c r="E438" s="9" t="s">
        <v>2</v>
      </c>
      <c r="F438" s="9">
        <v>0</v>
      </c>
      <c r="G438" s="5">
        <v>78800</v>
      </c>
      <c r="H438" s="4">
        <v>0</v>
      </c>
      <c r="I438" s="9" t="s">
        <v>69</v>
      </c>
      <c r="J438" s="4">
        <v>18</v>
      </c>
      <c r="K438" s="4" t="s">
        <v>14</v>
      </c>
      <c r="L438" s="4" t="s">
        <v>50</v>
      </c>
      <c r="M438" s="4" t="s">
        <v>34</v>
      </c>
      <c r="N438" s="10">
        <v>41665</v>
      </c>
      <c r="O438" s="6">
        <v>3397.7919999999999</v>
      </c>
      <c r="P438" s="15">
        <f>IF(Table1[[#This Row],[Amount Spent]]&gt;3500, 3500,Table1[[#This Row],[Amount Spent]])</f>
        <v>3397.7919999999999</v>
      </c>
    </row>
    <row r="439" spans="1:16" x14ac:dyDescent="0.35">
      <c r="A439" s="8">
        <v>439</v>
      </c>
      <c r="B439" s="1" t="s">
        <v>64</v>
      </c>
      <c r="C439" s="8" t="s">
        <v>61</v>
      </c>
      <c r="D439" s="8" t="s">
        <v>66</v>
      </c>
      <c r="E439" s="8" t="s">
        <v>2</v>
      </c>
      <c r="F439" s="8">
        <v>0</v>
      </c>
      <c r="G439" s="2">
        <v>124800</v>
      </c>
      <c r="H439" s="1">
        <v>3</v>
      </c>
      <c r="I439" s="8" t="s">
        <v>69</v>
      </c>
      <c r="J439" s="1">
        <v>18</v>
      </c>
      <c r="K439" s="1" t="s">
        <v>14</v>
      </c>
      <c r="L439" s="1" t="s">
        <v>50</v>
      </c>
      <c r="M439" s="1" t="s">
        <v>34</v>
      </c>
      <c r="N439" s="10">
        <v>40286</v>
      </c>
      <c r="O439" s="3">
        <v>2536.6849999999999</v>
      </c>
      <c r="P439" s="15">
        <f>IF(Table1[[#This Row],[Amount Spent]]&gt;3500, 3500,Table1[[#This Row],[Amount Spent]])</f>
        <v>2536.6849999999999</v>
      </c>
    </row>
    <row r="440" spans="1:16" x14ac:dyDescent="0.35">
      <c r="A440" s="9">
        <v>440</v>
      </c>
      <c r="B440" s="4" t="s">
        <v>63</v>
      </c>
      <c r="C440" s="9" t="s">
        <v>62</v>
      </c>
      <c r="D440" s="9" t="s">
        <v>66</v>
      </c>
      <c r="E440" s="9" t="s">
        <v>2</v>
      </c>
      <c r="F440" s="9">
        <v>1</v>
      </c>
      <c r="G440" s="5">
        <v>36900</v>
      </c>
      <c r="H440" s="4">
        <v>1</v>
      </c>
      <c r="I440" s="9" t="s">
        <v>8</v>
      </c>
      <c r="J440" s="4">
        <v>18</v>
      </c>
      <c r="K440" s="4" t="s">
        <v>14</v>
      </c>
      <c r="L440" s="4" t="s">
        <v>51</v>
      </c>
      <c r="M440" s="4" t="s">
        <v>38</v>
      </c>
      <c r="N440" s="10">
        <v>42191</v>
      </c>
      <c r="O440" s="6">
        <v>1480.2829999999999</v>
      </c>
      <c r="P440" s="15">
        <f>IF(Table1[[#This Row],[Amount Spent]]&gt;3500, 3500,Table1[[#This Row],[Amount Spent]])</f>
        <v>1480.2829999999999</v>
      </c>
    </row>
    <row r="441" spans="1:16" x14ac:dyDescent="0.35">
      <c r="A441" s="8">
        <v>441</v>
      </c>
      <c r="B441" s="1" t="s">
        <v>63</v>
      </c>
      <c r="C441" s="8" t="s">
        <v>62</v>
      </c>
      <c r="D441" s="8" t="s">
        <v>66</v>
      </c>
      <c r="E441" s="8" t="s">
        <v>70</v>
      </c>
      <c r="F441" s="8">
        <v>0</v>
      </c>
      <c r="G441" s="2">
        <v>12800</v>
      </c>
      <c r="H441" s="1">
        <v>1</v>
      </c>
      <c r="I441" s="8" t="s">
        <v>8</v>
      </c>
      <c r="J441" s="1">
        <v>24</v>
      </c>
      <c r="K441" s="1" t="s">
        <v>13</v>
      </c>
      <c r="L441" s="1" t="s">
        <v>56</v>
      </c>
      <c r="M441" s="1" t="s">
        <v>24</v>
      </c>
      <c r="N441" s="10">
        <v>42239</v>
      </c>
      <c r="O441" s="3">
        <v>365.48599999999999</v>
      </c>
      <c r="P441" s="15">
        <f>IF(Table1[[#This Row],[Amount Spent]]&gt;3500, 3500,Table1[[#This Row],[Amount Spent]])</f>
        <v>365.48599999999999</v>
      </c>
    </row>
    <row r="442" spans="1:16" x14ac:dyDescent="0.35">
      <c r="A442" s="9">
        <v>442</v>
      </c>
      <c r="B442" s="4" t="s">
        <v>64</v>
      </c>
      <c r="C442" s="9" t="s">
        <v>62</v>
      </c>
      <c r="D442" s="9" t="s">
        <v>58</v>
      </c>
      <c r="E442" s="9" t="s">
        <v>70</v>
      </c>
      <c r="F442" s="9">
        <v>1</v>
      </c>
      <c r="G442" s="5">
        <v>65800</v>
      </c>
      <c r="H442" s="4">
        <v>1</v>
      </c>
      <c r="I442" s="9" t="s">
        <v>68</v>
      </c>
      <c r="J442" s="4">
        <v>12</v>
      </c>
      <c r="K442" s="4" t="s">
        <v>14</v>
      </c>
      <c r="L442" s="4" t="s">
        <v>51</v>
      </c>
      <c r="M442" s="4" t="s">
        <v>38</v>
      </c>
      <c r="N442" s="10">
        <v>40405</v>
      </c>
      <c r="O442" s="6">
        <v>868.524</v>
      </c>
      <c r="P442" s="15">
        <f>IF(Table1[[#This Row],[Amount Spent]]&gt;3500, 3500,Table1[[#This Row],[Amount Spent]])</f>
        <v>868.524</v>
      </c>
    </row>
    <row r="443" spans="1:16" x14ac:dyDescent="0.35">
      <c r="A443" s="8">
        <v>443</v>
      </c>
      <c r="B443" s="1" t="s">
        <v>63</v>
      </c>
      <c r="C443" s="8" t="s">
        <v>61</v>
      </c>
      <c r="D443" s="8" t="s">
        <v>58</v>
      </c>
      <c r="E443" s="8" t="s">
        <v>70</v>
      </c>
      <c r="F443" s="8">
        <v>1</v>
      </c>
      <c r="G443" s="2">
        <v>20900</v>
      </c>
      <c r="H443" s="1">
        <v>0</v>
      </c>
      <c r="I443" s="8" t="s">
        <v>67</v>
      </c>
      <c r="J443" s="1">
        <v>24</v>
      </c>
      <c r="K443" s="1" t="s">
        <v>14</v>
      </c>
      <c r="L443" s="1" t="s">
        <v>50</v>
      </c>
      <c r="M443" s="1" t="s">
        <v>34</v>
      </c>
      <c r="N443" s="10">
        <v>40923</v>
      </c>
      <c r="O443" s="3">
        <v>550.07299999999998</v>
      </c>
      <c r="P443" s="15">
        <f>IF(Table1[[#This Row],[Amount Spent]]&gt;3500, 3500,Table1[[#This Row],[Amount Spent]])</f>
        <v>550.07299999999998</v>
      </c>
    </row>
    <row r="444" spans="1:16" x14ac:dyDescent="0.35">
      <c r="A444" s="9">
        <v>444</v>
      </c>
      <c r="B444" s="4" t="s">
        <v>64</v>
      </c>
      <c r="C444" s="9" t="s">
        <v>61</v>
      </c>
      <c r="D444" s="9" t="s">
        <v>58</v>
      </c>
      <c r="E444" s="9" t="s">
        <v>70</v>
      </c>
      <c r="F444" s="9">
        <v>0</v>
      </c>
      <c r="G444" s="5">
        <v>49700</v>
      </c>
      <c r="H444" s="4">
        <v>0</v>
      </c>
      <c r="I444" s="9" t="s">
        <v>69</v>
      </c>
      <c r="J444" s="4">
        <v>24</v>
      </c>
      <c r="K444" s="4" t="s">
        <v>15</v>
      </c>
      <c r="L444" s="4" t="s">
        <v>28</v>
      </c>
      <c r="M444" s="4" t="s">
        <v>33</v>
      </c>
      <c r="N444" s="10">
        <v>41105</v>
      </c>
      <c r="O444" s="6">
        <v>2844.3090000000002</v>
      </c>
      <c r="P444" s="15">
        <f>IF(Table1[[#This Row],[Amount Spent]]&gt;3500, 3500,Table1[[#This Row],[Amount Spent]])</f>
        <v>2844.3090000000002</v>
      </c>
    </row>
    <row r="445" spans="1:16" x14ac:dyDescent="0.35">
      <c r="A445" s="8">
        <v>445</v>
      </c>
      <c r="B445" s="1" t="s">
        <v>65</v>
      </c>
      <c r="C445" s="8" t="s">
        <v>62</v>
      </c>
      <c r="D445" s="8" t="s">
        <v>58</v>
      </c>
      <c r="E445" s="8" t="s">
        <v>70</v>
      </c>
      <c r="F445" s="8">
        <v>1</v>
      </c>
      <c r="G445" s="2">
        <v>25500</v>
      </c>
      <c r="H445" s="1">
        <v>0</v>
      </c>
      <c r="I445" s="8" t="s">
        <v>67</v>
      </c>
      <c r="J445" s="1">
        <v>18</v>
      </c>
      <c r="K445" s="1" t="s">
        <v>13</v>
      </c>
      <c r="L445" s="1" t="s">
        <v>45</v>
      </c>
      <c r="M445" s="1" t="s">
        <v>26</v>
      </c>
      <c r="N445" s="10">
        <v>41235</v>
      </c>
      <c r="O445" s="3">
        <v>635.81299999999999</v>
      </c>
      <c r="P445" s="15">
        <f>IF(Table1[[#This Row],[Amount Spent]]&gt;3500, 3500,Table1[[#This Row],[Amount Spent]])</f>
        <v>635.81299999999999</v>
      </c>
    </row>
    <row r="446" spans="1:16" x14ac:dyDescent="0.35">
      <c r="A446" s="9">
        <v>446</v>
      </c>
      <c r="B446" s="4" t="s">
        <v>65</v>
      </c>
      <c r="C446" s="9" t="s">
        <v>62</v>
      </c>
      <c r="D446" s="9" t="s">
        <v>58</v>
      </c>
      <c r="E446" s="9" t="s">
        <v>70</v>
      </c>
      <c r="F446" s="9">
        <v>1</v>
      </c>
      <c r="G446" s="5">
        <v>20600</v>
      </c>
      <c r="H446" s="4">
        <v>0</v>
      </c>
      <c r="I446" s="9" t="s">
        <v>67</v>
      </c>
      <c r="J446" s="4">
        <v>6</v>
      </c>
      <c r="K446" s="4" t="s">
        <v>14</v>
      </c>
      <c r="L446" s="4" t="s">
        <v>40</v>
      </c>
      <c r="M446" s="4" t="s">
        <v>37</v>
      </c>
      <c r="N446" s="10">
        <v>41307</v>
      </c>
      <c r="O446" s="6">
        <v>201.00200000000001</v>
      </c>
      <c r="P446" s="15">
        <f>IF(Table1[[#This Row],[Amount Spent]]&gt;3500, 3500,Table1[[#This Row],[Amount Spent]])</f>
        <v>201.00200000000001</v>
      </c>
    </row>
    <row r="447" spans="1:16" x14ac:dyDescent="0.35">
      <c r="A447" s="8">
        <v>447</v>
      </c>
      <c r="B447" s="1" t="s">
        <v>65</v>
      </c>
      <c r="C447" s="8" t="s">
        <v>61</v>
      </c>
      <c r="D447" s="8" t="s">
        <v>58</v>
      </c>
      <c r="E447" s="8" t="s">
        <v>2</v>
      </c>
      <c r="F447" s="8">
        <v>1</v>
      </c>
      <c r="G447" s="2">
        <v>84300</v>
      </c>
      <c r="H447" s="1">
        <v>0</v>
      </c>
      <c r="I447" s="8" t="s">
        <v>69</v>
      </c>
      <c r="J447" s="1">
        <v>24</v>
      </c>
      <c r="K447" s="1" t="s">
        <v>13</v>
      </c>
      <c r="L447" s="1" t="s">
        <v>43</v>
      </c>
      <c r="M447" s="1" t="s">
        <v>23</v>
      </c>
      <c r="N447" s="10">
        <v>41238</v>
      </c>
      <c r="O447" s="3">
        <v>2841.8220000000001</v>
      </c>
      <c r="P447" s="15">
        <f>IF(Table1[[#This Row],[Amount Spent]]&gt;3500, 3500,Table1[[#This Row],[Amount Spent]])</f>
        <v>2841.8220000000001</v>
      </c>
    </row>
    <row r="448" spans="1:16" x14ac:dyDescent="0.35">
      <c r="A448" s="9">
        <v>448</v>
      </c>
      <c r="B448" s="4" t="s">
        <v>64</v>
      </c>
      <c r="C448" s="9" t="s">
        <v>62</v>
      </c>
      <c r="D448" s="9" t="s">
        <v>66</v>
      </c>
      <c r="E448" s="9" t="s">
        <v>70</v>
      </c>
      <c r="F448" s="9">
        <v>0</v>
      </c>
      <c r="G448" s="5">
        <v>31200</v>
      </c>
      <c r="H448" s="4">
        <v>3</v>
      </c>
      <c r="I448" s="9" t="s">
        <v>8</v>
      </c>
      <c r="J448" s="4">
        <v>24</v>
      </c>
      <c r="K448" s="4" t="s">
        <v>12</v>
      </c>
      <c r="L448" s="4" t="s">
        <v>54</v>
      </c>
      <c r="M448" s="4" t="s">
        <v>21</v>
      </c>
      <c r="N448" s="10">
        <v>42243</v>
      </c>
      <c r="O448" s="6">
        <v>1087.02</v>
      </c>
      <c r="P448" s="15">
        <f>IF(Table1[[#This Row],[Amount Spent]]&gt;3500, 3500,Table1[[#This Row],[Amount Spent]])</f>
        <v>1087.02</v>
      </c>
    </row>
    <row r="449" spans="1:16" x14ac:dyDescent="0.35">
      <c r="A449" s="8">
        <v>449</v>
      </c>
      <c r="B449" s="1" t="s">
        <v>64</v>
      </c>
      <c r="C449" s="8" t="s">
        <v>62</v>
      </c>
      <c r="D449" s="8" t="s">
        <v>66</v>
      </c>
      <c r="E449" s="8" t="s">
        <v>70</v>
      </c>
      <c r="F449" s="8">
        <v>1</v>
      </c>
      <c r="G449" s="2">
        <v>50500</v>
      </c>
      <c r="H449" s="1">
        <v>1</v>
      </c>
      <c r="I449" s="8" t="s">
        <v>68</v>
      </c>
      <c r="J449" s="1">
        <v>12</v>
      </c>
      <c r="K449" s="1" t="s">
        <v>14</v>
      </c>
      <c r="L449" s="1" t="s">
        <v>51</v>
      </c>
      <c r="M449" s="1" t="s">
        <v>38</v>
      </c>
      <c r="N449" s="10">
        <v>40570</v>
      </c>
      <c r="O449" s="3">
        <v>940.15200000000004</v>
      </c>
      <c r="P449" s="15">
        <f>IF(Table1[[#This Row],[Amount Spent]]&gt;3500, 3500,Table1[[#This Row],[Amount Spent]])</f>
        <v>940.15200000000004</v>
      </c>
    </row>
    <row r="450" spans="1:16" x14ac:dyDescent="0.35">
      <c r="A450" s="9">
        <v>450</v>
      </c>
      <c r="B450" s="4" t="s">
        <v>63</v>
      </c>
      <c r="C450" s="9" t="s">
        <v>62</v>
      </c>
      <c r="D450" s="9" t="s">
        <v>66</v>
      </c>
      <c r="E450" s="9" t="s">
        <v>70</v>
      </c>
      <c r="F450" s="9">
        <v>1</v>
      </c>
      <c r="G450" s="5">
        <v>15500</v>
      </c>
      <c r="H450" s="4">
        <v>1</v>
      </c>
      <c r="I450" s="9" t="s">
        <v>67</v>
      </c>
      <c r="J450" s="4">
        <v>6</v>
      </c>
      <c r="K450" s="4" t="s">
        <v>14</v>
      </c>
      <c r="L450" s="4" t="s">
        <v>40</v>
      </c>
      <c r="M450" s="4" t="s">
        <v>36</v>
      </c>
      <c r="N450" s="10">
        <v>41741</v>
      </c>
      <c r="O450" s="6">
        <v>209.7</v>
      </c>
      <c r="P450" s="15">
        <f>IF(Table1[[#This Row],[Amount Spent]]&gt;3500, 3500,Table1[[#This Row],[Amount Spent]])</f>
        <v>209.7</v>
      </c>
    </row>
    <row r="451" spans="1:16" x14ac:dyDescent="0.35">
      <c r="A451" s="8">
        <v>451</v>
      </c>
      <c r="B451" s="1" t="s">
        <v>63</v>
      </c>
      <c r="C451" s="8" t="s">
        <v>62</v>
      </c>
      <c r="D451" s="8" t="s">
        <v>66</v>
      </c>
      <c r="E451" s="8" t="s">
        <v>70</v>
      </c>
      <c r="F451" s="8">
        <v>1</v>
      </c>
      <c r="G451" s="2">
        <v>12900</v>
      </c>
      <c r="H451" s="1">
        <v>1</v>
      </c>
      <c r="I451" s="8" t="s">
        <v>67</v>
      </c>
      <c r="J451" s="1">
        <v>6</v>
      </c>
      <c r="K451" s="1" t="s">
        <v>15</v>
      </c>
      <c r="L451" s="1" t="s">
        <v>28</v>
      </c>
      <c r="M451" s="1" t="s">
        <v>33</v>
      </c>
      <c r="N451" s="10">
        <v>41515</v>
      </c>
      <c r="O451" s="3">
        <v>106.97</v>
      </c>
      <c r="P451" s="15">
        <f>IF(Table1[[#This Row],[Amount Spent]]&gt;3500, 3500,Table1[[#This Row],[Amount Spent]])</f>
        <v>106.97</v>
      </c>
    </row>
    <row r="452" spans="1:16" x14ac:dyDescent="0.35">
      <c r="A452" s="9">
        <v>452</v>
      </c>
      <c r="B452" s="4" t="s">
        <v>64</v>
      </c>
      <c r="C452" s="9" t="s">
        <v>61</v>
      </c>
      <c r="D452" s="9" t="s">
        <v>66</v>
      </c>
      <c r="E452" s="9" t="s">
        <v>70</v>
      </c>
      <c r="F452" s="9">
        <v>1</v>
      </c>
      <c r="G452" s="5">
        <v>52400</v>
      </c>
      <c r="H452" s="4">
        <v>0</v>
      </c>
      <c r="I452" s="9" t="s">
        <v>8</v>
      </c>
      <c r="J452" s="4">
        <v>18</v>
      </c>
      <c r="K452" s="4" t="s">
        <v>14</v>
      </c>
      <c r="L452" s="4" t="s">
        <v>50</v>
      </c>
      <c r="M452" s="4" t="s">
        <v>34</v>
      </c>
      <c r="N452" s="10">
        <v>42205</v>
      </c>
      <c r="O452" s="6">
        <v>856.726</v>
      </c>
      <c r="P452" s="15">
        <f>IF(Table1[[#This Row],[Amount Spent]]&gt;3500, 3500,Table1[[#This Row],[Amount Spent]])</f>
        <v>856.726</v>
      </c>
    </row>
    <row r="453" spans="1:16" x14ac:dyDescent="0.35">
      <c r="A453" s="8">
        <v>453</v>
      </c>
      <c r="B453" s="1" t="s">
        <v>64</v>
      </c>
      <c r="C453" s="8" t="s">
        <v>61</v>
      </c>
      <c r="D453" s="8" t="s">
        <v>58</v>
      </c>
      <c r="E453" s="8" t="s">
        <v>2</v>
      </c>
      <c r="F453" s="8">
        <v>1</v>
      </c>
      <c r="G453" s="2">
        <v>97600</v>
      </c>
      <c r="H453" s="1">
        <v>2</v>
      </c>
      <c r="I453" s="8" t="s">
        <v>68</v>
      </c>
      <c r="J453" s="1">
        <v>12</v>
      </c>
      <c r="K453" s="1" t="s">
        <v>14</v>
      </c>
      <c r="L453" s="1" t="s">
        <v>40</v>
      </c>
      <c r="M453" s="1" t="s">
        <v>37</v>
      </c>
      <c r="N453" s="10">
        <v>41976</v>
      </c>
      <c r="O453" s="3">
        <v>1162.0440000000001</v>
      </c>
      <c r="P453" s="15">
        <f>IF(Table1[[#This Row],[Amount Spent]]&gt;3500, 3500,Table1[[#This Row],[Amount Spent]])</f>
        <v>1162.0440000000001</v>
      </c>
    </row>
    <row r="454" spans="1:16" x14ac:dyDescent="0.35">
      <c r="A454" s="9">
        <v>454</v>
      </c>
      <c r="B454" s="4" t="s">
        <v>64</v>
      </c>
      <c r="C454" s="9" t="s">
        <v>61</v>
      </c>
      <c r="D454" s="9" t="s">
        <v>66</v>
      </c>
      <c r="E454" s="9" t="s">
        <v>70</v>
      </c>
      <c r="F454" s="9">
        <v>1</v>
      </c>
      <c r="G454" s="5">
        <v>50500</v>
      </c>
      <c r="H454" s="4">
        <v>0</v>
      </c>
      <c r="I454" s="9" t="s">
        <v>68</v>
      </c>
      <c r="J454" s="4">
        <v>12</v>
      </c>
      <c r="K454" s="4" t="s">
        <v>12</v>
      </c>
      <c r="L454" s="4" t="s">
        <v>55</v>
      </c>
      <c r="M454" s="4" t="s">
        <v>17</v>
      </c>
      <c r="N454" s="10">
        <v>40633</v>
      </c>
      <c r="O454" s="6">
        <v>1028.8789999999999</v>
      </c>
      <c r="P454" s="15">
        <f>IF(Table1[[#This Row],[Amount Spent]]&gt;3500, 3500,Table1[[#This Row],[Amount Spent]])</f>
        <v>1028.8789999999999</v>
      </c>
    </row>
    <row r="455" spans="1:16" x14ac:dyDescent="0.35">
      <c r="A455" s="8">
        <v>455</v>
      </c>
      <c r="B455" s="1" t="s">
        <v>64</v>
      </c>
      <c r="C455" s="8" t="s">
        <v>61</v>
      </c>
      <c r="D455" s="8" t="s">
        <v>66</v>
      </c>
      <c r="E455" s="8" t="s">
        <v>70</v>
      </c>
      <c r="F455" s="8">
        <v>1</v>
      </c>
      <c r="G455" s="2">
        <v>55900</v>
      </c>
      <c r="H455" s="1">
        <v>1</v>
      </c>
      <c r="I455" s="8" t="s">
        <v>68</v>
      </c>
      <c r="J455" s="1">
        <v>12</v>
      </c>
      <c r="K455" s="1" t="s">
        <v>12</v>
      </c>
      <c r="L455" s="1" t="s">
        <v>47</v>
      </c>
      <c r="M455" s="1" t="s">
        <v>18</v>
      </c>
      <c r="N455" s="10">
        <v>41447</v>
      </c>
      <c r="O455" s="3">
        <v>908.86300000000006</v>
      </c>
      <c r="P455" s="15">
        <f>IF(Table1[[#This Row],[Amount Spent]]&gt;3500, 3500,Table1[[#This Row],[Amount Spent]])</f>
        <v>908.86300000000006</v>
      </c>
    </row>
    <row r="456" spans="1:16" x14ac:dyDescent="0.35">
      <c r="A456" s="9">
        <v>456</v>
      </c>
      <c r="B456" s="4" t="s">
        <v>63</v>
      </c>
      <c r="C456" s="9" t="s">
        <v>62</v>
      </c>
      <c r="D456" s="9" t="s">
        <v>66</v>
      </c>
      <c r="E456" s="9" t="s">
        <v>70</v>
      </c>
      <c r="F456" s="9">
        <v>0</v>
      </c>
      <c r="G456" s="5">
        <v>28900</v>
      </c>
      <c r="H456" s="4">
        <v>0</v>
      </c>
      <c r="I456" s="9" t="s">
        <v>68</v>
      </c>
      <c r="J456" s="4">
        <v>24</v>
      </c>
      <c r="K456" s="4" t="s">
        <v>12</v>
      </c>
      <c r="L456" s="4" t="s">
        <v>53</v>
      </c>
      <c r="M456" s="4" t="s">
        <v>19</v>
      </c>
      <c r="N456" s="10">
        <v>39903</v>
      </c>
      <c r="O456" s="6">
        <v>905.13699999999994</v>
      </c>
      <c r="P456" s="15">
        <f>IF(Table1[[#This Row],[Amount Spent]]&gt;3500, 3500,Table1[[#This Row],[Amount Spent]])</f>
        <v>905.13699999999994</v>
      </c>
    </row>
    <row r="457" spans="1:16" x14ac:dyDescent="0.35">
      <c r="A457" s="8">
        <v>457</v>
      </c>
      <c r="B457" s="1" t="s">
        <v>64</v>
      </c>
      <c r="C457" s="8" t="s">
        <v>61</v>
      </c>
      <c r="D457" s="8" t="s">
        <v>66</v>
      </c>
      <c r="E457" s="8" t="s">
        <v>2</v>
      </c>
      <c r="F457" s="8">
        <v>1</v>
      </c>
      <c r="G457" s="2">
        <v>108300</v>
      </c>
      <c r="H457" s="1">
        <v>2</v>
      </c>
      <c r="I457" s="8" t="s">
        <v>8</v>
      </c>
      <c r="J457" s="1">
        <v>12</v>
      </c>
      <c r="K457" s="1" t="s">
        <v>12</v>
      </c>
      <c r="L457" s="1" t="s">
        <v>54</v>
      </c>
      <c r="M457" s="1" t="s">
        <v>21</v>
      </c>
      <c r="N457" s="10">
        <v>42198</v>
      </c>
      <c r="O457" s="3">
        <v>2223.6419999999998</v>
      </c>
      <c r="P457" s="15">
        <f>IF(Table1[[#This Row],[Amount Spent]]&gt;3500, 3500,Table1[[#This Row],[Amount Spent]])</f>
        <v>2223.6419999999998</v>
      </c>
    </row>
    <row r="458" spans="1:16" x14ac:dyDescent="0.35">
      <c r="A458" s="9">
        <v>458</v>
      </c>
      <c r="B458" s="4" t="s">
        <v>64</v>
      </c>
      <c r="C458" s="9" t="s">
        <v>62</v>
      </c>
      <c r="D458" s="9" t="s">
        <v>66</v>
      </c>
      <c r="E458" s="9" t="s">
        <v>2</v>
      </c>
      <c r="F458" s="9">
        <v>1</v>
      </c>
      <c r="G458" s="5">
        <v>46700</v>
      </c>
      <c r="H458" s="4">
        <v>0</v>
      </c>
      <c r="I458" s="9" t="s">
        <v>68</v>
      </c>
      <c r="J458" s="4">
        <v>24</v>
      </c>
      <c r="K458" s="4" t="s">
        <v>12</v>
      </c>
      <c r="L458" s="4" t="s">
        <v>47</v>
      </c>
      <c r="M458" s="4" t="s">
        <v>18</v>
      </c>
      <c r="N458" s="10">
        <v>41173</v>
      </c>
      <c r="O458" s="6">
        <v>982.55600000000004</v>
      </c>
      <c r="P458" s="15">
        <f>IF(Table1[[#This Row],[Amount Spent]]&gt;3500, 3500,Table1[[#This Row],[Amount Spent]])</f>
        <v>982.55600000000004</v>
      </c>
    </row>
    <row r="459" spans="1:16" x14ac:dyDescent="0.35">
      <c r="A459" s="8">
        <v>459</v>
      </c>
      <c r="B459" s="1" t="s">
        <v>65</v>
      </c>
      <c r="C459" s="8" t="s">
        <v>61</v>
      </c>
      <c r="D459" s="8" t="s">
        <v>58</v>
      </c>
      <c r="E459" s="8" t="s">
        <v>2</v>
      </c>
      <c r="F459" s="8">
        <v>1</v>
      </c>
      <c r="G459" s="2">
        <v>102700</v>
      </c>
      <c r="H459" s="1">
        <v>0</v>
      </c>
      <c r="I459" s="8" t="s">
        <v>8</v>
      </c>
      <c r="J459" s="1">
        <v>18</v>
      </c>
      <c r="K459" s="1" t="s">
        <v>15</v>
      </c>
      <c r="L459" s="1" t="s">
        <v>52</v>
      </c>
      <c r="M459" s="1" t="s">
        <v>31</v>
      </c>
      <c r="N459" s="10">
        <v>42220</v>
      </c>
      <c r="O459" s="3">
        <v>2381.2060000000001</v>
      </c>
      <c r="P459" s="15">
        <f>IF(Table1[[#This Row],[Amount Spent]]&gt;3500, 3500,Table1[[#This Row],[Amount Spent]])</f>
        <v>2381.2060000000001</v>
      </c>
    </row>
    <row r="460" spans="1:16" x14ac:dyDescent="0.35">
      <c r="A460" s="9">
        <v>460</v>
      </c>
      <c r="B460" s="4" t="s">
        <v>63</v>
      </c>
      <c r="C460" s="9" t="s">
        <v>62</v>
      </c>
      <c r="D460" s="9" t="s">
        <v>66</v>
      </c>
      <c r="E460" s="9" t="s">
        <v>70</v>
      </c>
      <c r="F460" s="9">
        <v>1</v>
      </c>
      <c r="G460" s="5">
        <v>15600</v>
      </c>
      <c r="H460" s="4">
        <v>0</v>
      </c>
      <c r="I460" s="9" t="s">
        <v>8</v>
      </c>
      <c r="J460" s="4">
        <v>12</v>
      </c>
      <c r="K460" s="4" t="s">
        <v>12</v>
      </c>
      <c r="L460" s="4" t="s">
        <v>47</v>
      </c>
      <c r="M460" s="4" t="s">
        <v>16</v>
      </c>
      <c r="N460" s="10">
        <v>42057</v>
      </c>
      <c r="O460" s="6">
        <v>468.32900000000001</v>
      </c>
      <c r="P460" s="15">
        <f>IF(Table1[[#This Row],[Amount Spent]]&gt;3500, 3500,Table1[[#This Row],[Amount Spent]])</f>
        <v>468.32900000000001</v>
      </c>
    </row>
    <row r="461" spans="1:16" x14ac:dyDescent="0.35">
      <c r="A461" s="8">
        <v>461</v>
      </c>
      <c r="B461" s="1" t="s">
        <v>64</v>
      </c>
      <c r="C461" s="8" t="s">
        <v>61</v>
      </c>
      <c r="D461" s="8" t="s">
        <v>66</v>
      </c>
      <c r="E461" s="8" t="s">
        <v>70</v>
      </c>
      <c r="F461" s="8">
        <v>1</v>
      </c>
      <c r="G461" s="2">
        <v>39000</v>
      </c>
      <c r="H461" s="1">
        <v>0</v>
      </c>
      <c r="I461" s="8" t="s">
        <v>8</v>
      </c>
      <c r="J461" s="1">
        <v>6</v>
      </c>
      <c r="K461" s="1" t="s">
        <v>12</v>
      </c>
      <c r="L461" s="1" t="s">
        <v>53</v>
      </c>
      <c r="M461" s="1" t="s">
        <v>19</v>
      </c>
      <c r="N461" s="10">
        <v>42240</v>
      </c>
      <c r="O461" s="3">
        <v>643.29499999999996</v>
      </c>
      <c r="P461" s="15">
        <f>IF(Table1[[#This Row],[Amount Spent]]&gt;3500, 3500,Table1[[#This Row],[Amount Spent]])</f>
        <v>643.29499999999996</v>
      </c>
    </row>
    <row r="462" spans="1:16" x14ac:dyDescent="0.35">
      <c r="A462" s="9">
        <v>462</v>
      </c>
      <c r="B462" s="4" t="s">
        <v>65</v>
      </c>
      <c r="C462" s="9" t="s">
        <v>62</v>
      </c>
      <c r="D462" s="9" t="s">
        <v>66</v>
      </c>
      <c r="E462" s="9" t="s">
        <v>2</v>
      </c>
      <c r="F462" s="9">
        <v>0</v>
      </c>
      <c r="G462" s="5">
        <v>60200</v>
      </c>
      <c r="H462" s="4">
        <v>0</v>
      </c>
      <c r="I462" s="9" t="s">
        <v>69</v>
      </c>
      <c r="J462" s="4">
        <v>18</v>
      </c>
      <c r="K462" s="4" t="s">
        <v>13</v>
      </c>
      <c r="L462" s="4" t="s">
        <v>46</v>
      </c>
      <c r="M462" s="4" t="s">
        <v>22</v>
      </c>
      <c r="N462" s="10">
        <v>41347</v>
      </c>
      <c r="O462" s="6">
        <v>2328.4389999999999</v>
      </c>
      <c r="P462" s="15">
        <f>IF(Table1[[#This Row],[Amount Spent]]&gt;3500, 3500,Table1[[#This Row],[Amount Spent]])</f>
        <v>2328.4389999999999</v>
      </c>
    </row>
    <row r="463" spans="1:16" x14ac:dyDescent="0.35">
      <c r="A463" s="8">
        <v>463</v>
      </c>
      <c r="B463" s="1" t="s">
        <v>63</v>
      </c>
      <c r="C463" s="8" t="s">
        <v>62</v>
      </c>
      <c r="D463" s="8" t="s">
        <v>66</v>
      </c>
      <c r="E463" s="8" t="s">
        <v>70</v>
      </c>
      <c r="F463" s="8">
        <v>1</v>
      </c>
      <c r="G463" s="2">
        <v>17300</v>
      </c>
      <c r="H463" s="1">
        <v>0</v>
      </c>
      <c r="I463" s="8" t="s">
        <v>67</v>
      </c>
      <c r="J463" s="1">
        <v>12</v>
      </c>
      <c r="K463" s="1" t="s">
        <v>13</v>
      </c>
      <c r="L463" s="1" t="s">
        <v>48</v>
      </c>
      <c r="M463" s="1" t="s">
        <v>27</v>
      </c>
      <c r="N463" s="10">
        <v>41357</v>
      </c>
      <c r="O463" s="3">
        <v>345.34800000000001</v>
      </c>
      <c r="P463" s="15">
        <f>IF(Table1[[#This Row],[Amount Spent]]&gt;3500, 3500,Table1[[#This Row],[Amount Spent]])</f>
        <v>345.34800000000001</v>
      </c>
    </row>
    <row r="464" spans="1:16" x14ac:dyDescent="0.35">
      <c r="A464" s="9">
        <v>464</v>
      </c>
      <c r="B464" s="4" t="s">
        <v>64</v>
      </c>
      <c r="C464" s="9" t="s">
        <v>62</v>
      </c>
      <c r="D464" s="9" t="s">
        <v>66</v>
      </c>
      <c r="E464" s="9" t="s">
        <v>70</v>
      </c>
      <c r="F464" s="9">
        <v>1</v>
      </c>
      <c r="G464" s="5">
        <v>36900</v>
      </c>
      <c r="H464" s="4">
        <v>1</v>
      </c>
      <c r="I464" s="9" t="s">
        <v>67</v>
      </c>
      <c r="J464" s="4">
        <v>6</v>
      </c>
      <c r="K464" s="4" t="s">
        <v>14</v>
      </c>
      <c r="L464" s="4" t="s">
        <v>40</v>
      </c>
      <c r="M464" s="4" t="s">
        <v>36</v>
      </c>
      <c r="N464" s="10">
        <v>42072</v>
      </c>
      <c r="O464" s="6">
        <v>371.29300000000001</v>
      </c>
      <c r="P464" s="15">
        <f>IF(Table1[[#This Row],[Amount Spent]]&gt;3500, 3500,Table1[[#This Row],[Amount Spent]])</f>
        <v>371.29300000000001</v>
      </c>
    </row>
    <row r="465" spans="1:16" x14ac:dyDescent="0.35">
      <c r="A465" s="8">
        <v>465</v>
      </c>
      <c r="B465" s="1" t="s">
        <v>64</v>
      </c>
      <c r="C465" s="8" t="s">
        <v>61</v>
      </c>
      <c r="D465" s="8" t="s">
        <v>58</v>
      </c>
      <c r="E465" s="8" t="s">
        <v>2</v>
      </c>
      <c r="F465" s="8">
        <v>1</v>
      </c>
      <c r="G465" s="2">
        <v>64800</v>
      </c>
      <c r="H465" s="1">
        <v>2</v>
      </c>
      <c r="I465" s="8" t="s">
        <v>68</v>
      </c>
      <c r="J465" s="1">
        <v>12</v>
      </c>
      <c r="K465" s="1" t="s">
        <v>15</v>
      </c>
      <c r="L465" s="1" t="s">
        <v>28</v>
      </c>
      <c r="M465" s="1" t="s">
        <v>28</v>
      </c>
      <c r="N465" s="10">
        <v>40193</v>
      </c>
      <c r="O465" s="3">
        <v>574.10299999999995</v>
      </c>
      <c r="P465" s="15">
        <f>IF(Table1[[#This Row],[Amount Spent]]&gt;3500, 3500,Table1[[#This Row],[Amount Spent]])</f>
        <v>574.10299999999995</v>
      </c>
    </row>
    <row r="466" spans="1:16" x14ac:dyDescent="0.35">
      <c r="A466" s="9">
        <v>466</v>
      </c>
      <c r="B466" s="4" t="s">
        <v>64</v>
      </c>
      <c r="C466" s="9" t="s">
        <v>62</v>
      </c>
      <c r="D466" s="9" t="s">
        <v>66</v>
      </c>
      <c r="E466" s="9" t="s">
        <v>2</v>
      </c>
      <c r="F466" s="9">
        <v>0</v>
      </c>
      <c r="G466" s="5">
        <v>67300</v>
      </c>
      <c r="H466" s="4">
        <v>1</v>
      </c>
      <c r="I466" s="9" t="s">
        <v>69</v>
      </c>
      <c r="J466" s="4">
        <v>18</v>
      </c>
      <c r="K466" s="4" t="s">
        <v>13</v>
      </c>
      <c r="L466" s="4" t="s">
        <v>43</v>
      </c>
      <c r="M466" s="4" t="s">
        <v>23</v>
      </c>
      <c r="N466" s="10">
        <v>40764</v>
      </c>
      <c r="O466" s="6">
        <v>1513.3309999999999</v>
      </c>
      <c r="P466" s="15">
        <f>IF(Table1[[#This Row],[Amount Spent]]&gt;3500, 3500,Table1[[#This Row],[Amount Spent]])</f>
        <v>1513.3309999999999</v>
      </c>
    </row>
    <row r="467" spans="1:16" x14ac:dyDescent="0.35">
      <c r="A467" s="8">
        <v>467</v>
      </c>
      <c r="B467" s="1" t="s">
        <v>63</v>
      </c>
      <c r="C467" s="8" t="s">
        <v>61</v>
      </c>
      <c r="D467" s="8" t="s">
        <v>66</v>
      </c>
      <c r="E467" s="8" t="s">
        <v>70</v>
      </c>
      <c r="F467" s="8">
        <v>1</v>
      </c>
      <c r="G467" s="2">
        <v>15400</v>
      </c>
      <c r="H467" s="1">
        <v>0</v>
      </c>
      <c r="I467" s="8" t="s">
        <v>67</v>
      </c>
      <c r="J467" s="1">
        <v>6</v>
      </c>
      <c r="K467" s="1" t="s">
        <v>13</v>
      </c>
      <c r="L467" s="1" t="s">
        <v>46</v>
      </c>
      <c r="M467" s="1" t="s">
        <v>22</v>
      </c>
      <c r="N467" s="10">
        <v>40227</v>
      </c>
      <c r="O467" s="3">
        <v>171.607</v>
      </c>
      <c r="P467" s="15">
        <f>IF(Table1[[#This Row],[Amount Spent]]&gt;3500, 3500,Table1[[#This Row],[Amount Spent]])</f>
        <v>171.607</v>
      </c>
    </row>
    <row r="468" spans="1:16" x14ac:dyDescent="0.35">
      <c r="A468" s="9">
        <v>468</v>
      </c>
      <c r="B468" s="4" t="s">
        <v>63</v>
      </c>
      <c r="C468" s="9" t="s">
        <v>62</v>
      </c>
      <c r="D468" s="9" t="s">
        <v>66</v>
      </c>
      <c r="E468" s="9" t="s">
        <v>70</v>
      </c>
      <c r="F468" s="9">
        <v>1</v>
      </c>
      <c r="G468" s="5">
        <v>22600</v>
      </c>
      <c r="H468" s="4">
        <v>3</v>
      </c>
      <c r="I468" s="9" t="s">
        <v>8</v>
      </c>
      <c r="J468" s="4">
        <v>6</v>
      </c>
      <c r="K468" s="4" t="s">
        <v>15</v>
      </c>
      <c r="L468" s="4" t="s">
        <v>52</v>
      </c>
      <c r="M468" s="4" t="s">
        <v>30</v>
      </c>
      <c r="N468" s="10">
        <v>42068</v>
      </c>
      <c r="O468" s="6">
        <v>521.04600000000005</v>
      </c>
      <c r="P468" s="15">
        <f>IF(Table1[[#This Row],[Amount Spent]]&gt;3500, 3500,Table1[[#This Row],[Amount Spent]])</f>
        <v>521.04600000000005</v>
      </c>
    </row>
    <row r="469" spans="1:16" x14ac:dyDescent="0.35">
      <c r="A469" s="8">
        <v>469</v>
      </c>
      <c r="B469" s="1" t="s">
        <v>65</v>
      </c>
      <c r="C469" s="8" t="s">
        <v>61</v>
      </c>
      <c r="D469" s="8" t="s">
        <v>58</v>
      </c>
      <c r="E469" s="8" t="s">
        <v>2</v>
      </c>
      <c r="F469" s="8">
        <v>0</v>
      </c>
      <c r="G469" s="2">
        <v>54600</v>
      </c>
      <c r="H469" s="1">
        <v>0</v>
      </c>
      <c r="I469" s="8" t="s">
        <v>69</v>
      </c>
      <c r="J469" s="1">
        <v>24</v>
      </c>
      <c r="K469" s="1" t="s">
        <v>15</v>
      </c>
      <c r="L469" s="1" t="s">
        <v>42</v>
      </c>
      <c r="M469" s="1" t="s">
        <v>32</v>
      </c>
      <c r="N469" s="10">
        <v>41212</v>
      </c>
      <c r="O469" s="3">
        <v>2163.2199999999998</v>
      </c>
      <c r="P469" s="15">
        <f>IF(Table1[[#This Row],[Amount Spent]]&gt;3500, 3500,Table1[[#This Row],[Amount Spent]])</f>
        <v>2163.2199999999998</v>
      </c>
    </row>
    <row r="470" spans="1:16" x14ac:dyDescent="0.35">
      <c r="A470" s="9">
        <v>470</v>
      </c>
      <c r="B470" s="4" t="s">
        <v>63</v>
      </c>
      <c r="C470" s="9" t="s">
        <v>61</v>
      </c>
      <c r="D470" s="9" t="s">
        <v>58</v>
      </c>
      <c r="E470" s="9" t="s">
        <v>2</v>
      </c>
      <c r="F470" s="9">
        <v>1</v>
      </c>
      <c r="G470" s="5">
        <v>62200</v>
      </c>
      <c r="H470" s="4">
        <v>0</v>
      </c>
      <c r="I470" s="9" t="s">
        <v>69</v>
      </c>
      <c r="J470" s="4">
        <v>24</v>
      </c>
      <c r="K470" s="4" t="s">
        <v>14</v>
      </c>
      <c r="L470" s="4" t="s">
        <v>50</v>
      </c>
      <c r="M470" s="4" t="s">
        <v>34</v>
      </c>
      <c r="N470" s="10">
        <v>40225</v>
      </c>
      <c r="O470" s="6">
        <v>1347.527</v>
      </c>
      <c r="P470" s="15">
        <f>IF(Table1[[#This Row],[Amount Spent]]&gt;3500, 3500,Table1[[#This Row],[Amount Spent]])</f>
        <v>1347.527</v>
      </c>
    </row>
    <row r="471" spans="1:16" x14ac:dyDescent="0.35">
      <c r="A471" s="8">
        <v>471</v>
      </c>
      <c r="B471" s="1" t="s">
        <v>63</v>
      </c>
      <c r="C471" s="8" t="s">
        <v>61</v>
      </c>
      <c r="D471" s="8" t="s">
        <v>66</v>
      </c>
      <c r="E471" s="8" t="s">
        <v>2</v>
      </c>
      <c r="F471" s="8">
        <v>1</v>
      </c>
      <c r="G471" s="2">
        <v>56300</v>
      </c>
      <c r="H471" s="1">
        <v>0</v>
      </c>
      <c r="I471" s="8" t="s">
        <v>8</v>
      </c>
      <c r="J471" s="1">
        <v>24</v>
      </c>
      <c r="K471" s="1" t="s">
        <v>13</v>
      </c>
      <c r="L471" s="1" t="s">
        <v>56</v>
      </c>
      <c r="M471" s="1" t="s">
        <v>24</v>
      </c>
      <c r="N471" s="10">
        <v>42223</v>
      </c>
      <c r="O471" s="3">
        <v>1607.5989999999999</v>
      </c>
      <c r="P471" s="15">
        <f>IF(Table1[[#This Row],[Amount Spent]]&gt;3500, 3500,Table1[[#This Row],[Amount Spent]])</f>
        <v>1607.5989999999999</v>
      </c>
    </row>
    <row r="472" spans="1:16" x14ac:dyDescent="0.35">
      <c r="A472" s="9">
        <v>472</v>
      </c>
      <c r="B472" s="4" t="s">
        <v>63</v>
      </c>
      <c r="C472" s="9" t="s">
        <v>61</v>
      </c>
      <c r="D472" s="9" t="s">
        <v>66</v>
      </c>
      <c r="E472" s="9" t="s">
        <v>70</v>
      </c>
      <c r="F472" s="9">
        <v>1</v>
      </c>
      <c r="G472" s="5">
        <v>21000</v>
      </c>
      <c r="H472" s="4">
        <v>0</v>
      </c>
      <c r="I472" s="9" t="s">
        <v>67</v>
      </c>
      <c r="J472" s="4">
        <v>24</v>
      </c>
      <c r="K472" s="4" t="s">
        <v>14</v>
      </c>
      <c r="L472" s="4" t="s">
        <v>50</v>
      </c>
      <c r="M472" s="4" t="s">
        <v>34</v>
      </c>
      <c r="N472" s="10">
        <v>40209</v>
      </c>
      <c r="O472" s="6">
        <v>645.87300000000005</v>
      </c>
      <c r="P472" s="15">
        <f>IF(Table1[[#This Row],[Amount Spent]]&gt;3500, 3500,Table1[[#This Row],[Amount Spent]])</f>
        <v>645.87300000000005</v>
      </c>
    </row>
    <row r="473" spans="1:16" x14ac:dyDescent="0.35">
      <c r="A473" s="8">
        <v>473</v>
      </c>
      <c r="B473" s="1" t="s">
        <v>64</v>
      </c>
      <c r="C473" s="8" t="s">
        <v>62</v>
      </c>
      <c r="D473" s="8" t="s">
        <v>66</v>
      </c>
      <c r="E473" s="8" t="s">
        <v>2</v>
      </c>
      <c r="F473" s="8">
        <v>1</v>
      </c>
      <c r="G473" s="2">
        <v>66900</v>
      </c>
      <c r="H473" s="1">
        <v>2</v>
      </c>
      <c r="I473" s="8" t="s">
        <v>68</v>
      </c>
      <c r="J473" s="1">
        <v>12</v>
      </c>
      <c r="K473" s="1" t="s">
        <v>15</v>
      </c>
      <c r="L473" s="1" t="s">
        <v>42</v>
      </c>
      <c r="M473" s="1" t="s">
        <v>32</v>
      </c>
      <c r="N473" s="10">
        <v>40716</v>
      </c>
      <c r="O473" s="3">
        <v>768.63900000000001</v>
      </c>
      <c r="P473" s="15">
        <f>IF(Table1[[#This Row],[Amount Spent]]&gt;3500, 3500,Table1[[#This Row],[Amount Spent]])</f>
        <v>768.63900000000001</v>
      </c>
    </row>
    <row r="474" spans="1:16" x14ac:dyDescent="0.35">
      <c r="A474" s="9">
        <v>474</v>
      </c>
      <c r="B474" s="4" t="s">
        <v>64</v>
      </c>
      <c r="C474" s="9" t="s">
        <v>61</v>
      </c>
      <c r="D474" s="9" t="s">
        <v>58</v>
      </c>
      <c r="E474" s="9" t="s">
        <v>2</v>
      </c>
      <c r="F474" s="9">
        <v>1</v>
      </c>
      <c r="G474" s="5">
        <v>66500</v>
      </c>
      <c r="H474" s="4">
        <v>3</v>
      </c>
      <c r="I474" s="9" t="s">
        <v>67</v>
      </c>
      <c r="J474" s="4">
        <v>12</v>
      </c>
      <c r="K474" s="4" t="s">
        <v>15</v>
      </c>
      <c r="L474" s="4" t="s">
        <v>42</v>
      </c>
      <c r="M474" s="4" t="s">
        <v>32</v>
      </c>
      <c r="N474" s="10">
        <v>40735</v>
      </c>
      <c r="O474" s="6">
        <v>285.56200000000001</v>
      </c>
      <c r="P474" s="15">
        <f>IF(Table1[[#This Row],[Amount Spent]]&gt;3500, 3500,Table1[[#This Row],[Amount Spent]])</f>
        <v>285.56200000000001</v>
      </c>
    </row>
    <row r="475" spans="1:16" x14ac:dyDescent="0.35">
      <c r="A475" s="8">
        <v>475</v>
      </c>
      <c r="B475" s="1" t="s">
        <v>63</v>
      </c>
      <c r="C475" s="8" t="s">
        <v>62</v>
      </c>
      <c r="D475" s="8" t="s">
        <v>66</v>
      </c>
      <c r="E475" s="8" t="s">
        <v>70</v>
      </c>
      <c r="F475" s="8">
        <v>1</v>
      </c>
      <c r="G475" s="2">
        <v>13600</v>
      </c>
      <c r="H475" s="1">
        <v>1</v>
      </c>
      <c r="I475" s="8" t="s">
        <v>67</v>
      </c>
      <c r="J475" s="1">
        <v>6</v>
      </c>
      <c r="K475" s="1" t="s">
        <v>13</v>
      </c>
      <c r="L475" s="1" t="s">
        <v>46</v>
      </c>
      <c r="M475" s="1" t="s">
        <v>22</v>
      </c>
      <c r="N475" s="10">
        <v>41734</v>
      </c>
      <c r="O475" s="3">
        <v>183.43700000000001</v>
      </c>
      <c r="P475" s="15">
        <f>IF(Table1[[#This Row],[Amount Spent]]&gt;3500, 3500,Table1[[#This Row],[Amount Spent]])</f>
        <v>183.43700000000001</v>
      </c>
    </row>
    <row r="476" spans="1:16" x14ac:dyDescent="0.35">
      <c r="A476" s="9">
        <v>476</v>
      </c>
      <c r="B476" s="4" t="s">
        <v>64</v>
      </c>
      <c r="C476" s="9" t="s">
        <v>61</v>
      </c>
      <c r="D476" s="9" t="s">
        <v>58</v>
      </c>
      <c r="E476" s="9" t="s">
        <v>2</v>
      </c>
      <c r="F476" s="9">
        <v>1</v>
      </c>
      <c r="G476" s="5">
        <v>54200</v>
      </c>
      <c r="H476" s="4">
        <v>1</v>
      </c>
      <c r="I476" s="9" t="s">
        <v>68</v>
      </c>
      <c r="J476" s="4">
        <v>6</v>
      </c>
      <c r="K476" s="4" t="s">
        <v>14</v>
      </c>
      <c r="L476" s="4" t="s">
        <v>51</v>
      </c>
      <c r="M476" s="4" t="s">
        <v>38</v>
      </c>
      <c r="N476" s="10">
        <v>42238</v>
      </c>
      <c r="O476" s="6">
        <v>756.95799999999997</v>
      </c>
      <c r="P476" s="15">
        <f>IF(Table1[[#This Row],[Amount Spent]]&gt;3500, 3500,Table1[[#This Row],[Amount Spent]])</f>
        <v>756.95799999999997</v>
      </c>
    </row>
    <row r="477" spans="1:16" x14ac:dyDescent="0.35">
      <c r="A477" s="8">
        <v>477</v>
      </c>
      <c r="B477" s="1" t="s">
        <v>64</v>
      </c>
      <c r="C477" s="8" t="s">
        <v>61</v>
      </c>
      <c r="D477" s="8" t="s">
        <v>58</v>
      </c>
      <c r="E477" s="8" t="s">
        <v>2</v>
      </c>
      <c r="F477" s="8">
        <v>1</v>
      </c>
      <c r="G477" s="2">
        <v>102400</v>
      </c>
      <c r="H477" s="1">
        <v>1</v>
      </c>
      <c r="I477" s="8" t="s">
        <v>69</v>
      </c>
      <c r="J477" s="1">
        <v>18</v>
      </c>
      <c r="K477" s="1" t="s">
        <v>14</v>
      </c>
      <c r="L477" s="1" t="s">
        <v>40</v>
      </c>
      <c r="M477" s="1" t="s">
        <v>37</v>
      </c>
      <c r="N477" s="10">
        <v>40777</v>
      </c>
      <c r="O477" s="3">
        <v>1237.354</v>
      </c>
      <c r="P477" s="15">
        <f>IF(Table1[[#This Row],[Amount Spent]]&gt;3500, 3500,Table1[[#This Row],[Amount Spent]])</f>
        <v>1237.354</v>
      </c>
    </row>
    <row r="478" spans="1:16" x14ac:dyDescent="0.35">
      <c r="A478" s="9">
        <v>478</v>
      </c>
      <c r="B478" s="4" t="s">
        <v>63</v>
      </c>
      <c r="C478" s="9" t="s">
        <v>62</v>
      </c>
      <c r="D478" s="9" t="s">
        <v>66</v>
      </c>
      <c r="E478" s="9" t="s">
        <v>2</v>
      </c>
      <c r="F478" s="9">
        <v>1</v>
      </c>
      <c r="G478" s="5">
        <v>42300</v>
      </c>
      <c r="H478" s="4">
        <v>0</v>
      </c>
      <c r="I478" s="9" t="s">
        <v>8</v>
      </c>
      <c r="J478" s="4">
        <v>6</v>
      </c>
      <c r="K478" s="4" t="s">
        <v>15</v>
      </c>
      <c r="L478" s="4" t="s">
        <v>52</v>
      </c>
      <c r="M478" s="4" t="s">
        <v>31</v>
      </c>
      <c r="N478" s="10">
        <v>42173</v>
      </c>
      <c r="O478" s="6">
        <v>855.64</v>
      </c>
      <c r="P478" s="15">
        <f>IF(Table1[[#This Row],[Amount Spent]]&gt;3500, 3500,Table1[[#This Row],[Amount Spent]])</f>
        <v>855.64</v>
      </c>
    </row>
    <row r="479" spans="1:16" x14ac:dyDescent="0.35">
      <c r="A479" s="8">
        <v>479</v>
      </c>
      <c r="B479" s="1" t="s">
        <v>65</v>
      </c>
      <c r="C479" s="8" t="s">
        <v>62</v>
      </c>
      <c r="D479" s="8" t="s">
        <v>66</v>
      </c>
      <c r="E479" s="8" t="s">
        <v>70</v>
      </c>
      <c r="F479" s="8">
        <v>1</v>
      </c>
      <c r="G479" s="2">
        <v>14900</v>
      </c>
      <c r="H479" s="1">
        <v>0</v>
      </c>
      <c r="I479" s="8" t="s">
        <v>8</v>
      </c>
      <c r="J479" s="1">
        <v>12</v>
      </c>
      <c r="K479" s="1" t="s">
        <v>13</v>
      </c>
      <c r="L479" s="1" t="s">
        <v>43</v>
      </c>
      <c r="M479" s="1" t="s">
        <v>23</v>
      </c>
      <c r="N479" s="10">
        <v>42142</v>
      </c>
      <c r="O479" s="3">
        <v>274.58499999999998</v>
      </c>
      <c r="P479" s="15">
        <f>IF(Table1[[#This Row],[Amount Spent]]&gt;3500, 3500,Table1[[#This Row],[Amount Spent]])</f>
        <v>274.58499999999998</v>
      </c>
    </row>
    <row r="480" spans="1:16" x14ac:dyDescent="0.35">
      <c r="A480" s="9">
        <v>480</v>
      </c>
      <c r="B480" s="4" t="s">
        <v>64</v>
      </c>
      <c r="C480" s="9" t="s">
        <v>61</v>
      </c>
      <c r="D480" s="9" t="s">
        <v>58</v>
      </c>
      <c r="E480" s="9" t="s">
        <v>2</v>
      </c>
      <c r="F480" s="9">
        <v>1</v>
      </c>
      <c r="G480" s="5">
        <v>123800</v>
      </c>
      <c r="H480" s="4">
        <v>2</v>
      </c>
      <c r="I480" s="9" t="s">
        <v>8</v>
      </c>
      <c r="J480" s="4">
        <v>18</v>
      </c>
      <c r="K480" s="4" t="s">
        <v>13</v>
      </c>
      <c r="L480" s="4" t="s">
        <v>46</v>
      </c>
      <c r="M480" s="4" t="s">
        <v>22</v>
      </c>
      <c r="N480" s="10">
        <v>42111</v>
      </c>
      <c r="O480" s="6">
        <v>3536.9119999999998</v>
      </c>
      <c r="P480" s="15">
        <f>IF(Table1[[#This Row],[Amount Spent]]&gt;3500, 3500,Table1[[#This Row],[Amount Spent]])</f>
        <v>3500</v>
      </c>
    </row>
    <row r="481" spans="1:16" x14ac:dyDescent="0.35">
      <c r="A481" s="8">
        <v>481</v>
      </c>
      <c r="B481" s="1" t="s">
        <v>65</v>
      </c>
      <c r="C481" s="8" t="s">
        <v>61</v>
      </c>
      <c r="D481" s="8" t="s">
        <v>58</v>
      </c>
      <c r="E481" s="8" t="s">
        <v>70</v>
      </c>
      <c r="F481" s="8">
        <v>1</v>
      </c>
      <c r="G481" s="2">
        <v>58700</v>
      </c>
      <c r="H481" s="1">
        <v>0</v>
      </c>
      <c r="I481" s="8" t="s">
        <v>8</v>
      </c>
      <c r="J481" s="1">
        <v>24</v>
      </c>
      <c r="K481" s="1" t="s">
        <v>12</v>
      </c>
      <c r="L481" s="1" t="s">
        <v>53</v>
      </c>
      <c r="M481" s="1" t="s">
        <v>19</v>
      </c>
      <c r="N481" s="10">
        <v>42237</v>
      </c>
      <c r="O481" s="3">
        <v>1479.4839999999999</v>
      </c>
      <c r="P481" s="15">
        <f>IF(Table1[[#This Row],[Amount Spent]]&gt;3500, 3500,Table1[[#This Row],[Amount Spent]])</f>
        <v>1479.4839999999999</v>
      </c>
    </row>
    <row r="482" spans="1:16" x14ac:dyDescent="0.35">
      <c r="A482" s="9">
        <v>482</v>
      </c>
      <c r="B482" s="4" t="s">
        <v>63</v>
      </c>
      <c r="C482" s="9" t="s">
        <v>62</v>
      </c>
      <c r="D482" s="9" t="s">
        <v>66</v>
      </c>
      <c r="E482" s="9" t="s">
        <v>70</v>
      </c>
      <c r="F482" s="9">
        <v>1</v>
      </c>
      <c r="G482" s="5">
        <v>15000</v>
      </c>
      <c r="H482" s="4">
        <v>2</v>
      </c>
      <c r="I482" s="9" t="s">
        <v>8</v>
      </c>
      <c r="J482" s="4">
        <v>12</v>
      </c>
      <c r="K482" s="4" t="s">
        <v>14</v>
      </c>
      <c r="L482" s="4" t="s">
        <v>50</v>
      </c>
      <c r="M482" s="4" t="s">
        <v>35</v>
      </c>
      <c r="N482" s="10">
        <v>42158</v>
      </c>
      <c r="O482" s="6">
        <v>340.80900000000003</v>
      </c>
      <c r="P482" s="15">
        <f>IF(Table1[[#This Row],[Amount Spent]]&gt;3500, 3500,Table1[[#This Row],[Amount Spent]])</f>
        <v>340.80900000000003</v>
      </c>
    </row>
    <row r="483" spans="1:16" x14ac:dyDescent="0.35">
      <c r="A483" s="8">
        <v>483</v>
      </c>
      <c r="B483" s="1" t="s">
        <v>63</v>
      </c>
      <c r="C483" s="8" t="s">
        <v>61</v>
      </c>
      <c r="D483" s="8" t="s">
        <v>66</v>
      </c>
      <c r="E483" s="8" t="s">
        <v>70</v>
      </c>
      <c r="F483" s="8">
        <v>1</v>
      </c>
      <c r="G483" s="2">
        <v>14100</v>
      </c>
      <c r="H483" s="1">
        <v>0</v>
      </c>
      <c r="I483" s="8" t="s">
        <v>67</v>
      </c>
      <c r="J483" s="1">
        <v>12</v>
      </c>
      <c r="K483" s="1" t="s">
        <v>15</v>
      </c>
      <c r="L483" s="1" t="s">
        <v>28</v>
      </c>
      <c r="M483" s="1" t="s">
        <v>33</v>
      </c>
      <c r="N483" s="10">
        <v>41418</v>
      </c>
      <c r="O483" s="3">
        <v>328.06900000000002</v>
      </c>
      <c r="P483" s="15">
        <f>IF(Table1[[#This Row],[Amount Spent]]&gt;3500, 3500,Table1[[#This Row],[Amount Spent]])</f>
        <v>328.06900000000002</v>
      </c>
    </row>
    <row r="484" spans="1:16" x14ac:dyDescent="0.35">
      <c r="A484" s="9">
        <v>484</v>
      </c>
      <c r="B484" s="4" t="s">
        <v>63</v>
      </c>
      <c r="C484" s="9" t="s">
        <v>62</v>
      </c>
      <c r="D484" s="9" t="s">
        <v>66</v>
      </c>
      <c r="E484" s="9" t="s">
        <v>70</v>
      </c>
      <c r="F484" s="9">
        <v>0</v>
      </c>
      <c r="G484" s="5">
        <v>17300</v>
      </c>
      <c r="H484" s="4">
        <v>1</v>
      </c>
      <c r="I484" s="9" t="s">
        <v>67</v>
      </c>
      <c r="J484" s="4">
        <v>18</v>
      </c>
      <c r="K484" s="4" t="s">
        <v>15</v>
      </c>
      <c r="L484" s="4" t="s">
        <v>28</v>
      </c>
      <c r="M484" s="4" t="s">
        <v>33</v>
      </c>
      <c r="N484" s="10">
        <v>40555</v>
      </c>
      <c r="O484" s="6">
        <v>380.892</v>
      </c>
      <c r="P484" s="15">
        <f>IF(Table1[[#This Row],[Amount Spent]]&gt;3500, 3500,Table1[[#This Row],[Amount Spent]])</f>
        <v>380.892</v>
      </c>
    </row>
    <row r="485" spans="1:16" x14ac:dyDescent="0.35">
      <c r="A485" s="8">
        <v>485</v>
      </c>
      <c r="B485" s="1" t="s">
        <v>64</v>
      </c>
      <c r="C485" s="8" t="s">
        <v>61</v>
      </c>
      <c r="D485" s="8" t="s">
        <v>58</v>
      </c>
      <c r="E485" s="8" t="s">
        <v>2</v>
      </c>
      <c r="F485" s="8">
        <v>0</v>
      </c>
      <c r="G485" s="2">
        <v>77800</v>
      </c>
      <c r="H485" s="1">
        <v>1</v>
      </c>
      <c r="I485" s="8" t="s">
        <v>69</v>
      </c>
      <c r="J485" s="1">
        <v>18</v>
      </c>
      <c r="K485" s="1" t="s">
        <v>15</v>
      </c>
      <c r="L485" s="1" t="s">
        <v>44</v>
      </c>
      <c r="M485" s="1" t="s">
        <v>29</v>
      </c>
      <c r="N485" s="10">
        <v>39961</v>
      </c>
      <c r="O485" s="3">
        <v>1813.0640000000001</v>
      </c>
      <c r="P485" s="15">
        <f>IF(Table1[[#This Row],[Amount Spent]]&gt;3500, 3500,Table1[[#This Row],[Amount Spent]])</f>
        <v>1813.0640000000001</v>
      </c>
    </row>
    <row r="486" spans="1:16" x14ac:dyDescent="0.35">
      <c r="A486" s="9">
        <v>486</v>
      </c>
      <c r="B486" s="4" t="s">
        <v>65</v>
      </c>
      <c r="C486" s="9" t="s">
        <v>62</v>
      </c>
      <c r="D486" s="9" t="s">
        <v>66</v>
      </c>
      <c r="E486" s="9" t="s">
        <v>2</v>
      </c>
      <c r="F486" s="9">
        <v>1</v>
      </c>
      <c r="G486" s="5">
        <v>65900</v>
      </c>
      <c r="H486" s="4">
        <v>0</v>
      </c>
      <c r="I486" s="9" t="s">
        <v>69</v>
      </c>
      <c r="J486" s="4">
        <v>12</v>
      </c>
      <c r="K486" s="4" t="s">
        <v>12</v>
      </c>
      <c r="L486" s="4" t="s">
        <v>55</v>
      </c>
      <c r="M486" s="4" t="s">
        <v>17</v>
      </c>
      <c r="N486" s="10">
        <v>42090</v>
      </c>
      <c r="O486" s="6">
        <v>777.32799999999997</v>
      </c>
      <c r="P486" s="15">
        <f>IF(Table1[[#This Row],[Amount Spent]]&gt;3500, 3500,Table1[[#This Row],[Amount Spent]])</f>
        <v>777.32799999999997</v>
      </c>
    </row>
    <row r="487" spans="1:16" x14ac:dyDescent="0.35">
      <c r="A487" s="8">
        <v>487</v>
      </c>
      <c r="B487" s="1" t="s">
        <v>64</v>
      </c>
      <c r="C487" s="8" t="s">
        <v>61</v>
      </c>
      <c r="D487" s="8" t="s">
        <v>58</v>
      </c>
      <c r="E487" s="8" t="s">
        <v>70</v>
      </c>
      <c r="F487" s="8">
        <v>1</v>
      </c>
      <c r="G487" s="2">
        <v>73200</v>
      </c>
      <c r="H487" s="1">
        <v>0</v>
      </c>
      <c r="I487" s="8" t="s">
        <v>69</v>
      </c>
      <c r="J487" s="1">
        <v>24</v>
      </c>
      <c r="K487" s="1" t="s">
        <v>13</v>
      </c>
      <c r="L487" s="1" t="s">
        <v>43</v>
      </c>
      <c r="M487" s="1" t="s">
        <v>23</v>
      </c>
      <c r="N487" s="10">
        <v>41503</v>
      </c>
      <c r="O487" s="3">
        <v>2176.837</v>
      </c>
      <c r="P487" s="15">
        <f>IF(Table1[[#This Row],[Amount Spent]]&gt;3500, 3500,Table1[[#This Row],[Amount Spent]])</f>
        <v>2176.837</v>
      </c>
    </row>
    <row r="488" spans="1:16" x14ac:dyDescent="0.35">
      <c r="A488" s="9">
        <v>488</v>
      </c>
      <c r="B488" s="4" t="s">
        <v>64</v>
      </c>
      <c r="C488" s="9" t="s">
        <v>61</v>
      </c>
      <c r="D488" s="9" t="s">
        <v>58</v>
      </c>
      <c r="E488" s="9" t="s">
        <v>2</v>
      </c>
      <c r="F488" s="9">
        <v>1</v>
      </c>
      <c r="G488" s="5">
        <v>88100</v>
      </c>
      <c r="H488" s="4">
        <v>2</v>
      </c>
      <c r="I488" s="9" t="s">
        <v>68</v>
      </c>
      <c r="J488" s="4">
        <v>24</v>
      </c>
      <c r="K488" s="4" t="s">
        <v>13</v>
      </c>
      <c r="L488" s="4" t="s">
        <v>56</v>
      </c>
      <c r="M488" s="4" t="s">
        <v>24</v>
      </c>
      <c r="N488" s="10">
        <v>40551</v>
      </c>
      <c r="O488" s="6">
        <v>1078.499</v>
      </c>
      <c r="P488" s="15">
        <f>IF(Table1[[#This Row],[Amount Spent]]&gt;3500, 3500,Table1[[#This Row],[Amount Spent]])</f>
        <v>1078.499</v>
      </c>
    </row>
    <row r="489" spans="1:16" x14ac:dyDescent="0.35">
      <c r="A489" s="8">
        <v>489</v>
      </c>
      <c r="B489" s="1" t="s">
        <v>64</v>
      </c>
      <c r="C489" s="8" t="s">
        <v>62</v>
      </c>
      <c r="D489" s="8" t="s">
        <v>58</v>
      </c>
      <c r="E489" s="8" t="s">
        <v>2</v>
      </c>
      <c r="F489" s="8">
        <v>1</v>
      </c>
      <c r="G489" s="2">
        <v>51900</v>
      </c>
      <c r="H489" s="1">
        <v>3</v>
      </c>
      <c r="I489" s="8" t="s">
        <v>67</v>
      </c>
      <c r="J489" s="1">
        <v>6</v>
      </c>
      <c r="K489" s="1" t="s">
        <v>13</v>
      </c>
      <c r="L489" s="1" t="s">
        <v>45</v>
      </c>
      <c r="M489" s="1" t="s">
        <v>26</v>
      </c>
      <c r="N489" s="10">
        <v>41856</v>
      </c>
      <c r="O489" s="3">
        <v>157.53100000000001</v>
      </c>
      <c r="P489" s="15">
        <f>IF(Table1[[#This Row],[Amount Spent]]&gt;3500, 3500,Table1[[#This Row],[Amount Spent]])</f>
        <v>157.53100000000001</v>
      </c>
    </row>
    <row r="490" spans="1:16" x14ac:dyDescent="0.35">
      <c r="A490" s="9">
        <v>490</v>
      </c>
      <c r="B490" s="4" t="s">
        <v>65</v>
      </c>
      <c r="C490" s="9" t="s">
        <v>62</v>
      </c>
      <c r="D490" s="9" t="s">
        <v>58</v>
      </c>
      <c r="E490" s="9" t="s">
        <v>70</v>
      </c>
      <c r="F490" s="9">
        <v>0</v>
      </c>
      <c r="G490" s="5">
        <v>47500</v>
      </c>
      <c r="H490" s="4">
        <v>0</v>
      </c>
      <c r="I490" s="9" t="s">
        <v>69</v>
      </c>
      <c r="J490" s="4">
        <v>6</v>
      </c>
      <c r="K490" s="4" t="s">
        <v>13</v>
      </c>
      <c r="L490" s="4" t="s">
        <v>42</v>
      </c>
      <c r="M490" s="4" t="s">
        <v>25</v>
      </c>
      <c r="N490" s="10">
        <v>41290</v>
      </c>
      <c r="O490" s="6">
        <v>754.84</v>
      </c>
      <c r="P490" s="15">
        <f>IF(Table1[[#This Row],[Amount Spent]]&gt;3500, 3500,Table1[[#This Row],[Amount Spent]])</f>
        <v>754.84</v>
      </c>
    </row>
    <row r="491" spans="1:16" x14ac:dyDescent="0.35">
      <c r="A491" s="8">
        <v>491</v>
      </c>
      <c r="B491" s="1" t="s">
        <v>64</v>
      </c>
      <c r="C491" s="8" t="s">
        <v>61</v>
      </c>
      <c r="D491" s="8" t="s">
        <v>58</v>
      </c>
      <c r="E491" s="8" t="s">
        <v>2</v>
      </c>
      <c r="F491" s="8">
        <v>1</v>
      </c>
      <c r="G491" s="2">
        <v>74500</v>
      </c>
      <c r="H491" s="1">
        <v>0</v>
      </c>
      <c r="I491" s="8" t="s">
        <v>69</v>
      </c>
      <c r="J491" s="1">
        <v>6</v>
      </c>
      <c r="K491" s="1" t="s">
        <v>15</v>
      </c>
      <c r="L491" s="1" t="s">
        <v>52</v>
      </c>
      <c r="M491" s="1" t="s">
        <v>30</v>
      </c>
      <c r="N491" s="10">
        <v>40731</v>
      </c>
      <c r="O491" s="3">
        <v>1481</v>
      </c>
      <c r="P491" s="15">
        <f>IF(Table1[[#This Row],[Amount Spent]]&gt;3500, 3500,Table1[[#This Row],[Amount Spent]])</f>
        <v>1481</v>
      </c>
    </row>
    <row r="492" spans="1:16" x14ac:dyDescent="0.35">
      <c r="A492" s="9">
        <v>492</v>
      </c>
      <c r="B492" s="4" t="s">
        <v>63</v>
      </c>
      <c r="C492" s="9" t="s">
        <v>62</v>
      </c>
      <c r="D492" s="9" t="s">
        <v>58</v>
      </c>
      <c r="E492" s="9" t="s">
        <v>70</v>
      </c>
      <c r="F492" s="9">
        <v>0</v>
      </c>
      <c r="G492" s="5">
        <v>27900</v>
      </c>
      <c r="H492" s="4">
        <v>0</v>
      </c>
      <c r="I492" s="9" t="s">
        <v>68</v>
      </c>
      <c r="J492" s="4">
        <v>18</v>
      </c>
      <c r="K492" s="4" t="s">
        <v>14</v>
      </c>
      <c r="L492" s="4" t="s">
        <v>50</v>
      </c>
      <c r="M492" s="4" t="s">
        <v>35</v>
      </c>
      <c r="N492" s="10">
        <v>40935</v>
      </c>
      <c r="O492" s="6">
        <v>1184.0540000000001</v>
      </c>
      <c r="P492" s="15">
        <f>IF(Table1[[#This Row],[Amount Spent]]&gt;3500, 3500,Table1[[#This Row],[Amount Spent]])</f>
        <v>1184.0540000000001</v>
      </c>
    </row>
    <row r="493" spans="1:16" x14ac:dyDescent="0.35">
      <c r="A493" s="8">
        <v>493</v>
      </c>
      <c r="B493" s="1" t="s">
        <v>65</v>
      </c>
      <c r="C493" s="8" t="s">
        <v>61</v>
      </c>
      <c r="D493" s="8" t="s">
        <v>58</v>
      </c>
      <c r="E493" s="8" t="s">
        <v>2</v>
      </c>
      <c r="F493" s="8">
        <v>1</v>
      </c>
      <c r="G493" s="2">
        <v>58300</v>
      </c>
      <c r="H493" s="1">
        <v>0</v>
      </c>
      <c r="I493" s="8" t="s">
        <v>68</v>
      </c>
      <c r="J493" s="1">
        <v>24</v>
      </c>
      <c r="K493" s="1" t="s">
        <v>15</v>
      </c>
      <c r="L493" s="1" t="s">
        <v>28</v>
      </c>
      <c r="M493" s="1" t="s">
        <v>28</v>
      </c>
      <c r="N493" s="10">
        <v>41863</v>
      </c>
      <c r="O493" s="3">
        <v>1472.2629999999999</v>
      </c>
      <c r="P493" s="15">
        <f>IF(Table1[[#This Row],[Amount Spent]]&gt;3500, 3500,Table1[[#This Row],[Amount Spent]])</f>
        <v>1472.2629999999999</v>
      </c>
    </row>
    <row r="494" spans="1:16" x14ac:dyDescent="0.35">
      <c r="A494" s="9">
        <v>494</v>
      </c>
      <c r="B494" s="4" t="s">
        <v>64</v>
      </c>
      <c r="C494" s="9" t="s">
        <v>61</v>
      </c>
      <c r="D494" s="9" t="s">
        <v>58</v>
      </c>
      <c r="E494" s="9" t="s">
        <v>2</v>
      </c>
      <c r="F494" s="9">
        <v>1</v>
      </c>
      <c r="G494" s="5">
        <v>81200</v>
      </c>
      <c r="H494" s="4">
        <v>0</v>
      </c>
      <c r="I494" s="9" t="s">
        <v>69</v>
      </c>
      <c r="J494" s="4">
        <v>24</v>
      </c>
      <c r="K494" s="4" t="s">
        <v>12</v>
      </c>
      <c r="L494" s="4" t="s">
        <v>47</v>
      </c>
      <c r="M494" s="4" t="s">
        <v>18</v>
      </c>
      <c r="N494" s="10">
        <v>40910</v>
      </c>
      <c r="O494" s="6">
        <v>1855.633</v>
      </c>
      <c r="P494" s="15">
        <f>IF(Table1[[#This Row],[Amount Spent]]&gt;3500, 3500,Table1[[#This Row],[Amount Spent]])</f>
        <v>1855.633</v>
      </c>
    </row>
    <row r="495" spans="1:16" x14ac:dyDescent="0.35">
      <c r="A495" s="8">
        <v>495</v>
      </c>
      <c r="B495" s="1" t="s">
        <v>64</v>
      </c>
      <c r="C495" s="8" t="s">
        <v>61</v>
      </c>
      <c r="D495" s="8" t="s">
        <v>58</v>
      </c>
      <c r="E495" s="8" t="s">
        <v>2</v>
      </c>
      <c r="F495" s="8">
        <v>1</v>
      </c>
      <c r="G495" s="2">
        <v>104100</v>
      </c>
      <c r="H495" s="1">
        <v>0</v>
      </c>
      <c r="I495" s="8" t="s">
        <v>69</v>
      </c>
      <c r="J495" s="1">
        <v>24</v>
      </c>
      <c r="K495" s="1" t="s">
        <v>12</v>
      </c>
      <c r="L495" s="1" t="s">
        <v>53</v>
      </c>
      <c r="M495" s="1" t="s">
        <v>19</v>
      </c>
      <c r="N495" s="10">
        <v>41013</v>
      </c>
      <c r="O495" s="3">
        <v>2636.239</v>
      </c>
      <c r="P495" s="15">
        <f>IF(Table1[[#This Row],[Amount Spent]]&gt;3500, 3500,Table1[[#This Row],[Amount Spent]])</f>
        <v>2636.239</v>
      </c>
    </row>
    <row r="496" spans="1:16" x14ac:dyDescent="0.35">
      <c r="A496" s="9">
        <v>496</v>
      </c>
      <c r="B496" s="4" t="s">
        <v>64</v>
      </c>
      <c r="C496" s="9" t="s">
        <v>62</v>
      </c>
      <c r="D496" s="9" t="s">
        <v>58</v>
      </c>
      <c r="E496" s="9" t="s">
        <v>2</v>
      </c>
      <c r="F496" s="9">
        <v>0</v>
      </c>
      <c r="G496" s="5">
        <v>87200</v>
      </c>
      <c r="H496" s="4">
        <v>0</v>
      </c>
      <c r="I496" s="9" t="s">
        <v>69</v>
      </c>
      <c r="J496" s="4">
        <v>18</v>
      </c>
      <c r="K496" s="4" t="s">
        <v>15</v>
      </c>
      <c r="L496" s="4" t="s">
        <v>52</v>
      </c>
      <c r="M496" s="4" t="s">
        <v>30</v>
      </c>
      <c r="N496" s="10">
        <v>40768</v>
      </c>
      <c r="O496" s="6">
        <v>3603.9189999999999</v>
      </c>
      <c r="P496" s="15">
        <f>IF(Table1[[#This Row],[Amount Spent]]&gt;3500, 3500,Table1[[#This Row],[Amount Spent]])</f>
        <v>3500</v>
      </c>
    </row>
    <row r="497" spans="1:16" x14ac:dyDescent="0.35">
      <c r="A497" s="8">
        <v>497</v>
      </c>
      <c r="B497" s="1" t="s">
        <v>64</v>
      </c>
      <c r="C497" s="8" t="s">
        <v>61</v>
      </c>
      <c r="D497" s="8" t="s">
        <v>58</v>
      </c>
      <c r="E497" s="8" t="s">
        <v>2</v>
      </c>
      <c r="F497" s="8">
        <v>1</v>
      </c>
      <c r="G497" s="2">
        <v>76400</v>
      </c>
      <c r="H497" s="1">
        <v>2</v>
      </c>
      <c r="I497" s="8" t="s">
        <v>68</v>
      </c>
      <c r="J497" s="1">
        <v>18</v>
      </c>
      <c r="K497" s="1" t="s">
        <v>14</v>
      </c>
      <c r="L497" s="1" t="s">
        <v>40</v>
      </c>
      <c r="M497" s="1" t="s">
        <v>37</v>
      </c>
      <c r="N497" s="10">
        <v>39845</v>
      </c>
      <c r="O497" s="3">
        <v>880.63699999999994</v>
      </c>
      <c r="P497" s="15">
        <f>IF(Table1[[#This Row],[Amount Spent]]&gt;3500, 3500,Table1[[#This Row],[Amount Spent]])</f>
        <v>880.63699999999994</v>
      </c>
    </row>
    <row r="498" spans="1:16" x14ac:dyDescent="0.35">
      <c r="A498" s="9">
        <v>498</v>
      </c>
      <c r="B498" s="4" t="s">
        <v>63</v>
      </c>
      <c r="C498" s="9" t="s">
        <v>61</v>
      </c>
      <c r="D498" s="9" t="s">
        <v>66</v>
      </c>
      <c r="E498" s="9" t="s">
        <v>2</v>
      </c>
      <c r="F498" s="9">
        <v>1</v>
      </c>
      <c r="G498" s="5">
        <v>64300</v>
      </c>
      <c r="H498" s="4">
        <v>3</v>
      </c>
      <c r="I498" s="9" t="s">
        <v>67</v>
      </c>
      <c r="J498" s="4">
        <v>6</v>
      </c>
      <c r="K498" s="4" t="s">
        <v>12</v>
      </c>
      <c r="L498" s="4" t="s">
        <v>53</v>
      </c>
      <c r="M498" s="4" t="s">
        <v>19</v>
      </c>
      <c r="N498" s="10">
        <v>41159</v>
      </c>
      <c r="O498" s="6">
        <v>239.19399999999999</v>
      </c>
      <c r="P498" s="15">
        <f>IF(Table1[[#This Row],[Amount Spent]]&gt;3500, 3500,Table1[[#This Row],[Amount Spent]])</f>
        <v>239.19399999999999</v>
      </c>
    </row>
    <row r="499" spans="1:16" x14ac:dyDescent="0.35">
      <c r="A499" s="8">
        <v>499</v>
      </c>
      <c r="B499" s="1" t="s">
        <v>64</v>
      </c>
      <c r="C499" s="8" t="s">
        <v>61</v>
      </c>
      <c r="D499" s="8" t="s">
        <v>58</v>
      </c>
      <c r="E499" s="8" t="s">
        <v>2</v>
      </c>
      <c r="F499" s="8">
        <v>1</v>
      </c>
      <c r="G499" s="2">
        <v>119800</v>
      </c>
      <c r="H499" s="1">
        <v>2</v>
      </c>
      <c r="I499" s="8" t="s">
        <v>68</v>
      </c>
      <c r="J499" s="1">
        <v>24</v>
      </c>
      <c r="K499" s="1" t="s">
        <v>13</v>
      </c>
      <c r="L499" s="1" t="s">
        <v>46</v>
      </c>
      <c r="M499" s="1" t="s">
        <v>22</v>
      </c>
      <c r="N499" s="10">
        <v>41476</v>
      </c>
      <c r="O499" s="3">
        <v>2089.6170000000002</v>
      </c>
      <c r="P499" s="15">
        <f>IF(Table1[[#This Row],[Amount Spent]]&gt;3500, 3500,Table1[[#This Row],[Amount Spent]])</f>
        <v>2089.6170000000002</v>
      </c>
    </row>
    <row r="500" spans="1:16" x14ac:dyDescent="0.35">
      <c r="A500" s="9">
        <v>500</v>
      </c>
      <c r="B500" s="4" t="s">
        <v>64</v>
      </c>
      <c r="C500" s="9" t="s">
        <v>61</v>
      </c>
      <c r="D500" s="9" t="s">
        <v>58</v>
      </c>
      <c r="E500" s="9" t="s">
        <v>70</v>
      </c>
      <c r="F500" s="9">
        <v>1</v>
      </c>
      <c r="G500" s="5">
        <v>56300</v>
      </c>
      <c r="H500" s="4">
        <v>3</v>
      </c>
      <c r="I500" s="9" t="s">
        <v>67</v>
      </c>
      <c r="J500" s="4">
        <v>6</v>
      </c>
      <c r="K500" s="4" t="s">
        <v>15</v>
      </c>
      <c r="L500" s="4" t="s">
        <v>52</v>
      </c>
      <c r="M500" s="4" t="s">
        <v>30</v>
      </c>
      <c r="N500" s="10">
        <v>40697</v>
      </c>
      <c r="O500" s="6">
        <v>320.75799999999998</v>
      </c>
      <c r="P500" s="15">
        <f>IF(Table1[[#This Row],[Amount Spent]]&gt;3500, 3500,Table1[[#This Row],[Amount Spent]])</f>
        <v>320.75799999999998</v>
      </c>
    </row>
    <row r="501" spans="1:16" x14ac:dyDescent="0.35">
      <c r="A501" s="8">
        <v>501</v>
      </c>
      <c r="B501" s="1" t="s">
        <v>63</v>
      </c>
      <c r="C501" s="8" t="s">
        <v>61</v>
      </c>
      <c r="D501" s="8" t="s">
        <v>66</v>
      </c>
      <c r="E501" s="8" t="s">
        <v>2</v>
      </c>
      <c r="F501" s="8">
        <v>1</v>
      </c>
      <c r="G501" s="2">
        <v>67800</v>
      </c>
      <c r="H501" s="1">
        <v>0</v>
      </c>
      <c r="I501" s="8" t="s">
        <v>69</v>
      </c>
      <c r="J501" s="1">
        <v>12</v>
      </c>
      <c r="K501" s="1" t="s">
        <v>13</v>
      </c>
      <c r="L501" s="1" t="s">
        <v>43</v>
      </c>
      <c r="M501" s="1" t="s">
        <v>23</v>
      </c>
      <c r="N501" s="10">
        <v>41828</v>
      </c>
      <c r="O501" s="3">
        <v>1083.6769999999999</v>
      </c>
      <c r="P501" s="15">
        <f>IF(Table1[[#This Row],[Amount Spent]]&gt;3500, 3500,Table1[[#This Row],[Amount Spent]])</f>
        <v>1083.6769999999999</v>
      </c>
    </row>
    <row r="502" spans="1:16" x14ac:dyDescent="0.35">
      <c r="A502" s="9">
        <v>502</v>
      </c>
      <c r="B502" s="4" t="s">
        <v>63</v>
      </c>
      <c r="C502" s="9" t="s">
        <v>61</v>
      </c>
      <c r="D502" s="9" t="s">
        <v>66</v>
      </c>
      <c r="E502" s="9" t="s">
        <v>2</v>
      </c>
      <c r="F502" s="9">
        <v>1</v>
      </c>
      <c r="G502" s="5">
        <v>66700</v>
      </c>
      <c r="H502" s="4">
        <v>0</v>
      </c>
      <c r="I502" s="9" t="s">
        <v>8</v>
      </c>
      <c r="J502" s="4">
        <v>18</v>
      </c>
      <c r="K502" s="4" t="s">
        <v>14</v>
      </c>
      <c r="L502" s="4" t="s">
        <v>40</v>
      </c>
      <c r="M502" s="4" t="s">
        <v>36</v>
      </c>
      <c r="N502" s="10">
        <v>42193</v>
      </c>
      <c r="O502" s="6">
        <v>1310.0129999999999</v>
      </c>
      <c r="P502" s="15">
        <f>IF(Table1[[#This Row],[Amount Spent]]&gt;3500, 3500,Table1[[#This Row],[Amount Spent]])</f>
        <v>1310.0129999999999</v>
      </c>
    </row>
    <row r="503" spans="1:16" x14ac:dyDescent="0.35">
      <c r="A503" s="8">
        <v>503</v>
      </c>
      <c r="B503" s="1" t="s">
        <v>65</v>
      </c>
      <c r="C503" s="8" t="s">
        <v>62</v>
      </c>
      <c r="D503" s="8" t="s">
        <v>58</v>
      </c>
      <c r="E503" s="8" t="s">
        <v>2</v>
      </c>
      <c r="F503" s="8">
        <v>0</v>
      </c>
      <c r="G503" s="2">
        <v>91800</v>
      </c>
      <c r="H503" s="1">
        <v>0</v>
      </c>
      <c r="I503" s="8" t="s">
        <v>8</v>
      </c>
      <c r="J503" s="1">
        <v>24</v>
      </c>
      <c r="K503" s="1" t="s">
        <v>15</v>
      </c>
      <c r="L503" s="1" t="s">
        <v>42</v>
      </c>
      <c r="M503" s="1" t="s">
        <v>32</v>
      </c>
      <c r="N503" s="10">
        <v>42211</v>
      </c>
      <c r="O503" s="3">
        <v>2451.6080000000002</v>
      </c>
      <c r="P503" s="15">
        <f>IF(Table1[[#This Row],[Amount Spent]]&gt;3500, 3500,Table1[[#This Row],[Amount Spent]])</f>
        <v>2451.6080000000002</v>
      </c>
    </row>
    <row r="504" spans="1:16" x14ac:dyDescent="0.35">
      <c r="A504" s="9">
        <v>504</v>
      </c>
      <c r="B504" s="4" t="s">
        <v>63</v>
      </c>
      <c r="C504" s="9" t="s">
        <v>61</v>
      </c>
      <c r="D504" s="9" t="s">
        <v>66</v>
      </c>
      <c r="E504" s="9" t="s">
        <v>70</v>
      </c>
      <c r="F504" s="9">
        <v>1</v>
      </c>
      <c r="G504" s="5">
        <v>17700</v>
      </c>
      <c r="H504" s="4">
        <v>1</v>
      </c>
      <c r="I504" s="9" t="s">
        <v>67</v>
      </c>
      <c r="J504" s="4">
        <v>12</v>
      </c>
      <c r="K504" s="4" t="s">
        <v>13</v>
      </c>
      <c r="L504" s="4" t="s">
        <v>46</v>
      </c>
      <c r="M504" s="4" t="s">
        <v>22</v>
      </c>
      <c r="N504" s="10">
        <v>41990</v>
      </c>
      <c r="O504" s="6">
        <v>268.20800000000003</v>
      </c>
      <c r="P504" s="15">
        <f>IF(Table1[[#This Row],[Amount Spent]]&gt;3500, 3500,Table1[[#This Row],[Amount Spent]])</f>
        <v>268.20800000000003</v>
      </c>
    </row>
    <row r="505" spans="1:16" x14ac:dyDescent="0.35">
      <c r="A505" s="8">
        <v>505</v>
      </c>
      <c r="B505" s="1" t="s">
        <v>64</v>
      </c>
      <c r="C505" s="8" t="s">
        <v>62</v>
      </c>
      <c r="D505" s="8" t="s">
        <v>58</v>
      </c>
      <c r="E505" s="8" t="s">
        <v>2</v>
      </c>
      <c r="F505" s="8">
        <v>1</v>
      </c>
      <c r="G505" s="2">
        <v>97900</v>
      </c>
      <c r="H505" s="1">
        <v>0</v>
      </c>
      <c r="I505" s="8" t="s">
        <v>69</v>
      </c>
      <c r="J505" s="1">
        <v>24</v>
      </c>
      <c r="K505" s="1" t="s">
        <v>12</v>
      </c>
      <c r="L505" s="1" t="s">
        <v>47</v>
      </c>
      <c r="M505" s="1" t="s">
        <v>18</v>
      </c>
      <c r="N505" s="10">
        <v>41370</v>
      </c>
      <c r="O505" s="3">
        <v>2149.223</v>
      </c>
      <c r="P505" s="15">
        <f>IF(Table1[[#This Row],[Amount Spent]]&gt;3500, 3500,Table1[[#This Row],[Amount Spent]])</f>
        <v>2149.223</v>
      </c>
    </row>
    <row r="506" spans="1:16" x14ac:dyDescent="0.35">
      <c r="A506" s="9">
        <v>506</v>
      </c>
      <c r="B506" s="4" t="s">
        <v>63</v>
      </c>
      <c r="C506" s="9" t="s">
        <v>62</v>
      </c>
      <c r="D506" s="9" t="s">
        <v>58</v>
      </c>
      <c r="E506" s="9" t="s">
        <v>2</v>
      </c>
      <c r="F506" s="9">
        <v>1</v>
      </c>
      <c r="G506" s="5">
        <v>76200</v>
      </c>
      <c r="H506" s="4">
        <v>0</v>
      </c>
      <c r="I506" s="9" t="s">
        <v>69</v>
      </c>
      <c r="J506" s="4">
        <v>12</v>
      </c>
      <c r="K506" s="4" t="s">
        <v>12</v>
      </c>
      <c r="L506" s="4" t="s">
        <v>47</v>
      </c>
      <c r="M506" s="4" t="s">
        <v>18</v>
      </c>
      <c r="N506" s="10">
        <v>40846</v>
      </c>
      <c r="O506" s="6">
        <v>979.21799999999996</v>
      </c>
      <c r="P506" s="15">
        <f>IF(Table1[[#This Row],[Amount Spent]]&gt;3500, 3500,Table1[[#This Row],[Amount Spent]])</f>
        <v>979.21799999999996</v>
      </c>
    </row>
    <row r="507" spans="1:16" x14ac:dyDescent="0.35">
      <c r="A507" s="8">
        <v>507</v>
      </c>
      <c r="B507" s="1" t="s">
        <v>64</v>
      </c>
      <c r="C507" s="8" t="s">
        <v>61</v>
      </c>
      <c r="D507" s="8" t="s">
        <v>66</v>
      </c>
      <c r="E507" s="8" t="s">
        <v>70</v>
      </c>
      <c r="F507" s="8">
        <v>1</v>
      </c>
      <c r="G507" s="2">
        <v>47200</v>
      </c>
      <c r="H507" s="1">
        <v>0</v>
      </c>
      <c r="I507" s="8" t="s">
        <v>68</v>
      </c>
      <c r="J507" s="1">
        <v>18</v>
      </c>
      <c r="K507" s="1" t="s">
        <v>15</v>
      </c>
      <c r="L507" s="1" t="s">
        <v>52</v>
      </c>
      <c r="M507" s="1" t="s">
        <v>31</v>
      </c>
      <c r="N507" s="10">
        <v>41418</v>
      </c>
      <c r="O507" s="3">
        <v>1587.3710000000001</v>
      </c>
      <c r="P507" s="15">
        <f>IF(Table1[[#This Row],[Amount Spent]]&gt;3500, 3500,Table1[[#This Row],[Amount Spent]])</f>
        <v>1587.3710000000001</v>
      </c>
    </row>
    <row r="508" spans="1:16" x14ac:dyDescent="0.35">
      <c r="A508" s="9">
        <v>508</v>
      </c>
      <c r="B508" s="4" t="s">
        <v>63</v>
      </c>
      <c r="C508" s="9" t="s">
        <v>61</v>
      </c>
      <c r="D508" s="9" t="s">
        <v>66</v>
      </c>
      <c r="E508" s="9" t="s">
        <v>70</v>
      </c>
      <c r="F508" s="9">
        <v>1</v>
      </c>
      <c r="G508" s="5">
        <v>21700</v>
      </c>
      <c r="H508" s="4">
        <v>1</v>
      </c>
      <c r="I508" s="9" t="s">
        <v>8</v>
      </c>
      <c r="J508" s="4">
        <v>18</v>
      </c>
      <c r="K508" s="4" t="s">
        <v>15</v>
      </c>
      <c r="L508" s="4" t="s">
        <v>28</v>
      </c>
      <c r="M508" s="4" t="s">
        <v>33</v>
      </c>
      <c r="N508" s="10">
        <v>42155</v>
      </c>
      <c r="O508" s="6">
        <v>773.96900000000005</v>
      </c>
      <c r="P508" s="15">
        <f>IF(Table1[[#This Row],[Amount Spent]]&gt;3500, 3500,Table1[[#This Row],[Amount Spent]])</f>
        <v>773.96900000000005</v>
      </c>
    </row>
    <row r="509" spans="1:16" x14ac:dyDescent="0.35">
      <c r="A509" s="8">
        <v>509</v>
      </c>
      <c r="B509" s="1" t="s">
        <v>64</v>
      </c>
      <c r="C509" s="8" t="s">
        <v>61</v>
      </c>
      <c r="D509" s="8" t="s">
        <v>58</v>
      </c>
      <c r="E509" s="8" t="s">
        <v>2</v>
      </c>
      <c r="F509" s="8">
        <v>1</v>
      </c>
      <c r="G509" s="2">
        <v>82400</v>
      </c>
      <c r="H509" s="1">
        <v>0</v>
      </c>
      <c r="I509" s="8" t="s">
        <v>69</v>
      </c>
      <c r="J509" s="1">
        <v>18</v>
      </c>
      <c r="K509" s="1" t="s">
        <v>15</v>
      </c>
      <c r="L509" s="1" t="s">
        <v>44</v>
      </c>
      <c r="M509" s="1" t="s">
        <v>29</v>
      </c>
      <c r="N509" s="10">
        <v>42226</v>
      </c>
      <c r="O509" s="3">
        <v>1779.03</v>
      </c>
      <c r="P509" s="15">
        <f>IF(Table1[[#This Row],[Amount Spent]]&gt;3500, 3500,Table1[[#This Row],[Amount Spent]])</f>
        <v>1779.03</v>
      </c>
    </row>
    <row r="510" spans="1:16" x14ac:dyDescent="0.35">
      <c r="A510" s="9">
        <v>510</v>
      </c>
      <c r="B510" s="4" t="s">
        <v>64</v>
      </c>
      <c r="C510" s="9" t="s">
        <v>62</v>
      </c>
      <c r="D510" s="9" t="s">
        <v>66</v>
      </c>
      <c r="E510" s="9" t="s">
        <v>70</v>
      </c>
      <c r="F510" s="9">
        <v>0</v>
      </c>
      <c r="G510" s="5">
        <v>35600</v>
      </c>
      <c r="H510" s="4">
        <v>3</v>
      </c>
      <c r="I510" s="9" t="s">
        <v>67</v>
      </c>
      <c r="J510" s="4">
        <v>18</v>
      </c>
      <c r="K510" s="4" t="s">
        <v>12</v>
      </c>
      <c r="L510" s="4" t="s">
        <v>47</v>
      </c>
      <c r="M510" s="4" t="s">
        <v>16</v>
      </c>
      <c r="N510" s="10">
        <v>41929</v>
      </c>
      <c r="O510" s="6">
        <v>865.08500000000004</v>
      </c>
      <c r="P510" s="15">
        <f>IF(Table1[[#This Row],[Amount Spent]]&gt;3500, 3500,Table1[[#This Row],[Amount Spent]])</f>
        <v>865.08500000000004</v>
      </c>
    </row>
    <row r="511" spans="1:16" x14ac:dyDescent="0.35">
      <c r="A511" s="8">
        <v>511</v>
      </c>
      <c r="B511" s="1" t="s">
        <v>65</v>
      </c>
      <c r="C511" s="8" t="s">
        <v>61</v>
      </c>
      <c r="D511" s="8" t="s">
        <v>66</v>
      </c>
      <c r="E511" s="8" t="s">
        <v>70</v>
      </c>
      <c r="F511" s="8">
        <v>1</v>
      </c>
      <c r="G511" s="2">
        <v>42800</v>
      </c>
      <c r="H511" s="1">
        <v>0</v>
      </c>
      <c r="I511" s="8" t="s">
        <v>68</v>
      </c>
      <c r="J511" s="1">
        <v>12</v>
      </c>
      <c r="K511" s="1" t="s">
        <v>14</v>
      </c>
      <c r="L511" s="1" t="s">
        <v>49</v>
      </c>
      <c r="M511" s="1" t="s">
        <v>39</v>
      </c>
      <c r="N511" s="10">
        <v>41994</v>
      </c>
      <c r="O511" s="3">
        <v>922.04700000000003</v>
      </c>
      <c r="P511" s="15">
        <f>IF(Table1[[#This Row],[Amount Spent]]&gt;3500, 3500,Table1[[#This Row],[Amount Spent]])</f>
        <v>922.04700000000003</v>
      </c>
    </row>
    <row r="512" spans="1:16" x14ac:dyDescent="0.35">
      <c r="A512" s="9">
        <v>512</v>
      </c>
      <c r="B512" s="4" t="s">
        <v>64</v>
      </c>
      <c r="C512" s="9" t="s">
        <v>61</v>
      </c>
      <c r="D512" s="9" t="s">
        <v>66</v>
      </c>
      <c r="E512" s="9" t="s">
        <v>70</v>
      </c>
      <c r="F512" s="9">
        <v>1</v>
      </c>
      <c r="G512" s="5">
        <v>72000</v>
      </c>
      <c r="H512" s="4">
        <v>0</v>
      </c>
      <c r="I512" s="9" t="s">
        <v>69</v>
      </c>
      <c r="J512" s="4">
        <v>12</v>
      </c>
      <c r="K512" s="4" t="s">
        <v>13</v>
      </c>
      <c r="L512" s="4" t="s">
        <v>45</v>
      </c>
      <c r="M512" s="4" t="s">
        <v>26</v>
      </c>
      <c r="N512" s="10">
        <v>41058</v>
      </c>
      <c r="O512" s="6">
        <v>1474.787</v>
      </c>
      <c r="P512" s="15">
        <f>IF(Table1[[#This Row],[Amount Spent]]&gt;3500, 3500,Table1[[#This Row],[Amount Spent]])</f>
        <v>1474.787</v>
      </c>
    </row>
    <row r="513" spans="1:16" x14ac:dyDescent="0.35">
      <c r="A513" s="8">
        <v>513</v>
      </c>
      <c r="B513" s="1" t="s">
        <v>64</v>
      </c>
      <c r="C513" s="8" t="s">
        <v>62</v>
      </c>
      <c r="D513" s="8" t="s">
        <v>58</v>
      </c>
      <c r="E513" s="8" t="s">
        <v>2</v>
      </c>
      <c r="F513" s="8">
        <v>0</v>
      </c>
      <c r="G513" s="2">
        <v>90400</v>
      </c>
      <c r="H513" s="1">
        <v>1</v>
      </c>
      <c r="I513" s="8" t="s">
        <v>69</v>
      </c>
      <c r="J513" s="1">
        <v>18</v>
      </c>
      <c r="K513" s="1" t="s">
        <v>15</v>
      </c>
      <c r="L513" s="1" t="s">
        <v>28</v>
      </c>
      <c r="M513" s="1" t="s">
        <v>28</v>
      </c>
      <c r="N513" s="10">
        <v>40880</v>
      </c>
      <c r="O513" s="3">
        <v>2924.424</v>
      </c>
      <c r="P513" s="15">
        <f>IF(Table1[[#This Row],[Amount Spent]]&gt;3500, 3500,Table1[[#This Row],[Amount Spent]])</f>
        <v>2924.424</v>
      </c>
    </row>
    <row r="514" spans="1:16" x14ac:dyDescent="0.35">
      <c r="A514" s="9">
        <v>514</v>
      </c>
      <c r="B514" s="4" t="s">
        <v>63</v>
      </c>
      <c r="C514" s="9" t="s">
        <v>61</v>
      </c>
      <c r="D514" s="9" t="s">
        <v>66</v>
      </c>
      <c r="E514" s="9" t="s">
        <v>2</v>
      </c>
      <c r="F514" s="9">
        <v>1</v>
      </c>
      <c r="G514" s="5">
        <v>37200</v>
      </c>
      <c r="H514" s="4">
        <v>1</v>
      </c>
      <c r="I514" s="9" t="s">
        <v>67</v>
      </c>
      <c r="J514" s="4">
        <v>6</v>
      </c>
      <c r="K514" s="4" t="s">
        <v>12</v>
      </c>
      <c r="L514" s="4" t="s">
        <v>55</v>
      </c>
      <c r="M514" s="4" t="s">
        <v>17</v>
      </c>
      <c r="N514" s="10">
        <v>40786</v>
      </c>
      <c r="O514" s="6">
        <v>247.00700000000001</v>
      </c>
      <c r="P514" s="15">
        <f>IF(Table1[[#This Row],[Amount Spent]]&gt;3500, 3500,Table1[[#This Row],[Amount Spent]])</f>
        <v>247.00700000000001</v>
      </c>
    </row>
    <row r="515" spans="1:16" x14ac:dyDescent="0.35">
      <c r="A515" s="8">
        <v>515</v>
      </c>
      <c r="B515" s="1" t="s">
        <v>64</v>
      </c>
      <c r="C515" s="8" t="s">
        <v>61</v>
      </c>
      <c r="D515" s="8" t="s">
        <v>58</v>
      </c>
      <c r="E515" s="8" t="s">
        <v>2</v>
      </c>
      <c r="F515" s="8">
        <v>1</v>
      </c>
      <c r="G515" s="2">
        <v>77000</v>
      </c>
      <c r="H515" s="1">
        <v>0</v>
      </c>
      <c r="I515" s="8" t="s">
        <v>69</v>
      </c>
      <c r="J515" s="1">
        <v>12</v>
      </c>
      <c r="K515" s="1" t="s">
        <v>15</v>
      </c>
      <c r="L515" s="1" t="s">
        <v>42</v>
      </c>
      <c r="M515" s="1" t="s">
        <v>32</v>
      </c>
      <c r="N515" s="10">
        <v>40714</v>
      </c>
      <c r="O515" s="3">
        <v>2103.614</v>
      </c>
      <c r="P515" s="15">
        <f>IF(Table1[[#This Row],[Amount Spent]]&gt;3500, 3500,Table1[[#This Row],[Amount Spent]])</f>
        <v>2103.614</v>
      </c>
    </row>
    <row r="516" spans="1:16" x14ac:dyDescent="0.35">
      <c r="A516" s="9">
        <v>516</v>
      </c>
      <c r="B516" s="4" t="s">
        <v>63</v>
      </c>
      <c r="C516" s="9" t="s">
        <v>62</v>
      </c>
      <c r="D516" s="9" t="s">
        <v>66</v>
      </c>
      <c r="E516" s="9" t="s">
        <v>2</v>
      </c>
      <c r="F516" s="9">
        <v>1</v>
      </c>
      <c r="G516" s="5">
        <v>71200</v>
      </c>
      <c r="H516" s="4">
        <v>3</v>
      </c>
      <c r="I516" s="9" t="s">
        <v>67</v>
      </c>
      <c r="J516" s="4">
        <v>12</v>
      </c>
      <c r="K516" s="4" t="s">
        <v>15</v>
      </c>
      <c r="L516" s="4" t="s">
        <v>52</v>
      </c>
      <c r="M516" s="4" t="s">
        <v>30</v>
      </c>
      <c r="N516" s="10">
        <v>39955</v>
      </c>
      <c r="O516" s="6">
        <v>392.37900000000002</v>
      </c>
      <c r="P516" s="15">
        <f>IF(Table1[[#This Row],[Amount Spent]]&gt;3500, 3500,Table1[[#This Row],[Amount Spent]])</f>
        <v>392.37900000000002</v>
      </c>
    </row>
    <row r="517" spans="1:16" x14ac:dyDescent="0.35">
      <c r="A517" s="8">
        <v>517</v>
      </c>
      <c r="B517" s="1" t="s">
        <v>65</v>
      </c>
      <c r="C517" s="8" t="s">
        <v>62</v>
      </c>
      <c r="D517" s="8" t="s">
        <v>58</v>
      </c>
      <c r="E517" s="8" t="s">
        <v>2</v>
      </c>
      <c r="F517" s="8">
        <v>1</v>
      </c>
      <c r="G517" s="2">
        <v>61000</v>
      </c>
      <c r="H517" s="1">
        <v>0</v>
      </c>
      <c r="I517" s="8" t="s">
        <v>8</v>
      </c>
      <c r="J517" s="1">
        <v>18</v>
      </c>
      <c r="K517" s="1" t="s">
        <v>13</v>
      </c>
      <c r="L517" s="1" t="s">
        <v>48</v>
      </c>
      <c r="M517" s="1" t="s">
        <v>27</v>
      </c>
      <c r="N517" s="10">
        <v>42010</v>
      </c>
      <c r="O517" s="3">
        <v>1849.538</v>
      </c>
      <c r="P517" s="15">
        <f>IF(Table1[[#This Row],[Amount Spent]]&gt;3500, 3500,Table1[[#This Row],[Amount Spent]])</f>
        <v>1849.538</v>
      </c>
    </row>
    <row r="518" spans="1:16" x14ac:dyDescent="0.35">
      <c r="A518" s="9">
        <v>518</v>
      </c>
      <c r="B518" s="4" t="s">
        <v>65</v>
      </c>
      <c r="C518" s="9" t="s">
        <v>61</v>
      </c>
      <c r="D518" s="9" t="s">
        <v>58</v>
      </c>
      <c r="E518" s="9" t="s">
        <v>2</v>
      </c>
      <c r="F518" s="9">
        <v>0</v>
      </c>
      <c r="G518" s="5">
        <v>37000</v>
      </c>
      <c r="H518" s="4">
        <v>0</v>
      </c>
      <c r="I518" s="9" t="s">
        <v>68</v>
      </c>
      <c r="J518" s="4">
        <v>12</v>
      </c>
      <c r="K518" s="4" t="s">
        <v>14</v>
      </c>
      <c r="L518" s="4" t="s">
        <v>50</v>
      </c>
      <c r="M518" s="4" t="s">
        <v>35</v>
      </c>
      <c r="N518" s="10">
        <v>40315</v>
      </c>
      <c r="O518" s="6">
        <v>849.67200000000003</v>
      </c>
      <c r="P518" s="15">
        <f>IF(Table1[[#This Row],[Amount Spent]]&gt;3500, 3500,Table1[[#This Row],[Amount Spent]])</f>
        <v>849.67200000000003</v>
      </c>
    </row>
    <row r="519" spans="1:16" x14ac:dyDescent="0.35">
      <c r="A519" s="8">
        <v>519</v>
      </c>
      <c r="B519" s="1" t="s">
        <v>63</v>
      </c>
      <c r="C519" s="8" t="s">
        <v>62</v>
      </c>
      <c r="D519" s="8" t="s">
        <v>66</v>
      </c>
      <c r="E519" s="8" t="s">
        <v>70</v>
      </c>
      <c r="F519" s="8">
        <v>1</v>
      </c>
      <c r="G519" s="2">
        <v>25300</v>
      </c>
      <c r="H519" s="1">
        <v>3</v>
      </c>
      <c r="I519" s="8" t="s">
        <v>8</v>
      </c>
      <c r="J519" s="1">
        <v>6</v>
      </c>
      <c r="K519" s="1" t="s">
        <v>12</v>
      </c>
      <c r="L519" s="1" t="s">
        <v>53</v>
      </c>
      <c r="M519" s="1" t="s">
        <v>19</v>
      </c>
      <c r="N519" s="10">
        <v>42088</v>
      </c>
      <c r="O519" s="3">
        <v>510.14800000000002</v>
      </c>
      <c r="P519" s="15">
        <f>IF(Table1[[#This Row],[Amount Spent]]&gt;3500, 3500,Table1[[#This Row],[Amount Spent]])</f>
        <v>510.14800000000002</v>
      </c>
    </row>
    <row r="520" spans="1:16" x14ac:dyDescent="0.35">
      <c r="A520" s="9">
        <v>520</v>
      </c>
      <c r="B520" s="4" t="s">
        <v>63</v>
      </c>
      <c r="C520" s="9" t="s">
        <v>62</v>
      </c>
      <c r="D520" s="9" t="s">
        <v>66</v>
      </c>
      <c r="E520" s="9" t="s">
        <v>2</v>
      </c>
      <c r="F520" s="9">
        <v>0</v>
      </c>
      <c r="G520" s="5">
        <v>53700</v>
      </c>
      <c r="H520" s="4">
        <v>0</v>
      </c>
      <c r="I520" s="9" t="s">
        <v>69</v>
      </c>
      <c r="J520" s="4">
        <v>24</v>
      </c>
      <c r="K520" s="4" t="s">
        <v>12</v>
      </c>
      <c r="L520" s="4" t="s">
        <v>53</v>
      </c>
      <c r="M520" s="4" t="s">
        <v>19</v>
      </c>
      <c r="N520" s="10">
        <v>42044</v>
      </c>
      <c r="O520" s="6">
        <v>2490.9740000000002</v>
      </c>
      <c r="P520" s="15">
        <f>IF(Table1[[#This Row],[Amount Spent]]&gt;3500, 3500,Table1[[#This Row],[Amount Spent]])</f>
        <v>2490.9740000000002</v>
      </c>
    </row>
    <row r="521" spans="1:16" x14ac:dyDescent="0.35">
      <c r="A521" s="8">
        <v>521</v>
      </c>
      <c r="B521" s="1" t="s">
        <v>64</v>
      </c>
      <c r="C521" s="8" t="s">
        <v>62</v>
      </c>
      <c r="D521" s="8" t="s">
        <v>66</v>
      </c>
      <c r="E521" s="8" t="s">
        <v>70</v>
      </c>
      <c r="F521" s="8">
        <v>1</v>
      </c>
      <c r="G521" s="2">
        <v>48100</v>
      </c>
      <c r="H521" s="1">
        <v>0</v>
      </c>
      <c r="I521" s="8" t="s">
        <v>68</v>
      </c>
      <c r="J521" s="1">
        <v>12</v>
      </c>
      <c r="K521" s="1" t="s">
        <v>12</v>
      </c>
      <c r="L521" s="1" t="s">
        <v>55</v>
      </c>
      <c r="M521" s="1" t="s">
        <v>17</v>
      </c>
      <c r="N521" s="10">
        <v>42010</v>
      </c>
      <c r="O521" s="3">
        <v>781.61900000000003</v>
      </c>
      <c r="P521" s="15">
        <f>IF(Table1[[#This Row],[Amount Spent]]&gt;3500, 3500,Table1[[#This Row],[Amount Spent]])</f>
        <v>781.61900000000003</v>
      </c>
    </row>
    <row r="522" spans="1:16" x14ac:dyDescent="0.35">
      <c r="A522" s="9">
        <v>522</v>
      </c>
      <c r="B522" s="4" t="s">
        <v>64</v>
      </c>
      <c r="C522" s="9" t="s">
        <v>61</v>
      </c>
      <c r="D522" s="9" t="s">
        <v>58</v>
      </c>
      <c r="E522" s="9" t="s">
        <v>2</v>
      </c>
      <c r="F522" s="9">
        <v>1</v>
      </c>
      <c r="G522" s="5">
        <v>96300</v>
      </c>
      <c r="H522" s="4">
        <v>1</v>
      </c>
      <c r="I522" s="9" t="s">
        <v>69</v>
      </c>
      <c r="J522" s="4">
        <v>12</v>
      </c>
      <c r="K522" s="4" t="s">
        <v>12</v>
      </c>
      <c r="L522" s="4" t="s">
        <v>55</v>
      </c>
      <c r="M522" s="4" t="s">
        <v>17</v>
      </c>
      <c r="N522" s="10">
        <v>39992</v>
      </c>
      <c r="O522" s="6">
        <v>1081.269</v>
      </c>
      <c r="P522" s="15">
        <f>IF(Table1[[#This Row],[Amount Spent]]&gt;3500, 3500,Table1[[#This Row],[Amount Spent]])</f>
        <v>1081.269</v>
      </c>
    </row>
    <row r="523" spans="1:16" x14ac:dyDescent="0.35">
      <c r="A523" s="8">
        <v>523</v>
      </c>
      <c r="B523" s="1" t="s">
        <v>64</v>
      </c>
      <c r="C523" s="8" t="s">
        <v>62</v>
      </c>
      <c r="D523" s="8" t="s">
        <v>66</v>
      </c>
      <c r="E523" s="8" t="s">
        <v>2</v>
      </c>
      <c r="F523" s="8">
        <v>1</v>
      </c>
      <c r="G523" s="2">
        <v>75200</v>
      </c>
      <c r="H523" s="1">
        <v>1</v>
      </c>
      <c r="I523" s="8" t="s">
        <v>8</v>
      </c>
      <c r="J523" s="1">
        <v>24</v>
      </c>
      <c r="K523" s="1" t="s">
        <v>13</v>
      </c>
      <c r="L523" s="1" t="s">
        <v>43</v>
      </c>
      <c r="M523" s="1" t="s">
        <v>23</v>
      </c>
      <c r="N523" s="10">
        <v>42069</v>
      </c>
      <c r="O523" s="3">
        <v>2702.4549999999999</v>
      </c>
      <c r="P523" s="15">
        <f>IF(Table1[[#This Row],[Amount Spent]]&gt;3500, 3500,Table1[[#This Row],[Amount Spent]])</f>
        <v>2702.4549999999999</v>
      </c>
    </row>
    <row r="524" spans="1:16" x14ac:dyDescent="0.35">
      <c r="A524" s="9">
        <v>524</v>
      </c>
      <c r="B524" s="4" t="s">
        <v>65</v>
      </c>
      <c r="C524" s="9" t="s">
        <v>62</v>
      </c>
      <c r="D524" s="9" t="s">
        <v>66</v>
      </c>
      <c r="E524" s="9" t="s">
        <v>2</v>
      </c>
      <c r="F524" s="9">
        <v>0</v>
      </c>
      <c r="G524" s="5">
        <v>81500</v>
      </c>
      <c r="H524" s="4">
        <v>0</v>
      </c>
      <c r="I524" s="9" t="s">
        <v>69</v>
      </c>
      <c r="J524" s="4">
        <v>18</v>
      </c>
      <c r="K524" s="4" t="s">
        <v>12</v>
      </c>
      <c r="L524" s="4" t="s">
        <v>41</v>
      </c>
      <c r="M524" s="4" t="s">
        <v>20</v>
      </c>
      <c r="N524" s="10">
        <v>41030</v>
      </c>
      <c r="O524" s="6">
        <v>3655.4</v>
      </c>
      <c r="P524" s="15">
        <f>IF(Table1[[#This Row],[Amount Spent]]&gt;3500, 3500,Table1[[#This Row],[Amount Spent]])</f>
        <v>3500</v>
      </c>
    </row>
    <row r="525" spans="1:16" x14ac:dyDescent="0.35">
      <c r="A525" s="8">
        <v>525</v>
      </c>
      <c r="B525" s="1" t="s">
        <v>64</v>
      </c>
      <c r="C525" s="8" t="s">
        <v>61</v>
      </c>
      <c r="D525" s="8" t="s">
        <v>66</v>
      </c>
      <c r="E525" s="8" t="s">
        <v>2</v>
      </c>
      <c r="F525" s="8">
        <v>0</v>
      </c>
      <c r="G525" s="2">
        <v>83500</v>
      </c>
      <c r="H525" s="1">
        <v>2</v>
      </c>
      <c r="I525" s="8" t="s">
        <v>69</v>
      </c>
      <c r="J525" s="1">
        <v>24</v>
      </c>
      <c r="K525" s="1" t="s">
        <v>12</v>
      </c>
      <c r="L525" s="1" t="s">
        <v>55</v>
      </c>
      <c r="M525" s="1" t="s">
        <v>17</v>
      </c>
      <c r="N525" s="10">
        <v>40937</v>
      </c>
      <c r="O525" s="3">
        <v>2098.2249999999999</v>
      </c>
      <c r="P525" s="15">
        <f>IF(Table1[[#This Row],[Amount Spent]]&gt;3500, 3500,Table1[[#This Row],[Amount Spent]])</f>
        <v>2098.2249999999999</v>
      </c>
    </row>
    <row r="526" spans="1:16" x14ac:dyDescent="0.35">
      <c r="A526" s="9">
        <v>526</v>
      </c>
      <c r="B526" s="4" t="s">
        <v>65</v>
      </c>
      <c r="C526" s="9" t="s">
        <v>62</v>
      </c>
      <c r="D526" s="9" t="s">
        <v>58</v>
      </c>
      <c r="E526" s="9" t="s">
        <v>70</v>
      </c>
      <c r="F526" s="9">
        <v>1</v>
      </c>
      <c r="G526" s="5">
        <v>30900</v>
      </c>
      <c r="H526" s="4">
        <v>0</v>
      </c>
      <c r="I526" s="9" t="s">
        <v>68</v>
      </c>
      <c r="J526" s="4">
        <v>18</v>
      </c>
      <c r="K526" s="4" t="s">
        <v>15</v>
      </c>
      <c r="L526" s="4" t="s">
        <v>52</v>
      </c>
      <c r="M526" s="4" t="s">
        <v>31</v>
      </c>
      <c r="N526" s="10">
        <v>40985</v>
      </c>
      <c r="O526" s="6">
        <v>861.91899999999998</v>
      </c>
      <c r="P526" s="15">
        <f>IF(Table1[[#This Row],[Amount Spent]]&gt;3500, 3500,Table1[[#This Row],[Amount Spent]])</f>
        <v>861.91899999999998</v>
      </c>
    </row>
    <row r="527" spans="1:16" x14ac:dyDescent="0.35">
      <c r="A527" s="8">
        <v>527</v>
      </c>
      <c r="B527" s="1" t="s">
        <v>64</v>
      </c>
      <c r="C527" s="8" t="s">
        <v>62</v>
      </c>
      <c r="D527" s="8" t="s">
        <v>58</v>
      </c>
      <c r="E527" s="8" t="s">
        <v>2</v>
      </c>
      <c r="F527" s="8">
        <v>1</v>
      </c>
      <c r="G527" s="2">
        <v>75600</v>
      </c>
      <c r="H527" s="1">
        <v>0</v>
      </c>
      <c r="I527" s="8" t="s">
        <v>8</v>
      </c>
      <c r="J527" s="1">
        <v>12</v>
      </c>
      <c r="K527" s="1" t="s">
        <v>13</v>
      </c>
      <c r="L527" s="1" t="s">
        <v>46</v>
      </c>
      <c r="M527" s="1" t="s">
        <v>22</v>
      </c>
      <c r="N527" s="10">
        <v>42170</v>
      </c>
      <c r="O527" s="3">
        <v>1540.8920000000001</v>
      </c>
      <c r="P527" s="15">
        <f>IF(Table1[[#This Row],[Amount Spent]]&gt;3500, 3500,Table1[[#This Row],[Amount Spent]])</f>
        <v>1540.8920000000001</v>
      </c>
    </row>
    <row r="528" spans="1:16" x14ac:dyDescent="0.35">
      <c r="A528" s="9">
        <v>528</v>
      </c>
      <c r="B528" s="4" t="s">
        <v>63</v>
      </c>
      <c r="C528" s="9" t="s">
        <v>61</v>
      </c>
      <c r="D528" s="9" t="s">
        <v>66</v>
      </c>
      <c r="E528" s="9" t="s">
        <v>2</v>
      </c>
      <c r="F528" s="9">
        <v>0</v>
      </c>
      <c r="G528" s="5">
        <v>25100</v>
      </c>
      <c r="H528" s="4">
        <v>0</v>
      </c>
      <c r="I528" s="9" t="s">
        <v>68</v>
      </c>
      <c r="J528" s="4">
        <v>12</v>
      </c>
      <c r="K528" s="4" t="s">
        <v>13</v>
      </c>
      <c r="L528" s="4" t="s">
        <v>45</v>
      </c>
      <c r="M528" s="4" t="s">
        <v>26</v>
      </c>
      <c r="N528" s="10">
        <v>40687</v>
      </c>
      <c r="O528" s="6">
        <v>592.072</v>
      </c>
      <c r="P528" s="15">
        <f>IF(Table1[[#This Row],[Amount Spent]]&gt;3500, 3500,Table1[[#This Row],[Amount Spent]])</f>
        <v>592.072</v>
      </c>
    </row>
    <row r="529" spans="1:16" x14ac:dyDescent="0.35">
      <c r="A529" s="8">
        <v>529</v>
      </c>
      <c r="B529" s="1" t="s">
        <v>65</v>
      </c>
      <c r="C529" s="8" t="s">
        <v>62</v>
      </c>
      <c r="D529" s="8" t="s">
        <v>66</v>
      </c>
      <c r="E529" s="8" t="s">
        <v>2</v>
      </c>
      <c r="F529" s="8">
        <v>1</v>
      </c>
      <c r="G529" s="2">
        <v>41700</v>
      </c>
      <c r="H529" s="1">
        <v>0</v>
      </c>
      <c r="I529" s="8" t="s">
        <v>68</v>
      </c>
      <c r="J529" s="1">
        <v>18</v>
      </c>
      <c r="K529" s="1" t="s">
        <v>12</v>
      </c>
      <c r="L529" s="1" t="s">
        <v>55</v>
      </c>
      <c r="M529" s="1" t="s">
        <v>17</v>
      </c>
      <c r="N529" s="10">
        <v>41891</v>
      </c>
      <c r="O529" s="3">
        <v>1397.7159999999999</v>
      </c>
      <c r="P529" s="15">
        <f>IF(Table1[[#This Row],[Amount Spent]]&gt;3500, 3500,Table1[[#This Row],[Amount Spent]])</f>
        <v>1397.7159999999999</v>
      </c>
    </row>
    <row r="530" spans="1:16" x14ac:dyDescent="0.35">
      <c r="A530" s="9">
        <v>530</v>
      </c>
      <c r="B530" s="4" t="s">
        <v>64</v>
      </c>
      <c r="C530" s="9" t="s">
        <v>62</v>
      </c>
      <c r="D530" s="9" t="s">
        <v>58</v>
      </c>
      <c r="E530" s="9" t="s">
        <v>2</v>
      </c>
      <c r="F530" s="9">
        <v>1</v>
      </c>
      <c r="G530" s="5">
        <v>35300</v>
      </c>
      <c r="H530" s="4">
        <v>0</v>
      </c>
      <c r="I530" s="9" t="s">
        <v>68</v>
      </c>
      <c r="J530" s="4">
        <v>24</v>
      </c>
      <c r="K530" s="4" t="s">
        <v>12</v>
      </c>
      <c r="L530" s="4" t="s">
        <v>53</v>
      </c>
      <c r="M530" s="4" t="s">
        <v>19</v>
      </c>
      <c r="N530" s="10">
        <v>41847</v>
      </c>
      <c r="O530" s="6">
        <v>1092.528</v>
      </c>
      <c r="P530" s="15">
        <f>IF(Table1[[#This Row],[Amount Spent]]&gt;3500, 3500,Table1[[#This Row],[Amount Spent]])</f>
        <v>1092.528</v>
      </c>
    </row>
    <row r="531" spans="1:16" x14ac:dyDescent="0.35">
      <c r="A531" s="8">
        <v>531</v>
      </c>
      <c r="B531" s="1" t="s">
        <v>64</v>
      </c>
      <c r="C531" s="8" t="s">
        <v>62</v>
      </c>
      <c r="D531" s="8" t="s">
        <v>66</v>
      </c>
      <c r="E531" s="8" t="s">
        <v>70</v>
      </c>
      <c r="F531" s="8">
        <v>1</v>
      </c>
      <c r="G531" s="2">
        <v>35300</v>
      </c>
      <c r="H531" s="1">
        <v>0</v>
      </c>
      <c r="I531" s="8" t="s">
        <v>8</v>
      </c>
      <c r="J531" s="1">
        <v>18</v>
      </c>
      <c r="K531" s="1" t="s">
        <v>12</v>
      </c>
      <c r="L531" s="1" t="s">
        <v>54</v>
      </c>
      <c r="M531" s="1" t="s">
        <v>21</v>
      </c>
      <c r="N531" s="10">
        <v>42052</v>
      </c>
      <c r="O531" s="3">
        <v>1368.739</v>
      </c>
      <c r="P531" s="15">
        <f>IF(Table1[[#This Row],[Amount Spent]]&gt;3500, 3500,Table1[[#This Row],[Amount Spent]])</f>
        <v>1368.739</v>
      </c>
    </row>
    <row r="532" spans="1:16" x14ac:dyDescent="0.35">
      <c r="A532" s="9">
        <v>532</v>
      </c>
      <c r="B532" s="4" t="s">
        <v>65</v>
      </c>
      <c r="C532" s="9" t="s">
        <v>61</v>
      </c>
      <c r="D532" s="9" t="s">
        <v>66</v>
      </c>
      <c r="E532" s="9" t="s">
        <v>70</v>
      </c>
      <c r="F532" s="9">
        <v>1</v>
      </c>
      <c r="G532" s="5">
        <v>44400</v>
      </c>
      <c r="H532" s="4">
        <v>0</v>
      </c>
      <c r="I532" s="9" t="s">
        <v>68</v>
      </c>
      <c r="J532" s="4">
        <v>18</v>
      </c>
      <c r="K532" s="4" t="s">
        <v>14</v>
      </c>
      <c r="L532" s="4" t="s">
        <v>51</v>
      </c>
      <c r="M532" s="4" t="s">
        <v>38</v>
      </c>
      <c r="N532" s="10">
        <v>40876</v>
      </c>
      <c r="O532" s="6">
        <v>886.31399999999996</v>
      </c>
      <c r="P532" s="15">
        <f>IF(Table1[[#This Row],[Amount Spent]]&gt;3500, 3500,Table1[[#This Row],[Amount Spent]])</f>
        <v>886.31399999999996</v>
      </c>
    </row>
    <row r="533" spans="1:16" x14ac:dyDescent="0.35">
      <c r="A533" s="8">
        <v>533</v>
      </c>
      <c r="B533" s="1" t="s">
        <v>64</v>
      </c>
      <c r="C533" s="8" t="s">
        <v>62</v>
      </c>
      <c r="D533" s="8" t="s">
        <v>58</v>
      </c>
      <c r="E533" s="8" t="s">
        <v>2</v>
      </c>
      <c r="F533" s="8">
        <v>0</v>
      </c>
      <c r="G533" s="2">
        <v>44200</v>
      </c>
      <c r="H533" s="1">
        <v>0</v>
      </c>
      <c r="I533" s="8" t="s">
        <v>69</v>
      </c>
      <c r="J533" s="1">
        <v>24</v>
      </c>
      <c r="K533" s="1" t="s">
        <v>13</v>
      </c>
      <c r="L533" s="1" t="s">
        <v>43</v>
      </c>
      <c r="M533" s="1" t="s">
        <v>23</v>
      </c>
      <c r="N533" s="10">
        <v>40885</v>
      </c>
      <c r="O533" s="3">
        <v>2524.4879999999998</v>
      </c>
      <c r="P533" s="15">
        <f>IF(Table1[[#This Row],[Amount Spent]]&gt;3500, 3500,Table1[[#This Row],[Amount Spent]])</f>
        <v>2524.4879999999998</v>
      </c>
    </row>
    <row r="534" spans="1:16" x14ac:dyDescent="0.35">
      <c r="A534" s="9">
        <v>534</v>
      </c>
      <c r="B534" s="4" t="s">
        <v>65</v>
      </c>
      <c r="C534" s="9" t="s">
        <v>62</v>
      </c>
      <c r="D534" s="9" t="s">
        <v>58</v>
      </c>
      <c r="E534" s="9" t="s">
        <v>2</v>
      </c>
      <c r="F534" s="9">
        <v>0</v>
      </c>
      <c r="G534" s="5">
        <v>57900</v>
      </c>
      <c r="H534" s="4">
        <v>0</v>
      </c>
      <c r="I534" s="9" t="s">
        <v>69</v>
      </c>
      <c r="J534" s="4">
        <v>12</v>
      </c>
      <c r="K534" s="4" t="s">
        <v>12</v>
      </c>
      <c r="L534" s="4" t="s">
        <v>47</v>
      </c>
      <c r="M534" s="4" t="s">
        <v>18</v>
      </c>
      <c r="N534" s="10">
        <v>41438</v>
      </c>
      <c r="O534" s="6">
        <v>1692.94</v>
      </c>
      <c r="P534" s="15">
        <f>IF(Table1[[#This Row],[Amount Spent]]&gt;3500, 3500,Table1[[#This Row],[Amount Spent]])</f>
        <v>1692.94</v>
      </c>
    </row>
    <row r="535" spans="1:16" x14ac:dyDescent="0.35">
      <c r="A535" s="8">
        <v>535</v>
      </c>
      <c r="B535" s="1" t="s">
        <v>64</v>
      </c>
      <c r="C535" s="8" t="s">
        <v>61</v>
      </c>
      <c r="D535" s="8" t="s">
        <v>58</v>
      </c>
      <c r="E535" s="8" t="s">
        <v>2</v>
      </c>
      <c r="F535" s="8">
        <v>1</v>
      </c>
      <c r="G535" s="2">
        <v>97100</v>
      </c>
      <c r="H535" s="1">
        <v>0</v>
      </c>
      <c r="I535" s="8" t="s">
        <v>8</v>
      </c>
      <c r="J535" s="1">
        <v>12</v>
      </c>
      <c r="K535" s="1" t="s">
        <v>12</v>
      </c>
      <c r="L535" s="1" t="s">
        <v>53</v>
      </c>
      <c r="M535" s="1" t="s">
        <v>19</v>
      </c>
      <c r="N535" s="10">
        <v>42014</v>
      </c>
      <c r="O535" s="3">
        <v>1473.127</v>
      </c>
      <c r="P535" s="15">
        <f>IF(Table1[[#This Row],[Amount Spent]]&gt;3500, 3500,Table1[[#This Row],[Amount Spent]])</f>
        <v>1473.127</v>
      </c>
    </row>
    <row r="536" spans="1:16" x14ac:dyDescent="0.35">
      <c r="A536" s="9">
        <v>536</v>
      </c>
      <c r="B536" s="4" t="s">
        <v>64</v>
      </c>
      <c r="C536" s="9" t="s">
        <v>61</v>
      </c>
      <c r="D536" s="9" t="s">
        <v>66</v>
      </c>
      <c r="E536" s="9" t="s">
        <v>2</v>
      </c>
      <c r="F536" s="9">
        <v>1</v>
      </c>
      <c r="G536" s="5">
        <v>96400</v>
      </c>
      <c r="H536" s="4">
        <v>1</v>
      </c>
      <c r="I536" s="9" t="s">
        <v>69</v>
      </c>
      <c r="J536" s="4">
        <v>24</v>
      </c>
      <c r="K536" s="4" t="s">
        <v>14</v>
      </c>
      <c r="L536" s="4" t="s">
        <v>40</v>
      </c>
      <c r="M536" s="4" t="s">
        <v>36</v>
      </c>
      <c r="N536" s="10">
        <v>42130</v>
      </c>
      <c r="O536" s="6">
        <v>1822.3309999999999</v>
      </c>
      <c r="P536" s="15">
        <f>IF(Table1[[#This Row],[Amount Spent]]&gt;3500, 3500,Table1[[#This Row],[Amount Spent]])</f>
        <v>1822.3309999999999</v>
      </c>
    </row>
    <row r="537" spans="1:16" x14ac:dyDescent="0.35">
      <c r="A537" s="8">
        <v>537</v>
      </c>
      <c r="B537" s="1" t="s">
        <v>63</v>
      </c>
      <c r="C537" s="8" t="s">
        <v>62</v>
      </c>
      <c r="D537" s="8" t="s">
        <v>66</v>
      </c>
      <c r="E537" s="8" t="s">
        <v>70</v>
      </c>
      <c r="F537" s="8">
        <v>0</v>
      </c>
      <c r="G537" s="2">
        <v>23100</v>
      </c>
      <c r="H537" s="1">
        <v>2</v>
      </c>
      <c r="I537" s="8" t="s">
        <v>67</v>
      </c>
      <c r="J537" s="1">
        <v>12</v>
      </c>
      <c r="K537" s="1" t="s">
        <v>13</v>
      </c>
      <c r="L537" s="1" t="s">
        <v>45</v>
      </c>
      <c r="M537" s="1" t="s">
        <v>26</v>
      </c>
      <c r="N537" s="10">
        <v>42039</v>
      </c>
      <c r="O537" s="3">
        <v>457.00599999999997</v>
      </c>
      <c r="P537" s="15">
        <f>IF(Table1[[#This Row],[Amount Spent]]&gt;3500, 3500,Table1[[#This Row],[Amount Spent]])</f>
        <v>457.00599999999997</v>
      </c>
    </row>
    <row r="538" spans="1:16" x14ac:dyDescent="0.35">
      <c r="A538" s="9">
        <v>538</v>
      </c>
      <c r="B538" s="4" t="s">
        <v>64</v>
      </c>
      <c r="C538" s="9" t="s">
        <v>61</v>
      </c>
      <c r="D538" s="9" t="s">
        <v>66</v>
      </c>
      <c r="E538" s="9" t="s">
        <v>70</v>
      </c>
      <c r="F538" s="9">
        <v>0</v>
      </c>
      <c r="G538" s="5">
        <v>67700</v>
      </c>
      <c r="H538" s="4">
        <v>0</v>
      </c>
      <c r="I538" s="9" t="s">
        <v>69</v>
      </c>
      <c r="J538" s="4">
        <v>12</v>
      </c>
      <c r="K538" s="4" t="s">
        <v>12</v>
      </c>
      <c r="L538" s="4" t="s">
        <v>53</v>
      </c>
      <c r="M538" s="4" t="s">
        <v>19</v>
      </c>
      <c r="N538" s="10">
        <v>41914</v>
      </c>
      <c r="O538" s="6">
        <v>2226.3510000000001</v>
      </c>
      <c r="P538" s="15">
        <f>IF(Table1[[#This Row],[Amount Spent]]&gt;3500, 3500,Table1[[#This Row],[Amount Spent]])</f>
        <v>2226.3510000000001</v>
      </c>
    </row>
    <row r="539" spans="1:16" x14ac:dyDescent="0.35">
      <c r="A539" s="8">
        <v>539</v>
      </c>
      <c r="B539" s="1" t="s">
        <v>64</v>
      </c>
      <c r="C539" s="8" t="s">
        <v>62</v>
      </c>
      <c r="D539" s="8" t="s">
        <v>66</v>
      </c>
      <c r="E539" s="8" t="s">
        <v>2</v>
      </c>
      <c r="F539" s="8">
        <v>0</v>
      </c>
      <c r="G539" s="2">
        <v>53900</v>
      </c>
      <c r="H539" s="1">
        <v>1</v>
      </c>
      <c r="I539" s="8" t="s">
        <v>69</v>
      </c>
      <c r="J539" s="1">
        <v>18</v>
      </c>
      <c r="K539" s="1" t="s">
        <v>15</v>
      </c>
      <c r="L539" s="1" t="s">
        <v>52</v>
      </c>
      <c r="M539" s="1" t="s">
        <v>31</v>
      </c>
      <c r="N539" s="10">
        <v>41172</v>
      </c>
      <c r="O539" s="3">
        <v>2177.34</v>
      </c>
      <c r="P539" s="15">
        <f>IF(Table1[[#This Row],[Amount Spent]]&gt;3500, 3500,Table1[[#This Row],[Amount Spent]])</f>
        <v>2177.34</v>
      </c>
    </row>
    <row r="540" spans="1:16" x14ac:dyDescent="0.35">
      <c r="A540" s="9">
        <v>540</v>
      </c>
      <c r="B540" s="4" t="s">
        <v>63</v>
      </c>
      <c r="C540" s="9" t="s">
        <v>62</v>
      </c>
      <c r="D540" s="9" t="s">
        <v>58</v>
      </c>
      <c r="E540" s="9" t="s">
        <v>2</v>
      </c>
      <c r="F540" s="9">
        <v>1</v>
      </c>
      <c r="G540" s="5">
        <v>42400</v>
      </c>
      <c r="H540" s="4">
        <v>1</v>
      </c>
      <c r="I540" s="9" t="s">
        <v>8</v>
      </c>
      <c r="J540" s="4">
        <v>18</v>
      </c>
      <c r="K540" s="4" t="s">
        <v>13</v>
      </c>
      <c r="L540" s="4" t="s">
        <v>48</v>
      </c>
      <c r="M540" s="4" t="s">
        <v>27</v>
      </c>
      <c r="N540" s="10">
        <v>42243</v>
      </c>
      <c r="O540" s="6">
        <v>1165.6089999999999</v>
      </c>
      <c r="P540" s="15">
        <f>IF(Table1[[#This Row],[Amount Spent]]&gt;3500, 3500,Table1[[#This Row],[Amount Spent]])</f>
        <v>1165.6089999999999</v>
      </c>
    </row>
    <row r="541" spans="1:16" x14ac:dyDescent="0.35">
      <c r="A541" s="8">
        <v>541</v>
      </c>
      <c r="B541" s="1" t="s">
        <v>64</v>
      </c>
      <c r="C541" s="8" t="s">
        <v>62</v>
      </c>
      <c r="D541" s="8" t="s">
        <v>58</v>
      </c>
      <c r="E541" s="8" t="s">
        <v>70</v>
      </c>
      <c r="F541" s="8">
        <v>1</v>
      </c>
      <c r="G541" s="2">
        <v>52700</v>
      </c>
      <c r="H541" s="1">
        <v>2</v>
      </c>
      <c r="I541" s="8" t="s">
        <v>67</v>
      </c>
      <c r="J541" s="1">
        <v>18</v>
      </c>
      <c r="K541" s="1" t="s">
        <v>13</v>
      </c>
      <c r="L541" s="1" t="s">
        <v>43</v>
      </c>
      <c r="M541" s="1" t="s">
        <v>23</v>
      </c>
      <c r="N541" s="10">
        <v>40465</v>
      </c>
      <c r="O541" s="3">
        <v>854.90099999999995</v>
      </c>
      <c r="P541" s="15">
        <f>IF(Table1[[#This Row],[Amount Spent]]&gt;3500, 3500,Table1[[#This Row],[Amount Spent]])</f>
        <v>854.90099999999995</v>
      </c>
    </row>
    <row r="542" spans="1:16" x14ac:dyDescent="0.35">
      <c r="A542" s="9">
        <v>542</v>
      </c>
      <c r="B542" s="4" t="s">
        <v>64</v>
      </c>
      <c r="C542" s="9" t="s">
        <v>61</v>
      </c>
      <c r="D542" s="9" t="s">
        <v>66</v>
      </c>
      <c r="E542" s="9" t="s">
        <v>70</v>
      </c>
      <c r="F542" s="9">
        <v>1</v>
      </c>
      <c r="G542" s="5">
        <v>47000</v>
      </c>
      <c r="H542" s="4">
        <v>1</v>
      </c>
      <c r="I542" s="9" t="s">
        <v>68</v>
      </c>
      <c r="J542" s="4">
        <v>12</v>
      </c>
      <c r="K542" s="4" t="s">
        <v>12</v>
      </c>
      <c r="L542" s="4" t="s">
        <v>54</v>
      </c>
      <c r="M542" s="4" t="s">
        <v>21</v>
      </c>
      <c r="N542" s="10">
        <v>41804</v>
      </c>
      <c r="O542" s="6">
        <v>584.09699999999998</v>
      </c>
      <c r="P542" s="15">
        <f>IF(Table1[[#This Row],[Amount Spent]]&gt;3500, 3500,Table1[[#This Row],[Amount Spent]])</f>
        <v>584.09699999999998</v>
      </c>
    </row>
    <row r="543" spans="1:16" x14ac:dyDescent="0.35">
      <c r="A543" s="8">
        <v>543</v>
      </c>
      <c r="B543" s="1" t="s">
        <v>63</v>
      </c>
      <c r="C543" s="8" t="s">
        <v>62</v>
      </c>
      <c r="D543" s="8" t="s">
        <v>66</v>
      </c>
      <c r="E543" s="8" t="s">
        <v>70</v>
      </c>
      <c r="F543" s="8">
        <v>1</v>
      </c>
      <c r="G543" s="2">
        <v>14800</v>
      </c>
      <c r="H543" s="1">
        <v>1</v>
      </c>
      <c r="I543" s="8" t="s">
        <v>67</v>
      </c>
      <c r="J543" s="1">
        <v>6</v>
      </c>
      <c r="K543" s="1" t="s">
        <v>15</v>
      </c>
      <c r="L543" s="1" t="s">
        <v>28</v>
      </c>
      <c r="M543" s="1" t="s">
        <v>28</v>
      </c>
      <c r="N543" s="10">
        <v>39989</v>
      </c>
      <c r="O543" s="3">
        <v>208.505</v>
      </c>
      <c r="P543" s="15">
        <f>IF(Table1[[#This Row],[Amount Spent]]&gt;3500, 3500,Table1[[#This Row],[Amount Spent]])</f>
        <v>208.505</v>
      </c>
    </row>
    <row r="544" spans="1:16" x14ac:dyDescent="0.35">
      <c r="A544" s="9">
        <v>544</v>
      </c>
      <c r="B544" s="4" t="s">
        <v>63</v>
      </c>
      <c r="C544" s="9" t="s">
        <v>62</v>
      </c>
      <c r="D544" s="9" t="s">
        <v>66</v>
      </c>
      <c r="E544" s="9" t="s">
        <v>70</v>
      </c>
      <c r="F544" s="9">
        <v>1</v>
      </c>
      <c r="G544" s="5">
        <v>12700</v>
      </c>
      <c r="H544" s="4">
        <v>3</v>
      </c>
      <c r="I544" s="9" t="s">
        <v>67</v>
      </c>
      <c r="J544" s="4">
        <v>12</v>
      </c>
      <c r="K544" s="4" t="s">
        <v>14</v>
      </c>
      <c r="L544" s="4" t="s">
        <v>50</v>
      </c>
      <c r="M544" s="4" t="s">
        <v>35</v>
      </c>
      <c r="N544" s="10">
        <v>40044</v>
      </c>
      <c r="O544" s="6">
        <v>87.448999999999998</v>
      </c>
      <c r="P544" s="15">
        <f>IF(Table1[[#This Row],[Amount Spent]]&gt;3500, 3500,Table1[[#This Row],[Amount Spent]])</f>
        <v>87.448999999999998</v>
      </c>
    </row>
    <row r="545" spans="1:16" x14ac:dyDescent="0.35">
      <c r="A545" s="8">
        <v>545</v>
      </c>
      <c r="B545" s="1" t="s">
        <v>65</v>
      </c>
      <c r="C545" s="8" t="s">
        <v>62</v>
      </c>
      <c r="D545" s="8" t="s">
        <v>58</v>
      </c>
      <c r="E545" s="8" t="s">
        <v>2</v>
      </c>
      <c r="F545" s="8">
        <v>1</v>
      </c>
      <c r="G545" s="2">
        <v>96200</v>
      </c>
      <c r="H545" s="1">
        <v>0</v>
      </c>
      <c r="I545" s="8" t="s">
        <v>69</v>
      </c>
      <c r="J545" s="1">
        <v>12</v>
      </c>
      <c r="K545" s="1" t="s">
        <v>14</v>
      </c>
      <c r="L545" s="1" t="s">
        <v>49</v>
      </c>
      <c r="M545" s="1" t="s">
        <v>39</v>
      </c>
      <c r="N545" s="10">
        <v>39909</v>
      </c>
      <c r="O545" s="3">
        <v>1457.0329999999999</v>
      </c>
      <c r="P545" s="15">
        <f>IF(Table1[[#This Row],[Amount Spent]]&gt;3500, 3500,Table1[[#This Row],[Amount Spent]])</f>
        <v>1457.0329999999999</v>
      </c>
    </row>
    <row r="546" spans="1:16" x14ac:dyDescent="0.35">
      <c r="A546" s="9">
        <v>546</v>
      </c>
      <c r="B546" s="4" t="s">
        <v>63</v>
      </c>
      <c r="C546" s="9" t="s">
        <v>62</v>
      </c>
      <c r="D546" s="9" t="s">
        <v>58</v>
      </c>
      <c r="E546" s="9" t="s">
        <v>70</v>
      </c>
      <c r="F546" s="9">
        <v>1</v>
      </c>
      <c r="G546" s="5">
        <v>15100</v>
      </c>
      <c r="H546" s="4">
        <v>0</v>
      </c>
      <c r="I546" s="9" t="s">
        <v>67</v>
      </c>
      <c r="J546" s="4">
        <v>6</v>
      </c>
      <c r="K546" s="4" t="s">
        <v>13</v>
      </c>
      <c r="L546" s="4" t="s">
        <v>46</v>
      </c>
      <c r="M546" s="4" t="s">
        <v>22</v>
      </c>
      <c r="N546" s="10">
        <v>42159</v>
      </c>
      <c r="O546" s="6">
        <v>273.83499999999998</v>
      </c>
      <c r="P546" s="15">
        <f>IF(Table1[[#This Row],[Amount Spent]]&gt;3500, 3500,Table1[[#This Row],[Amount Spent]])</f>
        <v>273.83499999999998</v>
      </c>
    </row>
    <row r="547" spans="1:16" x14ac:dyDescent="0.35">
      <c r="A547" s="8">
        <v>547</v>
      </c>
      <c r="B547" s="1" t="s">
        <v>63</v>
      </c>
      <c r="C547" s="8" t="s">
        <v>61</v>
      </c>
      <c r="D547" s="8" t="s">
        <v>66</v>
      </c>
      <c r="E547" s="8" t="s">
        <v>2</v>
      </c>
      <c r="F547" s="8">
        <v>1</v>
      </c>
      <c r="G547" s="2">
        <v>43700</v>
      </c>
      <c r="H547" s="1">
        <v>1</v>
      </c>
      <c r="I547" s="8" t="s">
        <v>8</v>
      </c>
      <c r="J547" s="1">
        <v>12</v>
      </c>
      <c r="K547" s="1" t="s">
        <v>13</v>
      </c>
      <c r="L547" s="1" t="s">
        <v>45</v>
      </c>
      <c r="M547" s="1" t="s">
        <v>26</v>
      </c>
      <c r="N547" s="10">
        <v>42235</v>
      </c>
      <c r="O547" s="3">
        <v>926.71299999999997</v>
      </c>
      <c r="P547" s="15">
        <f>IF(Table1[[#This Row],[Amount Spent]]&gt;3500, 3500,Table1[[#This Row],[Amount Spent]])</f>
        <v>926.71299999999997</v>
      </c>
    </row>
    <row r="548" spans="1:16" x14ac:dyDescent="0.35">
      <c r="A548" s="9">
        <v>548</v>
      </c>
      <c r="B548" s="4" t="s">
        <v>65</v>
      </c>
      <c r="C548" s="9" t="s">
        <v>62</v>
      </c>
      <c r="D548" s="9" t="s">
        <v>58</v>
      </c>
      <c r="E548" s="9" t="s">
        <v>70</v>
      </c>
      <c r="F548" s="9">
        <v>1</v>
      </c>
      <c r="G548" s="5">
        <v>43300</v>
      </c>
      <c r="H548" s="4">
        <v>0</v>
      </c>
      <c r="I548" s="9" t="s">
        <v>8</v>
      </c>
      <c r="J548" s="4">
        <v>12</v>
      </c>
      <c r="K548" s="4" t="s">
        <v>15</v>
      </c>
      <c r="L548" s="4" t="s">
        <v>42</v>
      </c>
      <c r="M548" s="4" t="s">
        <v>32</v>
      </c>
      <c r="N548" s="10">
        <v>42245</v>
      </c>
      <c r="O548" s="6">
        <v>1584.3019999999999</v>
      </c>
      <c r="P548" s="15">
        <f>IF(Table1[[#This Row],[Amount Spent]]&gt;3500, 3500,Table1[[#This Row],[Amount Spent]])</f>
        <v>1584.3019999999999</v>
      </c>
    </row>
    <row r="549" spans="1:16" x14ac:dyDescent="0.35">
      <c r="A549" s="8">
        <v>549</v>
      </c>
      <c r="B549" s="1" t="s">
        <v>64</v>
      </c>
      <c r="C549" s="8" t="s">
        <v>62</v>
      </c>
      <c r="D549" s="8" t="s">
        <v>58</v>
      </c>
      <c r="E549" s="8" t="s">
        <v>70</v>
      </c>
      <c r="F549" s="8">
        <v>1</v>
      </c>
      <c r="G549" s="2">
        <v>36700</v>
      </c>
      <c r="H549" s="1">
        <v>1</v>
      </c>
      <c r="I549" s="8" t="s">
        <v>8</v>
      </c>
      <c r="J549" s="1">
        <v>6</v>
      </c>
      <c r="K549" s="1" t="s">
        <v>14</v>
      </c>
      <c r="L549" s="1" t="s">
        <v>50</v>
      </c>
      <c r="M549" s="1" t="s">
        <v>34</v>
      </c>
      <c r="N549" s="10">
        <v>42237</v>
      </c>
      <c r="O549" s="3">
        <v>529.34699999999998</v>
      </c>
      <c r="P549" s="15">
        <f>IF(Table1[[#This Row],[Amount Spent]]&gt;3500, 3500,Table1[[#This Row],[Amount Spent]])</f>
        <v>529.34699999999998</v>
      </c>
    </row>
    <row r="550" spans="1:16" x14ac:dyDescent="0.35">
      <c r="A550" s="9">
        <v>550</v>
      </c>
      <c r="B550" s="4" t="s">
        <v>65</v>
      </c>
      <c r="C550" s="9" t="s">
        <v>62</v>
      </c>
      <c r="D550" s="9" t="s">
        <v>58</v>
      </c>
      <c r="E550" s="9" t="s">
        <v>70</v>
      </c>
      <c r="F550" s="9">
        <v>1</v>
      </c>
      <c r="G550" s="5">
        <v>28500</v>
      </c>
      <c r="H550" s="4">
        <v>0</v>
      </c>
      <c r="I550" s="9" t="s">
        <v>67</v>
      </c>
      <c r="J550" s="4">
        <v>24</v>
      </c>
      <c r="K550" s="4" t="s">
        <v>12</v>
      </c>
      <c r="L550" s="4" t="s">
        <v>54</v>
      </c>
      <c r="M550" s="4" t="s">
        <v>21</v>
      </c>
      <c r="N550" s="10">
        <v>39911</v>
      </c>
      <c r="O550" s="6">
        <v>621.16499999999996</v>
      </c>
      <c r="P550" s="15">
        <f>IF(Table1[[#This Row],[Amount Spent]]&gt;3500, 3500,Table1[[#This Row],[Amount Spent]])</f>
        <v>621.16499999999996</v>
      </c>
    </row>
    <row r="551" spans="1:16" x14ac:dyDescent="0.35">
      <c r="A551" s="8">
        <v>551</v>
      </c>
      <c r="B551" s="1" t="s">
        <v>64</v>
      </c>
      <c r="C551" s="8" t="s">
        <v>62</v>
      </c>
      <c r="D551" s="8" t="s">
        <v>66</v>
      </c>
      <c r="E551" s="8" t="s">
        <v>70</v>
      </c>
      <c r="F551" s="8">
        <v>1</v>
      </c>
      <c r="G551" s="2">
        <v>32100</v>
      </c>
      <c r="H551" s="1">
        <v>2</v>
      </c>
      <c r="I551" s="8" t="s">
        <v>67</v>
      </c>
      <c r="J551" s="1">
        <v>24</v>
      </c>
      <c r="K551" s="1" t="s">
        <v>12</v>
      </c>
      <c r="L551" s="1" t="s">
        <v>55</v>
      </c>
      <c r="M551" s="1" t="s">
        <v>17</v>
      </c>
      <c r="N551" s="10">
        <v>41507</v>
      </c>
      <c r="O551" s="3">
        <v>404.82299999999998</v>
      </c>
      <c r="P551" s="15">
        <f>IF(Table1[[#This Row],[Amount Spent]]&gt;3500, 3500,Table1[[#This Row],[Amount Spent]])</f>
        <v>404.82299999999998</v>
      </c>
    </row>
    <row r="552" spans="1:16" x14ac:dyDescent="0.35">
      <c r="A552" s="9">
        <v>552</v>
      </c>
      <c r="B552" s="4" t="s">
        <v>64</v>
      </c>
      <c r="C552" s="9" t="s">
        <v>61</v>
      </c>
      <c r="D552" s="9" t="s">
        <v>66</v>
      </c>
      <c r="E552" s="9" t="s">
        <v>2</v>
      </c>
      <c r="F552" s="9">
        <v>1</v>
      </c>
      <c r="G552" s="5">
        <v>92900</v>
      </c>
      <c r="H552" s="4">
        <v>1</v>
      </c>
      <c r="I552" s="9" t="s">
        <v>8</v>
      </c>
      <c r="J552" s="4">
        <v>6</v>
      </c>
      <c r="K552" s="4" t="s">
        <v>15</v>
      </c>
      <c r="L552" s="4" t="s">
        <v>28</v>
      </c>
      <c r="M552" s="4" t="s">
        <v>33</v>
      </c>
      <c r="N552" s="10">
        <v>42013</v>
      </c>
      <c r="O552" s="6">
        <v>1704.6679999999999</v>
      </c>
      <c r="P552" s="15">
        <f>IF(Table1[[#This Row],[Amount Spent]]&gt;3500, 3500,Table1[[#This Row],[Amount Spent]])</f>
        <v>1704.6679999999999</v>
      </c>
    </row>
    <row r="553" spans="1:16" x14ac:dyDescent="0.35">
      <c r="A553" s="8">
        <v>553</v>
      </c>
      <c r="B553" s="1" t="s">
        <v>65</v>
      </c>
      <c r="C553" s="8" t="s">
        <v>62</v>
      </c>
      <c r="D553" s="8" t="s">
        <v>58</v>
      </c>
      <c r="E553" s="8" t="s">
        <v>2</v>
      </c>
      <c r="F553" s="8">
        <v>0</v>
      </c>
      <c r="G553" s="2">
        <v>40100</v>
      </c>
      <c r="H553" s="1">
        <v>0</v>
      </c>
      <c r="I553" s="8" t="s">
        <v>68</v>
      </c>
      <c r="J553" s="1">
        <v>12</v>
      </c>
      <c r="K553" s="1" t="s">
        <v>13</v>
      </c>
      <c r="L553" s="1" t="s">
        <v>48</v>
      </c>
      <c r="M553" s="1" t="s">
        <v>27</v>
      </c>
      <c r="N553" s="10">
        <v>40697</v>
      </c>
      <c r="O553" s="3">
        <v>1383.8789999999999</v>
      </c>
      <c r="P553" s="15">
        <f>IF(Table1[[#This Row],[Amount Spent]]&gt;3500, 3500,Table1[[#This Row],[Amount Spent]])</f>
        <v>1383.8789999999999</v>
      </c>
    </row>
    <row r="554" spans="1:16" x14ac:dyDescent="0.35">
      <c r="A554" s="9">
        <v>554</v>
      </c>
      <c r="B554" s="4" t="s">
        <v>65</v>
      </c>
      <c r="C554" s="9" t="s">
        <v>62</v>
      </c>
      <c r="D554" s="9" t="s">
        <v>66</v>
      </c>
      <c r="E554" s="9" t="s">
        <v>70</v>
      </c>
      <c r="F554" s="9">
        <v>1</v>
      </c>
      <c r="G554" s="5">
        <v>21400</v>
      </c>
      <c r="H554" s="4">
        <v>0</v>
      </c>
      <c r="I554" s="9" t="s">
        <v>67</v>
      </c>
      <c r="J554" s="4">
        <v>18</v>
      </c>
      <c r="K554" s="4" t="s">
        <v>13</v>
      </c>
      <c r="L554" s="4" t="s">
        <v>56</v>
      </c>
      <c r="M554" s="4" t="s">
        <v>24</v>
      </c>
      <c r="N554" s="10">
        <v>41561</v>
      </c>
      <c r="O554" s="6">
        <v>497.73599999999999</v>
      </c>
      <c r="P554" s="15">
        <f>IF(Table1[[#This Row],[Amount Spent]]&gt;3500, 3500,Table1[[#This Row],[Amount Spent]])</f>
        <v>497.73599999999999</v>
      </c>
    </row>
    <row r="555" spans="1:16" x14ac:dyDescent="0.35">
      <c r="A555" s="8">
        <v>555</v>
      </c>
      <c r="B555" s="1" t="s">
        <v>64</v>
      </c>
      <c r="C555" s="8" t="s">
        <v>61</v>
      </c>
      <c r="D555" s="8" t="s">
        <v>58</v>
      </c>
      <c r="E555" s="8" t="s">
        <v>2</v>
      </c>
      <c r="F555" s="8">
        <v>1</v>
      </c>
      <c r="G555" s="2">
        <v>72200</v>
      </c>
      <c r="H555" s="1">
        <v>0</v>
      </c>
      <c r="I555" s="8" t="s">
        <v>69</v>
      </c>
      <c r="J555" s="1">
        <v>24</v>
      </c>
      <c r="K555" s="1" t="s">
        <v>15</v>
      </c>
      <c r="L555" s="1" t="s">
        <v>42</v>
      </c>
      <c r="M555" s="1" t="s">
        <v>32</v>
      </c>
      <c r="N555" s="10">
        <v>40690</v>
      </c>
      <c r="O555" s="3">
        <v>2491.6799999999998</v>
      </c>
      <c r="P555" s="15">
        <f>IF(Table1[[#This Row],[Amount Spent]]&gt;3500, 3500,Table1[[#This Row],[Amount Spent]])</f>
        <v>2491.6799999999998</v>
      </c>
    </row>
    <row r="556" spans="1:16" x14ac:dyDescent="0.35">
      <c r="A556" s="9">
        <v>556</v>
      </c>
      <c r="B556" s="4" t="s">
        <v>65</v>
      </c>
      <c r="C556" s="9" t="s">
        <v>62</v>
      </c>
      <c r="D556" s="9" t="s">
        <v>58</v>
      </c>
      <c r="E556" s="9" t="s">
        <v>2</v>
      </c>
      <c r="F556" s="9">
        <v>0</v>
      </c>
      <c r="G556" s="5">
        <v>67900</v>
      </c>
      <c r="H556" s="4">
        <v>0</v>
      </c>
      <c r="I556" s="9" t="s">
        <v>69</v>
      </c>
      <c r="J556" s="4">
        <v>24</v>
      </c>
      <c r="K556" s="4" t="s">
        <v>13</v>
      </c>
      <c r="L556" s="4" t="s">
        <v>45</v>
      </c>
      <c r="M556" s="4" t="s">
        <v>26</v>
      </c>
      <c r="N556" s="10">
        <v>39817</v>
      </c>
      <c r="O556" s="6">
        <v>2924.53</v>
      </c>
      <c r="P556" s="15">
        <f>IF(Table1[[#This Row],[Amount Spent]]&gt;3500, 3500,Table1[[#This Row],[Amount Spent]])</f>
        <v>2924.53</v>
      </c>
    </row>
    <row r="557" spans="1:16" x14ac:dyDescent="0.35">
      <c r="A557" s="8">
        <v>557</v>
      </c>
      <c r="B557" s="1" t="s">
        <v>63</v>
      </c>
      <c r="C557" s="8" t="s">
        <v>62</v>
      </c>
      <c r="D557" s="8" t="s">
        <v>66</v>
      </c>
      <c r="E557" s="8" t="s">
        <v>70</v>
      </c>
      <c r="F557" s="8">
        <v>0</v>
      </c>
      <c r="G557" s="2">
        <v>21100</v>
      </c>
      <c r="H557" s="1">
        <v>1</v>
      </c>
      <c r="I557" s="8" t="s">
        <v>67</v>
      </c>
      <c r="J557" s="1">
        <v>6</v>
      </c>
      <c r="K557" s="1" t="s">
        <v>15</v>
      </c>
      <c r="L557" s="1" t="s">
        <v>44</v>
      </c>
      <c r="M557" s="1" t="s">
        <v>29</v>
      </c>
      <c r="N557" s="10">
        <v>40127</v>
      </c>
      <c r="O557" s="3">
        <v>470.03899999999999</v>
      </c>
      <c r="P557" s="15">
        <f>IF(Table1[[#This Row],[Amount Spent]]&gt;3500, 3500,Table1[[#This Row],[Amount Spent]])</f>
        <v>470.03899999999999</v>
      </c>
    </row>
    <row r="558" spans="1:16" x14ac:dyDescent="0.35">
      <c r="A558" s="9">
        <v>558</v>
      </c>
      <c r="B558" s="4" t="s">
        <v>64</v>
      </c>
      <c r="C558" s="9" t="s">
        <v>61</v>
      </c>
      <c r="D558" s="9" t="s">
        <v>58</v>
      </c>
      <c r="E558" s="9" t="s">
        <v>2</v>
      </c>
      <c r="F558" s="9">
        <v>0</v>
      </c>
      <c r="G558" s="5">
        <v>93000</v>
      </c>
      <c r="H558" s="4">
        <v>3</v>
      </c>
      <c r="I558" s="9" t="s">
        <v>69</v>
      </c>
      <c r="J558" s="4">
        <v>6</v>
      </c>
      <c r="K558" s="4" t="s">
        <v>14</v>
      </c>
      <c r="L558" s="4" t="s">
        <v>51</v>
      </c>
      <c r="M558" s="4" t="s">
        <v>38</v>
      </c>
      <c r="N558" s="10">
        <v>42052</v>
      </c>
      <c r="O558" s="6">
        <v>1045.96</v>
      </c>
      <c r="P558" s="15">
        <f>IF(Table1[[#This Row],[Amount Spent]]&gt;3500, 3500,Table1[[#This Row],[Amount Spent]])</f>
        <v>1045.96</v>
      </c>
    </row>
    <row r="559" spans="1:16" x14ac:dyDescent="0.35">
      <c r="A559" s="8">
        <v>559</v>
      </c>
      <c r="B559" s="1" t="s">
        <v>63</v>
      </c>
      <c r="C559" s="8" t="s">
        <v>62</v>
      </c>
      <c r="D559" s="8" t="s">
        <v>66</v>
      </c>
      <c r="E559" s="8" t="s">
        <v>2</v>
      </c>
      <c r="F559" s="8">
        <v>1</v>
      </c>
      <c r="G559" s="2">
        <v>40900</v>
      </c>
      <c r="H559" s="1">
        <v>2</v>
      </c>
      <c r="I559" s="8" t="s">
        <v>67</v>
      </c>
      <c r="J559" s="1">
        <v>18</v>
      </c>
      <c r="K559" s="1" t="s">
        <v>12</v>
      </c>
      <c r="L559" s="1" t="s">
        <v>53</v>
      </c>
      <c r="M559" s="1" t="s">
        <v>19</v>
      </c>
      <c r="N559" s="10">
        <v>40995</v>
      </c>
      <c r="O559" s="3">
        <v>575.60199999999998</v>
      </c>
      <c r="P559" s="15">
        <f>IF(Table1[[#This Row],[Amount Spent]]&gt;3500, 3500,Table1[[#This Row],[Amount Spent]])</f>
        <v>575.60199999999998</v>
      </c>
    </row>
    <row r="560" spans="1:16" x14ac:dyDescent="0.35">
      <c r="A560" s="9">
        <v>560</v>
      </c>
      <c r="B560" s="4" t="s">
        <v>64</v>
      </c>
      <c r="C560" s="9" t="s">
        <v>61</v>
      </c>
      <c r="D560" s="9" t="s">
        <v>58</v>
      </c>
      <c r="E560" s="9" t="s">
        <v>70</v>
      </c>
      <c r="F560" s="9">
        <v>0</v>
      </c>
      <c r="G560" s="5">
        <v>61300</v>
      </c>
      <c r="H560" s="4">
        <v>2</v>
      </c>
      <c r="I560" s="9" t="s">
        <v>69</v>
      </c>
      <c r="J560" s="4">
        <v>24</v>
      </c>
      <c r="K560" s="4" t="s">
        <v>13</v>
      </c>
      <c r="L560" s="4" t="s">
        <v>43</v>
      </c>
      <c r="M560" s="4" t="s">
        <v>23</v>
      </c>
      <c r="N560" s="10">
        <v>41713</v>
      </c>
      <c r="O560" s="6">
        <v>1241.394</v>
      </c>
      <c r="P560" s="15">
        <f>IF(Table1[[#This Row],[Amount Spent]]&gt;3500, 3500,Table1[[#This Row],[Amount Spent]])</f>
        <v>1241.394</v>
      </c>
    </row>
    <row r="561" spans="1:16" x14ac:dyDescent="0.35">
      <c r="A561" s="8">
        <v>561</v>
      </c>
      <c r="B561" s="1" t="s">
        <v>65</v>
      </c>
      <c r="C561" s="8" t="s">
        <v>62</v>
      </c>
      <c r="D561" s="8" t="s">
        <v>58</v>
      </c>
      <c r="E561" s="8" t="s">
        <v>2</v>
      </c>
      <c r="F561" s="8">
        <v>1</v>
      </c>
      <c r="G561" s="2">
        <v>110700</v>
      </c>
      <c r="H561" s="1">
        <v>0</v>
      </c>
      <c r="I561" s="8" t="s">
        <v>69</v>
      </c>
      <c r="J561" s="1">
        <v>12</v>
      </c>
      <c r="K561" s="1" t="s">
        <v>12</v>
      </c>
      <c r="L561" s="1" t="s">
        <v>41</v>
      </c>
      <c r="M561" s="1" t="s">
        <v>20</v>
      </c>
      <c r="N561" s="10">
        <v>41621</v>
      </c>
      <c r="O561" s="3">
        <v>2457.674</v>
      </c>
      <c r="P561" s="15">
        <f>IF(Table1[[#This Row],[Amount Spent]]&gt;3500, 3500,Table1[[#This Row],[Amount Spent]])</f>
        <v>2457.674</v>
      </c>
    </row>
    <row r="562" spans="1:16" x14ac:dyDescent="0.35">
      <c r="A562" s="9">
        <v>562</v>
      </c>
      <c r="B562" s="4" t="s">
        <v>64</v>
      </c>
      <c r="C562" s="9" t="s">
        <v>61</v>
      </c>
      <c r="D562" s="9" t="s">
        <v>66</v>
      </c>
      <c r="E562" s="9" t="s">
        <v>2</v>
      </c>
      <c r="F562" s="9">
        <v>1</v>
      </c>
      <c r="G562" s="5">
        <v>81800</v>
      </c>
      <c r="H562" s="4">
        <v>1</v>
      </c>
      <c r="I562" s="9" t="s">
        <v>69</v>
      </c>
      <c r="J562" s="4">
        <v>18</v>
      </c>
      <c r="K562" s="4" t="s">
        <v>15</v>
      </c>
      <c r="L562" s="4" t="s">
        <v>42</v>
      </c>
      <c r="M562" s="4" t="s">
        <v>32</v>
      </c>
      <c r="N562" s="10">
        <v>40002</v>
      </c>
      <c r="O562" s="6">
        <v>1837.867</v>
      </c>
      <c r="P562" s="15">
        <f>IF(Table1[[#This Row],[Amount Spent]]&gt;3500, 3500,Table1[[#This Row],[Amount Spent]])</f>
        <v>1837.867</v>
      </c>
    </row>
    <row r="563" spans="1:16" x14ac:dyDescent="0.35">
      <c r="A563" s="8">
        <v>563</v>
      </c>
      <c r="B563" s="1" t="s">
        <v>63</v>
      </c>
      <c r="C563" s="8" t="s">
        <v>61</v>
      </c>
      <c r="D563" s="8" t="s">
        <v>66</v>
      </c>
      <c r="E563" s="8" t="s">
        <v>70</v>
      </c>
      <c r="F563" s="8">
        <v>1</v>
      </c>
      <c r="G563" s="2">
        <v>19100</v>
      </c>
      <c r="H563" s="1">
        <v>0</v>
      </c>
      <c r="I563" s="8" t="s">
        <v>8</v>
      </c>
      <c r="J563" s="1">
        <v>6</v>
      </c>
      <c r="K563" s="1" t="s">
        <v>15</v>
      </c>
      <c r="L563" s="1" t="s">
        <v>28</v>
      </c>
      <c r="M563" s="1" t="s">
        <v>33</v>
      </c>
      <c r="N563" s="10">
        <v>42058</v>
      </c>
      <c r="O563" s="3">
        <v>175.999</v>
      </c>
      <c r="P563" s="15">
        <f>IF(Table1[[#This Row],[Amount Spent]]&gt;3500, 3500,Table1[[#This Row],[Amount Spent]])</f>
        <v>175.999</v>
      </c>
    </row>
    <row r="564" spans="1:16" x14ac:dyDescent="0.35">
      <c r="A564" s="9">
        <v>564</v>
      </c>
      <c r="B564" s="4" t="s">
        <v>63</v>
      </c>
      <c r="C564" s="9" t="s">
        <v>62</v>
      </c>
      <c r="D564" s="9" t="s">
        <v>66</v>
      </c>
      <c r="E564" s="9" t="s">
        <v>2</v>
      </c>
      <c r="F564" s="9">
        <v>1</v>
      </c>
      <c r="G564" s="5">
        <v>73600</v>
      </c>
      <c r="H564" s="4">
        <v>1</v>
      </c>
      <c r="I564" s="9" t="s">
        <v>68</v>
      </c>
      <c r="J564" s="4">
        <v>6</v>
      </c>
      <c r="K564" s="4" t="s">
        <v>13</v>
      </c>
      <c r="L564" s="4" t="s">
        <v>43</v>
      </c>
      <c r="M564" s="4" t="s">
        <v>23</v>
      </c>
      <c r="N564" s="10">
        <v>40277</v>
      </c>
      <c r="O564" s="6">
        <v>646.81299999999999</v>
      </c>
      <c r="P564" s="15">
        <f>IF(Table1[[#This Row],[Amount Spent]]&gt;3500, 3500,Table1[[#This Row],[Amount Spent]])</f>
        <v>646.81299999999999</v>
      </c>
    </row>
    <row r="565" spans="1:16" x14ac:dyDescent="0.35">
      <c r="A565" s="8">
        <v>565</v>
      </c>
      <c r="B565" s="1" t="s">
        <v>64</v>
      </c>
      <c r="C565" s="8" t="s">
        <v>62</v>
      </c>
      <c r="D565" s="8" t="s">
        <v>58</v>
      </c>
      <c r="E565" s="8" t="s">
        <v>70</v>
      </c>
      <c r="F565" s="8">
        <v>0</v>
      </c>
      <c r="G565" s="2">
        <v>62500</v>
      </c>
      <c r="H565" s="1">
        <v>3</v>
      </c>
      <c r="I565" s="8" t="s">
        <v>8</v>
      </c>
      <c r="J565" s="1">
        <v>6</v>
      </c>
      <c r="K565" s="1" t="s">
        <v>14</v>
      </c>
      <c r="L565" s="1" t="s">
        <v>49</v>
      </c>
      <c r="M565" s="1" t="s">
        <v>39</v>
      </c>
      <c r="N565" s="10">
        <v>42175</v>
      </c>
      <c r="O565" s="3">
        <v>921.45799999999997</v>
      </c>
      <c r="P565" s="15">
        <f>IF(Table1[[#This Row],[Amount Spent]]&gt;3500, 3500,Table1[[#This Row],[Amount Spent]])</f>
        <v>921.45799999999997</v>
      </c>
    </row>
    <row r="566" spans="1:16" x14ac:dyDescent="0.35">
      <c r="A566" s="9">
        <v>566</v>
      </c>
      <c r="B566" s="4" t="s">
        <v>64</v>
      </c>
      <c r="C566" s="9" t="s">
        <v>62</v>
      </c>
      <c r="D566" s="9" t="s">
        <v>66</v>
      </c>
      <c r="E566" s="9" t="s">
        <v>2</v>
      </c>
      <c r="F566" s="9">
        <v>1</v>
      </c>
      <c r="G566" s="5">
        <v>48600</v>
      </c>
      <c r="H566" s="4">
        <v>0</v>
      </c>
      <c r="I566" s="9" t="s">
        <v>68</v>
      </c>
      <c r="J566" s="4">
        <v>24</v>
      </c>
      <c r="K566" s="4" t="s">
        <v>12</v>
      </c>
      <c r="L566" s="4" t="s">
        <v>47</v>
      </c>
      <c r="M566" s="4" t="s">
        <v>18</v>
      </c>
      <c r="N566" s="10">
        <v>41111</v>
      </c>
      <c r="O566" s="6">
        <v>1583.0640000000001</v>
      </c>
      <c r="P566" s="15">
        <f>IF(Table1[[#This Row],[Amount Spent]]&gt;3500, 3500,Table1[[#This Row],[Amount Spent]])</f>
        <v>1583.0640000000001</v>
      </c>
    </row>
    <row r="567" spans="1:16" x14ac:dyDescent="0.35">
      <c r="A567" s="8">
        <v>567</v>
      </c>
      <c r="B567" s="1" t="s">
        <v>65</v>
      </c>
      <c r="C567" s="8" t="s">
        <v>61</v>
      </c>
      <c r="D567" s="8" t="s">
        <v>66</v>
      </c>
      <c r="E567" s="8" t="s">
        <v>2</v>
      </c>
      <c r="F567" s="8">
        <v>1</v>
      </c>
      <c r="G567" s="2">
        <v>69800</v>
      </c>
      <c r="H567" s="1">
        <v>0</v>
      </c>
      <c r="I567" s="8" t="s">
        <v>69</v>
      </c>
      <c r="J567" s="1">
        <v>24</v>
      </c>
      <c r="K567" s="1" t="s">
        <v>14</v>
      </c>
      <c r="L567" s="1" t="s">
        <v>40</v>
      </c>
      <c r="M567" s="1" t="s">
        <v>37</v>
      </c>
      <c r="N567" s="10">
        <v>40849</v>
      </c>
      <c r="O567" s="3">
        <v>2763.596</v>
      </c>
      <c r="P567" s="15">
        <f>IF(Table1[[#This Row],[Amount Spent]]&gt;3500, 3500,Table1[[#This Row],[Amount Spent]])</f>
        <v>2763.596</v>
      </c>
    </row>
    <row r="568" spans="1:16" x14ac:dyDescent="0.35">
      <c r="A568" s="9">
        <v>568</v>
      </c>
      <c r="B568" s="4" t="s">
        <v>64</v>
      </c>
      <c r="C568" s="9" t="s">
        <v>61</v>
      </c>
      <c r="D568" s="9" t="s">
        <v>58</v>
      </c>
      <c r="E568" s="9" t="s">
        <v>2</v>
      </c>
      <c r="F568" s="9">
        <v>1</v>
      </c>
      <c r="G568" s="5">
        <v>90300</v>
      </c>
      <c r="H568" s="4">
        <v>0</v>
      </c>
      <c r="I568" s="9" t="s">
        <v>69</v>
      </c>
      <c r="J568" s="4">
        <v>24</v>
      </c>
      <c r="K568" s="4" t="s">
        <v>15</v>
      </c>
      <c r="L568" s="4" t="s">
        <v>44</v>
      </c>
      <c r="M568" s="4" t="s">
        <v>29</v>
      </c>
      <c r="N568" s="10">
        <v>41744</v>
      </c>
      <c r="O568" s="6">
        <v>1944.145</v>
      </c>
      <c r="P568" s="15">
        <f>IF(Table1[[#This Row],[Amount Spent]]&gt;3500, 3500,Table1[[#This Row],[Amount Spent]])</f>
        <v>1944.145</v>
      </c>
    </row>
    <row r="569" spans="1:16" x14ac:dyDescent="0.35">
      <c r="A569" s="8">
        <v>569</v>
      </c>
      <c r="B569" s="1" t="s">
        <v>64</v>
      </c>
      <c r="C569" s="8" t="s">
        <v>61</v>
      </c>
      <c r="D569" s="8" t="s">
        <v>58</v>
      </c>
      <c r="E569" s="8" t="s">
        <v>2</v>
      </c>
      <c r="F569" s="8">
        <v>1</v>
      </c>
      <c r="G569" s="2">
        <v>70400</v>
      </c>
      <c r="H569" s="1">
        <v>2</v>
      </c>
      <c r="I569" s="8" t="s">
        <v>8</v>
      </c>
      <c r="J569" s="1">
        <v>12</v>
      </c>
      <c r="K569" s="1" t="s">
        <v>13</v>
      </c>
      <c r="L569" s="1" t="s">
        <v>45</v>
      </c>
      <c r="M569" s="1" t="s">
        <v>26</v>
      </c>
      <c r="N569" s="10">
        <v>40280</v>
      </c>
      <c r="O569" s="3">
        <v>1127.365</v>
      </c>
      <c r="P569" s="15">
        <f>IF(Table1[[#This Row],[Amount Spent]]&gt;3500, 3500,Table1[[#This Row],[Amount Spent]])</f>
        <v>1127.365</v>
      </c>
    </row>
    <row r="570" spans="1:16" x14ac:dyDescent="0.35">
      <c r="A570" s="9">
        <v>570</v>
      </c>
      <c r="B570" s="4" t="s">
        <v>63</v>
      </c>
      <c r="C570" s="9" t="s">
        <v>62</v>
      </c>
      <c r="D570" s="9" t="s">
        <v>58</v>
      </c>
      <c r="E570" s="9" t="s">
        <v>70</v>
      </c>
      <c r="F570" s="9">
        <v>0</v>
      </c>
      <c r="G570" s="5">
        <v>32000</v>
      </c>
      <c r="H570" s="4">
        <v>1</v>
      </c>
      <c r="I570" s="9" t="s">
        <v>8</v>
      </c>
      <c r="J570" s="4">
        <v>24</v>
      </c>
      <c r="K570" s="4" t="s">
        <v>14</v>
      </c>
      <c r="L570" s="4" t="s">
        <v>40</v>
      </c>
      <c r="M570" s="4" t="s">
        <v>37</v>
      </c>
      <c r="N570" s="10">
        <v>42196</v>
      </c>
      <c r="O570" s="6">
        <v>1319.7</v>
      </c>
      <c r="P570" s="15">
        <f>IF(Table1[[#This Row],[Amount Spent]]&gt;3500, 3500,Table1[[#This Row],[Amount Spent]])</f>
        <v>1319.7</v>
      </c>
    </row>
    <row r="571" spans="1:16" x14ac:dyDescent="0.35">
      <c r="A571" s="8">
        <v>571</v>
      </c>
      <c r="B571" s="1" t="s">
        <v>64</v>
      </c>
      <c r="C571" s="8" t="s">
        <v>62</v>
      </c>
      <c r="D571" s="8" t="s">
        <v>58</v>
      </c>
      <c r="E571" s="8" t="s">
        <v>2</v>
      </c>
      <c r="F571" s="8">
        <v>1</v>
      </c>
      <c r="G571" s="2">
        <v>68200</v>
      </c>
      <c r="H571" s="1">
        <v>1</v>
      </c>
      <c r="I571" s="8" t="s">
        <v>8</v>
      </c>
      <c r="J571" s="1">
        <v>6</v>
      </c>
      <c r="K571" s="1" t="s">
        <v>15</v>
      </c>
      <c r="L571" s="1" t="s">
        <v>28</v>
      </c>
      <c r="M571" s="1" t="s">
        <v>28</v>
      </c>
      <c r="N571" s="10">
        <v>42210</v>
      </c>
      <c r="O571" s="3">
        <v>817.74800000000005</v>
      </c>
      <c r="P571" s="15">
        <f>IF(Table1[[#This Row],[Amount Spent]]&gt;3500, 3500,Table1[[#This Row],[Amount Spent]])</f>
        <v>817.74800000000005</v>
      </c>
    </row>
    <row r="572" spans="1:16" x14ac:dyDescent="0.35">
      <c r="A572" s="9">
        <v>572</v>
      </c>
      <c r="B572" s="4" t="s">
        <v>63</v>
      </c>
      <c r="C572" s="9" t="s">
        <v>62</v>
      </c>
      <c r="D572" s="9" t="s">
        <v>58</v>
      </c>
      <c r="E572" s="9" t="s">
        <v>70</v>
      </c>
      <c r="F572" s="9">
        <v>1</v>
      </c>
      <c r="G572" s="5">
        <v>21600</v>
      </c>
      <c r="H572" s="4">
        <v>2</v>
      </c>
      <c r="I572" s="9" t="s">
        <v>8</v>
      </c>
      <c r="J572" s="4">
        <v>12</v>
      </c>
      <c r="K572" s="4" t="s">
        <v>14</v>
      </c>
      <c r="L572" s="4" t="s">
        <v>40</v>
      </c>
      <c r="M572" s="4" t="s">
        <v>37</v>
      </c>
      <c r="N572" s="10">
        <v>42044</v>
      </c>
      <c r="O572" s="6">
        <v>490.97399999999999</v>
      </c>
      <c r="P572" s="15">
        <f>IF(Table1[[#This Row],[Amount Spent]]&gt;3500, 3500,Table1[[#This Row],[Amount Spent]])</f>
        <v>490.97399999999999</v>
      </c>
    </row>
    <row r="573" spans="1:16" x14ac:dyDescent="0.35">
      <c r="A573" s="8">
        <v>573</v>
      </c>
      <c r="B573" s="1" t="s">
        <v>64</v>
      </c>
      <c r="C573" s="8" t="s">
        <v>62</v>
      </c>
      <c r="D573" s="8" t="s">
        <v>66</v>
      </c>
      <c r="E573" s="8" t="s">
        <v>70</v>
      </c>
      <c r="F573" s="8">
        <v>0</v>
      </c>
      <c r="G573" s="2">
        <v>38200</v>
      </c>
      <c r="H573" s="1">
        <v>0</v>
      </c>
      <c r="I573" s="8" t="s">
        <v>68</v>
      </c>
      <c r="J573" s="1">
        <v>24</v>
      </c>
      <c r="K573" s="1" t="s">
        <v>14</v>
      </c>
      <c r="L573" s="1" t="s">
        <v>40</v>
      </c>
      <c r="M573" s="1" t="s">
        <v>37</v>
      </c>
      <c r="N573" s="10">
        <v>41754</v>
      </c>
      <c r="O573" s="3">
        <v>1475.806</v>
      </c>
      <c r="P573" s="15">
        <f>IF(Table1[[#This Row],[Amount Spent]]&gt;3500, 3500,Table1[[#This Row],[Amount Spent]])</f>
        <v>1475.806</v>
      </c>
    </row>
    <row r="574" spans="1:16" x14ac:dyDescent="0.35">
      <c r="A574" s="9">
        <v>574</v>
      </c>
      <c r="B574" s="4" t="s">
        <v>64</v>
      </c>
      <c r="C574" s="9" t="s">
        <v>62</v>
      </c>
      <c r="D574" s="9" t="s">
        <v>66</v>
      </c>
      <c r="E574" s="9" t="s">
        <v>2</v>
      </c>
      <c r="F574" s="9">
        <v>1</v>
      </c>
      <c r="G574" s="5">
        <v>91000</v>
      </c>
      <c r="H574" s="4">
        <v>2</v>
      </c>
      <c r="I574" s="9" t="s">
        <v>68</v>
      </c>
      <c r="J574" s="4">
        <v>6</v>
      </c>
      <c r="K574" s="4" t="s">
        <v>13</v>
      </c>
      <c r="L574" s="4" t="s">
        <v>46</v>
      </c>
      <c r="M574" s="4" t="s">
        <v>22</v>
      </c>
      <c r="N574" s="10">
        <v>40658</v>
      </c>
      <c r="O574" s="6">
        <v>708.24699999999996</v>
      </c>
      <c r="P574" s="15">
        <f>IF(Table1[[#This Row],[Amount Spent]]&gt;3500, 3500,Table1[[#This Row],[Amount Spent]])</f>
        <v>708.24699999999996</v>
      </c>
    </row>
    <row r="575" spans="1:16" x14ac:dyDescent="0.35">
      <c r="A575" s="8">
        <v>575</v>
      </c>
      <c r="B575" s="1" t="s">
        <v>63</v>
      </c>
      <c r="C575" s="8" t="s">
        <v>62</v>
      </c>
      <c r="D575" s="8" t="s">
        <v>66</v>
      </c>
      <c r="E575" s="8" t="s">
        <v>70</v>
      </c>
      <c r="F575" s="8">
        <v>0</v>
      </c>
      <c r="G575" s="2">
        <v>12000</v>
      </c>
      <c r="H575" s="1">
        <v>0</v>
      </c>
      <c r="I575" s="8" t="s">
        <v>67</v>
      </c>
      <c r="J575" s="1">
        <v>6</v>
      </c>
      <c r="K575" s="1" t="s">
        <v>13</v>
      </c>
      <c r="L575" s="1" t="s">
        <v>46</v>
      </c>
      <c r="M575" s="1" t="s">
        <v>22</v>
      </c>
      <c r="N575" s="10">
        <v>42092</v>
      </c>
      <c r="O575" s="3">
        <v>263.66399999999999</v>
      </c>
      <c r="P575" s="15">
        <f>IF(Table1[[#This Row],[Amount Spent]]&gt;3500, 3500,Table1[[#This Row],[Amount Spent]])</f>
        <v>263.66399999999999</v>
      </c>
    </row>
    <row r="576" spans="1:16" x14ac:dyDescent="0.35">
      <c r="A576" s="9">
        <v>576</v>
      </c>
      <c r="B576" s="4" t="s">
        <v>63</v>
      </c>
      <c r="C576" s="9" t="s">
        <v>62</v>
      </c>
      <c r="D576" s="9" t="s">
        <v>66</v>
      </c>
      <c r="E576" s="9" t="s">
        <v>70</v>
      </c>
      <c r="F576" s="9">
        <v>0</v>
      </c>
      <c r="G576" s="5">
        <v>18200</v>
      </c>
      <c r="H576" s="4">
        <v>2</v>
      </c>
      <c r="I576" s="9" t="s">
        <v>67</v>
      </c>
      <c r="J576" s="4">
        <v>12</v>
      </c>
      <c r="K576" s="4" t="s">
        <v>14</v>
      </c>
      <c r="L576" s="4" t="s">
        <v>49</v>
      </c>
      <c r="M576" s="4" t="s">
        <v>39</v>
      </c>
      <c r="N576" s="10">
        <v>41012</v>
      </c>
      <c r="O576" s="6">
        <v>322.46899999999999</v>
      </c>
      <c r="P576" s="15">
        <f>IF(Table1[[#This Row],[Amount Spent]]&gt;3500, 3500,Table1[[#This Row],[Amount Spent]])</f>
        <v>322.46899999999999</v>
      </c>
    </row>
    <row r="577" spans="1:16" x14ac:dyDescent="0.35">
      <c r="A577" s="8">
        <v>577</v>
      </c>
      <c r="B577" s="1" t="s">
        <v>64</v>
      </c>
      <c r="C577" s="8" t="s">
        <v>62</v>
      </c>
      <c r="D577" s="8" t="s">
        <v>66</v>
      </c>
      <c r="E577" s="8" t="s">
        <v>2</v>
      </c>
      <c r="F577" s="8">
        <v>1</v>
      </c>
      <c r="G577" s="2">
        <v>72100</v>
      </c>
      <c r="H577" s="1">
        <v>0</v>
      </c>
      <c r="I577" s="8" t="s">
        <v>69</v>
      </c>
      <c r="J577" s="1">
        <v>24</v>
      </c>
      <c r="K577" s="1" t="s">
        <v>13</v>
      </c>
      <c r="L577" s="1" t="s">
        <v>46</v>
      </c>
      <c r="M577" s="1" t="s">
        <v>22</v>
      </c>
      <c r="N577" s="10">
        <v>41929</v>
      </c>
      <c r="O577" s="3">
        <v>3052.4319999999998</v>
      </c>
      <c r="P577" s="15">
        <f>IF(Table1[[#This Row],[Amount Spent]]&gt;3500, 3500,Table1[[#This Row],[Amount Spent]])</f>
        <v>3052.4319999999998</v>
      </c>
    </row>
    <row r="578" spans="1:16" x14ac:dyDescent="0.35">
      <c r="A578" s="9">
        <v>578</v>
      </c>
      <c r="B578" s="4" t="s">
        <v>64</v>
      </c>
      <c r="C578" s="9" t="s">
        <v>61</v>
      </c>
      <c r="D578" s="9" t="s">
        <v>66</v>
      </c>
      <c r="E578" s="9" t="s">
        <v>2</v>
      </c>
      <c r="F578" s="9">
        <v>1</v>
      </c>
      <c r="G578" s="5">
        <v>38400</v>
      </c>
      <c r="H578" s="4">
        <v>2</v>
      </c>
      <c r="I578" s="9" t="s">
        <v>67</v>
      </c>
      <c r="J578" s="4">
        <v>6</v>
      </c>
      <c r="K578" s="4" t="s">
        <v>15</v>
      </c>
      <c r="L578" s="4" t="s">
        <v>52</v>
      </c>
      <c r="M578" s="4" t="s">
        <v>30</v>
      </c>
      <c r="N578" s="10">
        <v>41944</v>
      </c>
      <c r="O578" s="6">
        <v>188.13200000000001</v>
      </c>
      <c r="P578" s="15">
        <f>IF(Table1[[#This Row],[Amount Spent]]&gt;3500, 3500,Table1[[#This Row],[Amount Spent]])</f>
        <v>188.13200000000001</v>
      </c>
    </row>
    <row r="579" spans="1:16" x14ac:dyDescent="0.35">
      <c r="A579" s="8">
        <v>579</v>
      </c>
      <c r="B579" s="1" t="s">
        <v>64</v>
      </c>
      <c r="C579" s="8" t="s">
        <v>61</v>
      </c>
      <c r="D579" s="8" t="s">
        <v>58</v>
      </c>
      <c r="E579" s="8" t="s">
        <v>2</v>
      </c>
      <c r="F579" s="8">
        <v>0</v>
      </c>
      <c r="G579" s="2">
        <v>79700</v>
      </c>
      <c r="H579" s="1">
        <v>1</v>
      </c>
      <c r="I579" s="8" t="s">
        <v>69</v>
      </c>
      <c r="J579" s="1">
        <v>24</v>
      </c>
      <c r="K579" s="1" t="s">
        <v>14</v>
      </c>
      <c r="L579" s="1" t="s">
        <v>49</v>
      </c>
      <c r="M579" s="1" t="s">
        <v>39</v>
      </c>
      <c r="N579" s="10">
        <v>40519</v>
      </c>
      <c r="O579" s="3">
        <v>3383.6460000000002</v>
      </c>
      <c r="P579" s="15">
        <f>IF(Table1[[#This Row],[Amount Spent]]&gt;3500, 3500,Table1[[#This Row],[Amount Spent]])</f>
        <v>3383.6460000000002</v>
      </c>
    </row>
    <row r="580" spans="1:16" x14ac:dyDescent="0.35">
      <c r="A580" s="9">
        <v>580</v>
      </c>
      <c r="B580" s="4" t="s">
        <v>63</v>
      </c>
      <c r="C580" s="9" t="s">
        <v>61</v>
      </c>
      <c r="D580" s="9" t="s">
        <v>66</v>
      </c>
      <c r="E580" s="9" t="s">
        <v>70</v>
      </c>
      <c r="F580" s="9">
        <v>0</v>
      </c>
      <c r="G580" s="5">
        <v>17700</v>
      </c>
      <c r="H580" s="4">
        <v>0</v>
      </c>
      <c r="I580" s="9" t="s">
        <v>67</v>
      </c>
      <c r="J580" s="4">
        <v>18</v>
      </c>
      <c r="K580" s="4" t="s">
        <v>14</v>
      </c>
      <c r="L580" s="4" t="s">
        <v>49</v>
      </c>
      <c r="M580" s="4" t="s">
        <v>39</v>
      </c>
      <c r="N580" s="10">
        <v>40497</v>
      </c>
      <c r="O580" s="6">
        <v>741.59799999999996</v>
      </c>
      <c r="P580" s="15">
        <f>IF(Table1[[#This Row],[Amount Spent]]&gt;3500, 3500,Table1[[#This Row],[Amount Spent]])</f>
        <v>741.59799999999996</v>
      </c>
    </row>
    <row r="581" spans="1:16" x14ac:dyDescent="0.35">
      <c r="A581" s="8">
        <v>581</v>
      </c>
      <c r="B581" s="1" t="s">
        <v>65</v>
      </c>
      <c r="C581" s="8" t="s">
        <v>61</v>
      </c>
      <c r="D581" s="8" t="s">
        <v>58</v>
      </c>
      <c r="E581" s="8" t="s">
        <v>2</v>
      </c>
      <c r="F581" s="8">
        <v>0</v>
      </c>
      <c r="G581" s="2">
        <v>112900</v>
      </c>
      <c r="H581" s="1">
        <v>0</v>
      </c>
      <c r="I581" s="8" t="s">
        <v>69</v>
      </c>
      <c r="J581" s="1">
        <v>24</v>
      </c>
      <c r="K581" s="1" t="s">
        <v>14</v>
      </c>
      <c r="L581" s="1" t="s">
        <v>50</v>
      </c>
      <c r="M581" s="1" t="s">
        <v>35</v>
      </c>
      <c r="N581" s="10">
        <v>39849</v>
      </c>
      <c r="O581" s="3">
        <v>6217.3429999999998</v>
      </c>
      <c r="P581" s="15">
        <f>IF(Table1[[#This Row],[Amount Spent]]&gt;3500, 3500,Table1[[#This Row],[Amount Spent]])</f>
        <v>3500</v>
      </c>
    </row>
    <row r="582" spans="1:16" x14ac:dyDescent="0.35">
      <c r="A582" s="9">
        <v>582</v>
      </c>
      <c r="B582" s="4" t="s">
        <v>63</v>
      </c>
      <c r="C582" s="9" t="s">
        <v>62</v>
      </c>
      <c r="D582" s="9" t="s">
        <v>66</v>
      </c>
      <c r="E582" s="9" t="s">
        <v>70</v>
      </c>
      <c r="F582" s="9">
        <v>1</v>
      </c>
      <c r="G582" s="5">
        <v>17800</v>
      </c>
      <c r="H582" s="4">
        <v>1</v>
      </c>
      <c r="I582" s="9" t="s">
        <v>67</v>
      </c>
      <c r="J582" s="4">
        <v>6</v>
      </c>
      <c r="K582" s="4" t="s">
        <v>15</v>
      </c>
      <c r="L582" s="4" t="s">
        <v>52</v>
      </c>
      <c r="M582" s="4" t="s">
        <v>31</v>
      </c>
      <c r="N582" s="10">
        <v>41129</v>
      </c>
      <c r="O582" s="6">
        <v>216.06899999999999</v>
      </c>
      <c r="P582" s="15">
        <f>IF(Table1[[#This Row],[Amount Spent]]&gt;3500, 3500,Table1[[#This Row],[Amount Spent]])</f>
        <v>216.06899999999999</v>
      </c>
    </row>
    <row r="583" spans="1:16" x14ac:dyDescent="0.35">
      <c r="A583" s="8">
        <v>583</v>
      </c>
      <c r="B583" s="1" t="s">
        <v>64</v>
      </c>
      <c r="C583" s="8" t="s">
        <v>62</v>
      </c>
      <c r="D583" s="8" t="s">
        <v>58</v>
      </c>
      <c r="E583" s="8" t="s">
        <v>2</v>
      </c>
      <c r="F583" s="8">
        <v>0</v>
      </c>
      <c r="G583" s="2">
        <v>52300</v>
      </c>
      <c r="H583" s="1">
        <v>1</v>
      </c>
      <c r="I583" s="8" t="s">
        <v>69</v>
      </c>
      <c r="J583" s="1">
        <v>18</v>
      </c>
      <c r="K583" s="1" t="s">
        <v>13</v>
      </c>
      <c r="L583" s="1" t="s">
        <v>48</v>
      </c>
      <c r="M583" s="1" t="s">
        <v>27</v>
      </c>
      <c r="N583" s="10">
        <v>40336</v>
      </c>
      <c r="O583" s="3">
        <v>2034.4639999999999</v>
      </c>
      <c r="P583" s="15">
        <f>IF(Table1[[#This Row],[Amount Spent]]&gt;3500, 3500,Table1[[#This Row],[Amount Spent]])</f>
        <v>2034.4639999999999</v>
      </c>
    </row>
    <row r="584" spans="1:16" x14ac:dyDescent="0.35">
      <c r="A584" s="9">
        <v>584</v>
      </c>
      <c r="B584" s="4" t="s">
        <v>64</v>
      </c>
      <c r="C584" s="9" t="s">
        <v>61</v>
      </c>
      <c r="D584" s="9" t="s">
        <v>58</v>
      </c>
      <c r="E584" s="9" t="s">
        <v>70</v>
      </c>
      <c r="F584" s="9">
        <v>0</v>
      </c>
      <c r="G584" s="5">
        <v>60200</v>
      </c>
      <c r="H584" s="4">
        <v>0</v>
      </c>
      <c r="I584" s="9" t="s">
        <v>69</v>
      </c>
      <c r="J584" s="4">
        <v>12</v>
      </c>
      <c r="K584" s="4" t="s">
        <v>15</v>
      </c>
      <c r="L584" s="4" t="s">
        <v>28</v>
      </c>
      <c r="M584" s="4" t="s">
        <v>33</v>
      </c>
      <c r="N584" s="10">
        <v>39954</v>
      </c>
      <c r="O584" s="6">
        <v>1955.135</v>
      </c>
      <c r="P584" s="15">
        <f>IF(Table1[[#This Row],[Amount Spent]]&gt;3500, 3500,Table1[[#This Row],[Amount Spent]])</f>
        <v>1955.135</v>
      </c>
    </row>
    <row r="585" spans="1:16" x14ac:dyDescent="0.35">
      <c r="A585" s="8">
        <v>585</v>
      </c>
      <c r="B585" s="1" t="s">
        <v>64</v>
      </c>
      <c r="C585" s="8" t="s">
        <v>62</v>
      </c>
      <c r="D585" s="8" t="s">
        <v>58</v>
      </c>
      <c r="E585" s="8" t="s">
        <v>2</v>
      </c>
      <c r="F585" s="8">
        <v>1</v>
      </c>
      <c r="G585" s="2">
        <v>80800</v>
      </c>
      <c r="H585" s="1">
        <v>1</v>
      </c>
      <c r="I585" s="8" t="s">
        <v>8</v>
      </c>
      <c r="J585" s="1">
        <v>18</v>
      </c>
      <c r="K585" s="1" t="s">
        <v>13</v>
      </c>
      <c r="L585" s="1" t="s">
        <v>43</v>
      </c>
      <c r="M585" s="1" t="s">
        <v>23</v>
      </c>
      <c r="N585" s="10">
        <v>42112</v>
      </c>
      <c r="O585" s="3">
        <v>1598.2719999999999</v>
      </c>
      <c r="P585" s="15">
        <f>IF(Table1[[#This Row],[Amount Spent]]&gt;3500, 3500,Table1[[#This Row],[Amount Spent]])</f>
        <v>1598.2719999999999</v>
      </c>
    </row>
    <row r="586" spans="1:16" x14ac:dyDescent="0.35">
      <c r="A586" s="9">
        <v>586</v>
      </c>
      <c r="B586" s="4" t="s">
        <v>63</v>
      </c>
      <c r="C586" s="9" t="s">
        <v>62</v>
      </c>
      <c r="D586" s="9" t="s">
        <v>66</v>
      </c>
      <c r="E586" s="9" t="s">
        <v>70</v>
      </c>
      <c r="F586" s="9">
        <v>1</v>
      </c>
      <c r="G586" s="5">
        <v>21900</v>
      </c>
      <c r="H586" s="4">
        <v>1</v>
      </c>
      <c r="I586" s="9" t="s">
        <v>8</v>
      </c>
      <c r="J586" s="4">
        <v>12</v>
      </c>
      <c r="K586" s="4" t="s">
        <v>13</v>
      </c>
      <c r="L586" s="4" t="s">
        <v>43</v>
      </c>
      <c r="M586" s="4" t="s">
        <v>23</v>
      </c>
      <c r="N586" s="10">
        <v>42222</v>
      </c>
      <c r="O586" s="6">
        <v>576.06600000000003</v>
      </c>
      <c r="P586" s="15">
        <f>IF(Table1[[#This Row],[Amount Spent]]&gt;3500, 3500,Table1[[#This Row],[Amount Spent]])</f>
        <v>576.06600000000003</v>
      </c>
    </row>
    <row r="587" spans="1:16" x14ac:dyDescent="0.35">
      <c r="A587" s="8">
        <v>587</v>
      </c>
      <c r="B587" s="1" t="s">
        <v>64</v>
      </c>
      <c r="C587" s="8" t="s">
        <v>61</v>
      </c>
      <c r="D587" s="8" t="s">
        <v>58</v>
      </c>
      <c r="E587" s="8" t="s">
        <v>2</v>
      </c>
      <c r="F587" s="8">
        <v>0</v>
      </c>
      <c r="G587" s="2">
        <v>102700</v>
      </c>
      <c r="H587" s="1">
        <v>1</v>
      </c>
      <c r="I587" s="8" t="s">
        <v>69</v>
      </c>
      <c r="J587" s="1">
        <v>18</v>
      </c>
      <c r="K587" s="1" t="s">
        <v>14</v>
      </c>
      <c r="L587" s="1" t="s">
        <v>50</v>
      </c>
      <c r="M587" s="1" t="s">
        <v>34</v>
      </c>
      <c r="N587" s="10">
        <v>40276</v>
      </c>
      <c r="O587" s="3">
        <v>3785.4250000000002</v>
      </c>
      <c r="P587" s="15">
        <f>IF(Table1[[#This Row],[Amount Spent]]&gt;3500, 3500,Table1[[#This Row],[Amount Spent]])</f>
        <v>3500</v>
      </c>
    </row>
    <row r="588" spans="1:16" x14ac:dyDescent="0.35">
      <c r="A588" s="9">
        <v>588</v>
      </c>
      <c r="B588" s="4" t="s">
        <v>64</v>
      </c>
      <c r="C588" s="9" t="s">
        <v>62</v>
      </c>
      <c r="D588" s="9" t="s">
        <v>58</v>
      </c>
      <c r="E588" s="9" t="s">
        <v>2</v>
      </c>
      <c r="F588" s="9">
        <v>1</v>
      </c>
      <c r="G588" s="5">
        <v>90500</v>
      </c>
      <c r="H588" s="4">
        <v>1</v>
      </c>
      <c r="I588" s="9" t="s">
        <v>69</v>
      </c>
      <c r="J588" s="4">
        <v>6</v>
      </c>
      <c r="K588" s="4" t="s">
        <v>14</v>
      </c>
      <c r="L588" s="4" t="s">
        <v>50</v>
      </c>
      <c r="M588" s="4" t="s">
        <v>34</v>
      </c>
      <c r="N588" s="10">
        <v>41688</v>
      </c>
      <c r="O588" s="6">
        <v>1116.002</v>
      </c>
      <c r="P588" s="15">
        <f>IF(Table1[[#This Row],[Amount Spent]]&gt;3500, 3500,Table1[[#This Row],[Amount Spent]])</f>
        <v>1116.002</v>
      </c>
    </row>
    <row r="589" spans="1:16" x14ac:dyDescent="0.35">
      <c r="A589" s="8">
        <v>589</v>
      </c>
      <c r="B589" s="1" t="s">
        <v>64</v>
      </c>
      <c r="C589" s="8" t="s">
        <v>61</v>
      </c>
      <c r="D589" s="8" t="s">
        <v>58</v>
      </c>
      <c r="E589" s="8" t="s">
        <v>70</v>
      </c>
      <c r="F589" s="8">
        <v>1</v>
      </c>
      <c r="G589" s="2">
        <v>44600</v>
      </c>
      <c r="H589" s="1">
        <v>2</v>
      </c>
      <c r="I589" s="8" t="s">
        <v>67</v>
      </c>
      <c r="J589" s="1">
        <v>6</v>
      </c>
      <c r="K589" s="1" t="s">
        <v>15</v>
      </c>
      <c r="L589" s="1" t="s">
        <v>42</v>
      </c>
      <c r="M589" s="1" t="s">
        <v>32</v>
      </c>
      <c r="N589" s="10">
        <v>41962</v>
      </c>
      <c r="O589" s="3">
        <v>236.309</v>
      </c>
      <c r="P589" s="15">
        <f>IF(Table1[[#This Row],[Amount Spent]]&gt;3500, 3500,Table1[[#This Row],[Amount Spent]])</f>
        <v>236.309</v>
      </c>
    </row>
    <row r="590" spans="1:16" x14ac:dyDescent="0.35">
      <c r="A590" s="9">
        <v>590</v>
      </c>
      <c r="B590" s="4" t="s">
        <v>65</v>
      </c>
      <c r="C590" s="9" t="s">
        <v>61</v>
      </c>
      <c r="D590" s="9" t="s">
        <v>58</v>
      </c>
      <c r="E590" s="9" t="s">
        <v>2</v>
      </c>
      <c r="F590" s="9">
        <v>1</v>
      </c>
      <c r="G590" s="5">
        <v>85300</v>
      </c>
      <c r="H590" s="4">
        <v>0</v>
      </c>
      <c r="I590" s="9" t="s">
        <v>8</v>
      </c>
      <c r="J590" s="4">
        <v>12</v>
      </c>
      <c r="K590" s="4" t="s">
        <v>14</v>
      </c>
      <c r="L590" s="4" t="s">
        <v>49</v>
      </c>
      <c r="M590" s="4" t="s">
        <v>39</v>
      </c>
      <c r="N590" s="10">
        <v>42182</v>
      </c>
      <c r="O590" s="6">
        <v>2522.953</v>
      </c>
      <c r="P590" s="15">
        <f>IF(Table1[[#This Row],[Amount Spent]]&gt;3500, 3500,Table1[[#This Row],[Amount Spent]])</f>
        <v>2522.953</v>
      </c>
    </row>
    <row r="591" spans="1:16" x14ac:dyDescent="0.35">
      <c r="A591" s="8">
        <v>591</v>
      </c>
      <c r="B591" s="1" t="s">
        <v>63</v>
      </c>
      <c r="C591" s="8" t="s">
        <v>61</v>
      </c>
      <c r="D591" s="8" t="s">
        <v>66</v>
      </c>
      <c r="E591" s="8" t="s">
        <v>70</v>
      </c>
      <c r="F591" s="8">
        <v>1</v>
      </c>
      <c r="G591" s="2">
        <v>13000</v>
      </c>
      <c r="H591" s="1">
        <v>3</v>
      </c>
      <c r="I591" s="8" t="s">
        <v>67</v>
      </c>
      <c r="J591" s="1">
        <v>6</v>
      </c>
      <c r="K591" s="1" t="s">
        <v>12</v>
      </c>
      <c r="L591" s="1" t="s">
        <v>47</v>
      </c>
      <c r="M591" s="1" t="s">
        <v>18</v>
      </c>
      <c r="N591" s="10">
        <v>41846</v>
      </c>
      <c r="O591" s="3">
        <v>43.185000000000002</v>
      </c>
      <c r="P591" s="15">
        <f>IF(Table1[[#This Row],[Amount Spent]]&gt;3500, 3500,Table1[[#This Row],[Amount Spent]])</f>
        <v>43.185000000000002</v>
      </c>
    </row>
    <row r="592" spans="1:16" x14ac:dyDescent="0.35">
      <c r="A592" s="9">
        <v>592</v>
      </c>
      <c r="B592" s="4" t="s">
        <v>63</v>
      </c>
      <c r="C592" s="9" t="s">
        <v>62</v>
      </c>
      <c r="D592" s="9" t="s">
        <v>66</v>
      </c>
      <c r="E592" s="9" t="s">
        <v>70</v>
      </c>
      <c r="F592" s="9">
        <v>0</v>
      </c>
      <c r="G592" s="5">
        <v>32400</v>
      </c>
      <c r="H592" s="4">
        <v>1</v>
      </c>
      <c r="I592" s="9" t="s">
        <v>68</v>
      </c>
      <c r="J592" s="4">
        <v>24</v>
      </c>
      <c r="K592" s="4" t="s">
        <v>14</v>
      </c>
      <c r="L592" s="4" t="s">
        <v>50</v>
      </c>
      <c r="M592" s="4" t="s">
        <v>35</v>
      </c>
      <c r="N592" s="10">
        <v>40748</v>
      </c>
      <c r="O592" s="6">
        <v>919.96500000000003</v>
      </c>
      <c r="P592" s="15">
        <f>IF(Table1[[#This Row],[Amount Spent]]&gt;3500, 3500,Table1[[#This Row],[Amount Spent]])</f>
        <v>919.96500000000003</v>
      </c>
    </row>
    <row r="593" spans="1:16" x14ac:dyDescent="0.35">
      <c r="A593" s="8">
        <v>593</v>
      </c>
      <c r="B593" s="1" t="s">
        <v>63</v>
      </c>
      <c r="C593" s="8" t="s">
        <v>61</v>
      </c>
      <c r="D593" s="8" t="s">
        <v>66</v>
      </c>
      <c r="E593" s="8" t="s">
        <v>2</v>
      </c>
      <c r="F593" s="8">
        <v>0</v>
      </c>
      <c r="G593" s="2">
        <v>46300</v>
      </c>
      <c r="H593" s="1">
        <v>1</v>
      </c>
      <c r="I593" s="8" t="s">
        <v>68</v>
      </c>
      <c r="J593" s="1">
        <v>18</v>
      </c>
      <c r="K593" s="1" t="s">
        <v>14</v>
      </c>
      <c r="L593" s="1" t="s">
        <v>50</v>
      </c>
      <c r="M593" s="1" t="s">
        <v>34</v>
      </c>
      <c r="N593" s="10">
        <v>40383</v>
      </c>
      <c r="O593" s="3">
        <v>1357.421</v>
      </c>
      <c r="P593" s="15">
        <f>IF(Table1[[#This Row],[Amount Spent]]&gt;3500, 3500,Table1[[#This Row],[Amount Spent]])</f>
        <v>1357.421</v>
      </c>
    </row>
    <row r="594" spans="1:16" x14ac:dyDescent="0.35">
      <c r="A594" s="9">
        <v>594</v>
      </c>
      <c r="B594" s="4" t="s">
        <v>64</v>
      </c>
      <c r="C594" s="9" t="s">
        <v>62</v>
      </c>
      <c r="D594" s="9" t="s">
        <v>66</v>
      </c>
      <c r="E594" s="9" t="s">
        <v>2</v>
      </c>
      <c r="F594" s="9">
        <v>0</v>
      </c>
      <c r="G594" s="5">
        <v>120800</v>
      </c>
      <c r="H594" s="4">
        <v>1</v>
      </c>
      <c r="I594" s="9" t="s">
        <v>69</v>
      </c>
      <c r="J594" s="4">
        <v>24</v>
      </c>
      <c r="K594" s="4" t="s">
        <v>14</v>
      </c>
      <c r="L594" s="4" t="s">
        <v>50</v>
      </c>
      <c r="M594" s="4" t="s">
        <v>35</v>
      </c>
      <c r="N594" s="10">
        <v>41869</v>
      </c>
      <c r="O594" s="6">
        <v>5829.6549999999997</v>
      </c>
      <c r="P594" s="15">
        <f>IF(Table1[[#This Row],[Amount Spent]]&gt;3500, 3500,Table1[[#This Row],[Amount Spent]])</f>
        <v>3500</v>
      </c>
    </row>
    <row r="595" spans="1:16" x14ac:dyDescent="0.35">
      <c r="A595" s="8">
        <v>595</v>
      </c>
      <c r="B595" s="1" t="s">
        <v>64</v>
      </c>
      <c r="C595" s="8" t="s">
        <v>62</v>
      </c>
      <c r="D595" s="8" t="s">
        <v>58</v>
      </c>
      <c r="E595" s="8" t="s">
        <v>2</v>
      </c>
      <c r="F595" s="8">
        <v>1</v>
      </c>
      <c r="G595" s="2">
        <v>92300</v>
      </c>
      <c r="H595" s="1">
        <v>3</v>
      </c>
      <c r="I595" s="8" t="s">
        <v>67</v>
      </c>
      <c r="J595" s="1">
        <v>18</v>
      </c>
      <c r="K595" s="1" t="s">
        <v>13</v>
      </c>
      <c r="L595" s="1" t="s">
        <v>42</v>
      </c>
      <c r="M595" s="1" t="s">
        <v>25</v>
      </c>
      <c r="N595" s="10">
        <v>41973</v>
      </c>
      <c r="O595" s="3">
        <v>654.57600000000002</v>
      </c>
      <c r="P595" s="15">
        <f>IF(Table1[[#This Row],[Amount Spent]]&gt;3500, 3500,Table1[[#This Row],[Amount Spent]])</f>
        <v>654.57600000000002</v>
      </c>
    </row>
    <row r="596" spans="1:16" x14ac:dyDescent="0.35">
      <c r="A596" s="9">
        <v>596</v>
      </c>
      <c r="B596" s="4" t="s">
        <v>64</v>
      </c>
      <c r="C596" s="9" t="s">
        <v>61</v>
      </c>
      <c r="D596" s="9" t="s">
        <v>58</v>
      </c>
      <c r="E596" s="9" t="s">
        <v>2</v>
      </c>
      <c r="F596" s="9">
        <v>1</v>
      </c>
      <c r="G596" s="5">
        <v>102300</v>
      </c>
      <c r="H596" s="4">
        <v>0</v>
      </c>
      <c r="I596" s="9" t="s">
        <v>69</v>
      </c>
      <c r="J596" s="4">
        <v>24</v>
      </c>
      <c r="K596" s="4" t="s">
        <v>13</v>
      </c>
      <c r="L596" s="4" t="s">
        <v>48</v>
      </c>
      <c r="M596" s="4" t="s">
        <v>27</v>
      </c>
      <c r="N596" s="10">
        <v>40764</v>
      </c>
      <c r="O596" s="6">
        <v>2437.808</v>
      </c>
      <c r="P596" s="15">
        <f>IF(Table1[[#This Row],[Amount Spent]]&gt;3500, 3500,Table1[[#This Row],[Amount Spent]])</f>
        <v>2437.808</v>
      </c>
    </row>
    <row r="597" spans="1:16" x14ac:dyDescent="0.35">
      <c r="A597" s="8">
        <v>597</v>
      </c>
      <c r="B597" s="1" t="s">
        <v>64</v>
      </c>
      <c r="C597" s="8" t="s">
        <v>62</v>
      </c>
      <c r="D597" s="8" t="s">
        <v>66</v>
      </c>
      <c r="E597" s="8" t="s">
        <v>70</v>
      </c>
      <c r="F597" s="8">
        <v>1</v>
      </c>
      <c r="G597" s="2">
        <v>41400</v>
      </c>
      <c r="H597" s="1">
        <v>3</v>
      </c>
      <c r="I597" s="8" t="s">
        <v>67</v>
      </c>
      <c r="J597" s="1">
        <v>6</v>
      </c>
      <c r="K597" s="1" t="s">
        <v>15</v>
      </c>
      <c r="L597" s="1" t="s">
        <v>42</v>
      </c>
      <c r="M597" s="1" t="s">
        <v>32</v>
      </c>
      <c r="N597" s="10">
        <v>41882</v>
      </c>
      <c r="O597" s="3">
        <v>222.83500000000001</v>
      </c>
      <c r="P597" s="15">
        <f>IF(Table1[[#This Row],[Amount Spent]]&gt;3500, 3500,Table1[[#This Row],[Amount Spent]])</f>
        <v>222.83500000000001</v>
      </c>
    </row>
    <row r="598" spans="1:16" x14ac:dyDescent="0.35">
      <c r="A598" s="9">
        <v>598</v>
      </c>
      <c r="B598" s="4" t="s">
        <v>65</v>
      </c>
      <c r="C598" s="9" t="s">
        <v>62</v>
      </c>
      <c r="D598" s="9" t="s">
        <v>58</v>
      </c>
      <c r="E598" s="9" t="s">
        <v>2</v>
      </c>
      <c r="F598" s="9">
        <v>1</v>
      </c>
      <c r="G598" s="5">
        <v>22400</v>
      </c>
      <c r="H598" s="4">
        <v>0</v>
      </c>
      <c r="I598" s="9" t="s">
        <v>8</v>
      </c>
      <c r="J598" s="4">
        <v>24</v>
      </c>
      <c r="K598" s="4" t="s">
        <v>14</v>
      </c>
      <c r="L598" s="4" t="s">
        <v>51</v>
      </c>
      <c r="M598" s="4" t="s">
        <v>38</v>
      </c>
      <c r="N598" s="10">
        <v>42113</v>
      </c>
      <c r="O598" s="6">
        <v>947.303</v>
      </c>
      <c r="P598" s="15">
        <f>IF(Table1[[#This Row],[Amount Spent]]&gt;3500, 3500,Table1[[#This Row],[Amount Spent]])</f>
        <v>947.303</v>
      </c>
    </row>
    <row r="599" spans="1:16" x14ac:dyDescent="0.35">
      <c r="A599" s="8">
        <v>599</v>
      </c>
      <c r="B599" s="1" t="s">
        <v>64</v>
      </c>
      <c r="C599" s="8" t="s">
        <v>61</v>
      </c>
      <c r="D599" s="8" t="s">
        <v>58</v>
      </c>
      <c r="E599" s="8" t="s">
        <v>2</v>
      </c>
      <c r="F599" s="8">
        <v>1</v>
      </c>
      <c r="G599" s="2">
        <v>102700</v>
      </c>
      <c r="H599" s="1">
        <v>3</v>
      </c>
      <c r="I599" s="8" t="s">
        <v>8</v>
      </c>
      <c r="J599" s="1">
        <v>12</v>
      </c>
      <c r="K599" s="1" t="s">
        <v>12</v>
      </c>
      <c r="L599" s="1" t="s">
        <v>54</v>
      </c>
      <c r="M599" s="1" t="s">
        <v>21</v>
      </c>
      <c r="N599" s="10">
        <v>42172</v>
      </c>
      <c r="O599" s="3">
        <v>1472.7819999999999</v>
      </c>
      <c r="P599" s="15">
        <f>IF(Table1[[#This Row],[Amount Spent]]&gt;3500, 3500,Table1[[#This Row],[Amount Spent]])</f>
        <v>1472.7819999999999</v>
      </c>
    </row>
    <row r="600" spans="1:16" x14ac:dyDescent="0.35">
      <c r="A600" s="9">
        <v>600</v>
      </c>
      <c r="B600" s="4" t="s">
        <v>64</v>
      </c>
      <c r="C600" s="9" t="s">
        <v>62</v>
      </c>
      <c r="D600" s="9" t="s">
        <v>66</v>
      </c>
      <c r="E600" s="9" t="s">
        <v>70</v>
      </c>
      <c r="F600" s="9">
        <v>0</v>
      </c>
      <c r="G600" s="5">
        <v>44100</v>
      </c>
      <c r="H600" s="4">
        <v>1</v>
      </c>
      <c r="I600" s="9" t="s">
        <v>68</v>
      </c>
      <c r="J600" s="4">
        <v>18</v>
      </c>
      <c r="K600" s="4" t="s">
        <v>12</v>
      </c>
      <c r="L600" s="4" t="s">
        <v>41</v>
      </c>
      <c r="M600" s="4" t="s">
        <v>20</v>
      </c>
      <c r="N600" s="10">
        <v>41617</v>
      </c>
      <c r="O600" s="6">
        <v>1659.402</v>
      </c>
      <c r="P600" s="15">
        <f>IF(Table1[[#This Row],[Amount Spent]]&gt;3500, 3500,Table1[[#This Row],[Amount Spent]])</f>
        <v>1659.402</v>
      </c>
    </row>
    <row r="601" spans="1:16" x14ac:dyDescent="0.35">
      <c r="A601" s="8">
        <v>601</v>
      </c>
      <c r="B601" s="1" t="s">
        <v>63</v>
      </c>
      <c r="C601" s="8" t="s">
        <v>62</v>
      </c>
      <c r="D601" s="8" t="s">
        <v>58</v>
      </c>
      <c r="E601" s="8" t="s">
        <v>2</v>
      </c>
      <c r="F601" s="8">
        <v>0</v>
      </c>
      <c r="G601" s="2">
        <v>33700</v>
      </c>
      <c r="H601" s="1">
        <v>0</v>
      </c>
      <c r="I601" s="8" t="s">
        <v>8</v>
      </c>
      <c r="J601" s="1">
        <v>6</v>
      </c>
      <c r="K601" s="1" t="s">
        <v>14</v>
      </c>
      <c r="L601" s="1" t="s">
        <v>49</v>
      </c>
      <c r="M601" s="1" t="s">
        <v>39</v>
      </c>
      <c r="N601" s="10">
        <v>42060</v>
      </c>
      <c r="O601" s="3">
        <v>613.99199999999996</v>
      </c>
      <c r="P601" s="15">
        <f>IF(Table1[[#This Row],[Amount Spent]]&gt;3500, 3500,Table1[[#This Row],[Amount Spent]])</f>
        <v>613.99199999999996</v>
      </c>
    </row>
    <row r="602" spans="1:16" x14ac:dyDescent="0.35">
      <c r="A602" s="9">
        <v>602</v>
      </c>
      <c r="B602" s="4" t="s">
        <v>64</v>
      </c>
      <c r="C602" s="9" t="s">
        <v>61</v>
      </c>
      <c r="D602" s="9" t="s">
        <v>58</v>
      </c>
      <c r="E602" s="9" t="s">
        <v>70</v>
      </c>
      <c r="F602" s="9">
        <v>0</v>
      </c>
      <c r="G602" s="5">
        <v>39100</v>
      </c>
      <c r="H602" s="4">
        <v>1</v>
      </c>
      <c r="I602" s="9" t="s">
        <v>68</v>
      </c>
      <c r="J602" s="4">
        <v>12</v>
      </c>
      <c r="K602" s="4" t="s">
        <v>14</v>
      </c>
      <c r="L602" s="4" t="s">
        <v>50</v>
      </c>
      <c r="M602" s="4" t="s">
        <v>35</v>
      </c>
      <c r="N602" s="10">
        <v>41299</v>
      </c>
      <c r="O602" s="6">
        <v>1001.371</v>
      </c>
      <c r="P602" s="15">
        <f>IF(Table1[[#This Row],[Amount Spent]]&gt;3500, 3500,Table1[[#This Row],[Amount Spent]])</f>
        <v>1001.371</v>
      </c>
    </row>
    <row r="603" spans="1:16" x14ac:dyDescent="0.35">
      <c r="A603" s="8">
        <v>603</v>
      </c>
      <c r="B603" s="1" t="s">
        <v>63</v>
      </c>
      <c r="C603" s="8" t="s">
        <v>61</v>
      </c>
      <c r="D603" s="8" t="s">
        <v>66</v>
      </c>
      <c r="E603" s="8" t="s">
        <v>2</v>
      </c>
      <c r="F603" s="8">
        <v>0</v>
      </c>
      <c r="G603" s="2">
        <v>41500</v>
      </c>
      <c r="H603" s="1">
        <v>3</v>
      </c>
      <c r="I603" s="8" t="s">
        <v>8</v>
      </c>
      <c r="J603" s="1">
        <v>24</v>
      </c>
      <c r="K603" s="1" t="s">
        <v>12</v>
      </c>
      <c r="L603" s="1" t="s">
        <v>55</v>
      </c>
      <c r="M603" s="1" t="s">
        <v>17</v>
      </c>
      <c r="N603" s="10">
        <v>42103</v>
      </c>
      <c r="O603" s="3">
        <v>1314.4559999999999</v>
      </c>
      <c r="P603" s="15">
        <f>IF(Table1[[#This Row],[Amount Spent]]&gt;3500, 3500,Table1[[#This Row],[Amount Spent]])</f>
        <v>1314.4559999999999</v>
      </c>
    </row>
    <row r="604" spans="1:16" x14ac:dyDescent="0.35">
      <c r="A604" s="9">
        <v>604</v>
      </c>
      <c r="B604" s="4" t="s">
        <v>65</v>
      </c>
      <c r="C604" s="9" t="s">
        <v>62</v>
      </c>
      <c r="D604" s="9" t="s">
        <v>66</v>
      </c>
      <c r="E604" s="9" t="s">
        <v>70</v>
      </c>
      <c r="F604" s="9">
        <v>0</v>
      </c>
      <c r="G604" s="5">
        <v>17900</v>
      </c>
      <c r="H604" s="4">
        <v>0</v>
      </c>
      <c r="I604" s="9" t="s">
        <v>67</v>
      </c>
      <c r="J604" s="4">
        <v>6</v>
      </c>
      <c r="K604" s="4" t="s">
        <v>13</v>
      </c>
      <c r="L604" s="4" t="s">
        <v>46</v>
      </c>
      <c r="M604" s="4" t="s">
        <v>22</v>
      </c>
      <c r="N604" s="10">
        <v>40230</v>
      </c>
      <c r="O604" s="6">
        <v>445.98899999999998</v>
      </c>
      <c r="P604" s="15">
        <f>IF(Table1[[#This Row],[Amount Spent]]&gt;3500, 3500,Table1[[#This Row],[Amount Spent]])</f>
        <v>445.98899999999998</v>
      </c>
    </row>
    <row r="605" spans="1:16" x14ac:dyDescent="0.35">
      <c r="A605" s="8">
        <v>605</v>
      </c>
      <c r="B605" s="1" t="s">
        <v>63</v>
      </c>
      <c r="C605" s="8" t="s">
        <v>61</v>
      </c>
      <c r="D605" s="8" t="s">
        <v>66</v>
      </c>
      <c r="E605" s="8" t="s">
        <v>70</v>
      </c>
      <c r="F605" s="8">
        <v>1</v>
      </c>
      <c r="G605" s="2">
        <v>14600</v>
      </c>
      <c r="H605" s="1">
        <v>3</v>
      </c>
      <c r="I605" s="8" t="s">
        <v>8</v>
      </c>
      <c r="J605" s="1">
        <v>6</v>
      </c>
      <c r="K605" s="1" t="s">
        <v>14</v>
      </c>
      <c r="L605" s="1" t="s">
        <v>40</v>
      </c>
      <c r="M605" s="1" t="s">
        <v>36</v>
      </c>
      <c r="N605" s="10">
        <v>42118</v>
      </c>
      <c r="O605" s="3">
        <v>307.28500000000003</v>
      </c>
      <c r="P605" s="15">
        <f>IF(Table1[[#This Row],[Amount Spent]]&gt;3500, 3500,Table1[[#This Row],[Amount Spent]])</f>
        <v>307.28500000000003</v>
      </c>
    </row>
    <row r="606" spans="1:16" x14ac:dyDescent="0.35">
      <c r="A606" s="9">
        <v>606</v>
      </c>
      <c r="B606" s="4" t="s">
        <v>64</v>
      </c>
      <c r="C606" s="9" t="s">
        <v>62</v>
      </c>
      <c r="D606" s="9" t="s">
        <v>58</v>
      </c>
      <c r="E606" s="9" t="s">
        <v>70</v>
      </c>
      <c r="F606" s="9">
        <v>1</v>
      </c>
      <c r="G606" s="5">
        <v>46300</v>
      </c>
      <c r="H606" s="4">
        <v>3</v>
      </c>
      <c r="I606" s="9" t="s">
        <v>8</v>
      </c>
      <c r="J606" s="4">
        <v>6</v>
      </c>
      <c r="K606" s="4" t="s">
        <v>13</v>
      </c>
      <c r="L606" s="4" t="s">
        <v>46</v>
      </c>
      <c r="M606" s="4" t="s">
        <v>22</v>
      </c>
      <c r="N606" s="10">
        <v>42236</v>
      </c>
      <c r="O606" s="6">
        <v>1138.4849999999999</v>
      </c>
      <c r="P606" s="15">
        <f>IF(Table1[[#This Row],[Amount Spent]]&gt;3500, 3500,Table1[[#This Row],[Amount Spent]])</f>
        <v>1138.4849999999999</v>
      </c>
    </row>
    <row r="607" spans="1:16" x14ac:dyDescent="0.35">
      <c r="A607" s="8">
        <v>607</v>
      </c>
      <c r="B607" s="1" t="s">
        <v>65</v>
      </c>
      <c r="C607" s="8" t="s">
        <v>61</v>
      </c>
      <c r="D607" s="8" t="s">
        <v>66</v>
      </c>
      <c r="E607" s="8" t="s">
        <v>70</v>
      </c>
      <c r="F607" s="8">
        <v>1</v>
      </c>
      <c r="G607" s="2">
        <v>34500</v>
      </c>
      <c r="H607" s="1">
        <v>0</v>
      </c>
      <c r="I607" s="8" t="s">
        <v>68</v>
      </c>
      <c r="J607" s="1">
        <v>24</v>
      </c>
      <c r="K607" s="1" t="s">
        <v>12</v>
      </c>
      <c r="L607" s="1" t="s">
        <v>54</v>
      </c>
      <c r="M607" s="1" t="s">
        <v>21</v>
      </c>
      <c r="N607" s="10">
        <v>40870</v>
      </c>
      <c r="O607" s="3">
        <v>639.46100000000001</v>
      </c>
      <c r="P607" s="15">
        <f>IF(Table1[[#This Row],[Amount Spent]]&gt;3500, 3500,Table1[[#This Row],[Amount Spent]])</f>
        <v>639.46100000000001</v>
      </c>
    </row>
    <row r="608" spans="1:16" x14ac:dyDescent="0.35">
      <c r="A608" s="9">
        <v>608</v>
      </c>
      <c r="B608" s="4" t="s">
        <v>64</v>
      </c>
      <c r="C608" s="9" t="s">
        <v>62</v>
      </c>
      <c r="D608" s="9" t="s">
        <v>58</v>
      </c>
      <c r="E608" s="9" t="s">
        <v>2</v>
      </c>
      <c r="F608" s="9">
        <v>1</v>
      </c>
      <c r="G608" s="5">
        <v>76600</v>
      </c>
      <c r="H608" s="4">
        <v>3</v>
      </c>
      <c r="I608" s="9" t="s">
        <v>8</v>
      </c>
      <c r="J608" s="4">
        <v>24</v>
      </c>
      <c r="K608" s="4" t="s">
        <v>15</v>
      </c>
      <c r="L608" s="4" t="s">
        <v>42</v>
      </c>
      <c r="M608" s="4" t="s">
        <v>32</v>
      </c>
      <c r="N608" s="10">
        <v>42177</v>
      </c>
      <c r="O608" s="6">
        <v>2903.7660000000001</v>
      </c>
      <c r="P608" s="15">
        <f>IF(Table1[[#This Row],[Amount Spent]]&gt;3500, 3500,Table1[[#This Row],[Amount Spent]])</f>
        <v>2903.7660000000001</v>
      </c>
    </row>
    <row r="609" spans="1:16" x14ac:dyDescent="0.35">
      <c r="A609" s="8">
        <v>609</v>
      </c>
      <c r="B609" s="1" t="s">
        <v>64</v>
      </c>
      <c r="C609" s="8" t="s">
        <v>61</v>
      </c>
      <c r="D609" s="8" t="s">
        <v>58</v>
      </c>
      <c r="E609" s="8" t="s">
        <v>2</v>
      </c>
      <c r="F609" s="8">
        <v>0</v>
      </c>
      <c r="G609" s="2">
        <v>100100</v>
      </c>
      <c r="H609" s="1">
        <v>1</v>
      </c>
      <c r="I609" s="8" t="s">
        <v>69</v>
      </c>
      <c r="J609" s="1">
        <v>24</v>
      </c>
      <c r="K609" s="1" t="s">
        <v>14</v>
      </c>
      <c r="L609" s="1" t="s">
        <v>50</v>
      </c>
      <c r="M609" s="1" t="s">
        <v>34</v>
      </c>
      <c r="N609" s="10">
        <v>41218</v>
      </c>
      <c r="O609" s="3">
        <v>3490.9940000000001</v>
      </c>
      <c r="P609" s="15">
        <f>IF(Table1[[#This Row],[Amount Spent]]&gt;3500, 3500,Table1[[#This Row],[Amount Spent]])</f>
        <v>3490.9940000000001</v>
      </c>
    </row>
    <row r="610" spans="1:16" x14ac:dyDescent="0.35">
      <c r="A610" s="9">
        <v>610</v>
      </c>
      <c r="B610" s="4" t="s">
        <v>63</v>
      </c>
      <c r="C610" s="9" t="s">
        <v>61</v>
      </c>
      <c r="D610" s="9" t="s">
        <v>66</v>
      </c>
      <c r="E610" s="9" t="s">
        <v>2</v>
      </c>
      <c r="F610" s="9">
        <v>1</v>
      </c>
      <c r="G610" s="5">
        <v>49300</v>
      </c>
      <c r="H610" s="4">
        <v>0</v>
      </c>
      <c r="I610" s="9" t="s">
        <v>8</v>
      </c>
      <c r="J610" s="4">
        <v>24</v>
      </c>
      <c r="K610" s="4" t="s">
        <v>15</v>
      </c>
      <c r="L610" s="4" t="s">
        <v>42</v>
      </c>
      <c r="M610" s="4" t="s">
        <v>32</v>
      </c>
      <c r="N610" s="10">
        <v>42125</v>
      </c>
      <c r="O610" s="6">
        <v>1692.3789999999999</v>
      </c>
      <c r="P610" s="15">
        <f>IF(Table1[[#This Row],[Amount Spent]]&gt;3500, 3500,Table1[[#This Row],[Amount Spent]])</f>
        <v>1692.3789999999999</v>
      </c>
    </row>
    <row r="611" spans="1:16" x14ac:dyDescent="0.35">
      <c r="A611" s="8">
        <v>611</v>
      </c>
      <c r="B611" s="1" t="s">
        <v>65</v>
      </c>
      <c r="C611" s="8" t="s">
        <v>61</v>
      </c>
      <c r="D611" s="8" t="s">
        <v>58</v>
      </c>
      <c r="E611" s="8" t="s">
        <v>70</v>
      </c>
      <c r="F611" s="8">
        <v>1</v>
      </c>
      <c r="G611" s="2">
        <v>63200</v>
      </c>
      <c r="H611" s="1">
        <v>0</v>
      </c>
      <c r="I611" s="8" t="s">
        <v>69</v>
      </c>
      <c r="J611" s="1">
        <v>24</v>
      </c>
      <c r="K611" s="1" t="s">
        <v>15</v>
      </c>
      <c r="L611" s="1" t="s">
        <v>52</v>
      </c>
      <c r="M611" s="1" t="s">
        <v>31</v>
      </c>
      <c r="N611" s="10">
        <v>41992</v>
      </c>
      <c r="O611" s="3">
        <v>1506.5709999999999</v>
      </c>
      <c r="P611" s="15">
        <f>IF(Table1[[#This Row],[Amount Spent]]&gt;3500, 3500,Table1[[#This Row],[Amount Spent]])</f>
        <v>1506.5709999999999</v>
      </c>
    </row>
    <row r="612" spans="1:16" x14ac:dyDescent="0.35">
      <c r="A612" s="9">
        <v>612</v>
      </c>
      <c r="B612" s="4" t="s">
        <v>65</v>
      </c>
      <c r="C612" s="9" t="s">
        <v>62</v>
      </c>
      <c r="D612" s="9" t="s">
        <v>58</v>
      </c>
      <c r="E612" s="9" t="s">
        <v>2</v>
      </c>
      <c r="F612" s="9">
        <v>1</v>
      </c>
      <c r="G612" s="5">
        <v>42800</v>
      </c>
      <c r="H612" s="4">
        <v>0</v>
      </c>
      <c r="I612" s="9" t="s">
        <v>68</v>
      </c>
      <c r="J612" s="4">
        <v>6</v>
      </c>
      <c r="K612" s="4" t="s">
        <v>14</v>
      </c>
      <c r="L612" s="4" t="s">
        <v>40</v>
      </c>
      <c r="M612" s="4" t="s">
        <v>37</v>
      </c>
      <c r="N612" s="10">
        <v>41489</v>
      </c>
      <c r="O612" s="6">
        <v>685.04200000000003</v>
      </c>
      <c r="P612" s="15">
        <f>IF(Table1[[#This Row],[Amount Spent]]&gt;3500, 3500,Table1[[#This Row],[Amount Spent]])</f>
        <v>685.04200000000003</v>
      </c>
    </row>
    <row r="613" spans="1:16" x14ac:dyDescent="0.35">
      <c r="A613" s="8">
        <v>613</v>
      </c>
      <c r="B613" s="1" t="s">
        <v>65</v>
      </c>
      <c r="C613" s="8" t="s">
        <v>61</v>
      </c>
      <c r="D613" s="8" t="s">
        <v>58</v>
      </c>
      <c r="E613" s="8" t="s">
        <v>2</v>
      </c>
      <c r="F613" s="8">
        <v>1</v>
      </c>
      <c r="G613" s="2">
        <v>106600</v>
      </c>
      <c r="H613" s="1">
        <v>0</v>
      </c>
      <c r="I613" s="8" t="s">
        <v>69</v>
      </c>
      <c r="J613" s="1">
        <v>12</v>
      </c>
      <c r="K613" s="1" t="s">
        <v>13</v>
      </c>
      <c r="L613" s="1" t="s">
        <v>48</v>
      </c>
      <c r="M613" s="1" t="s">
        <v>27</v>
      </c>
      <c r="N613" s="10">
        <v>41416</v>
      </c>
      <c r="O613" s="3">
        <v>1876.7570000000001</v>
      </c>
      <c r="P613" s="15">
        <f>IF(Table1[[#This Row],[Amount Spent]]&gt;3500, 3500,Table1[[#This Row],[Amount Spent]])</f>
        <v>1876.7570000000001</v>
      </c>
    </row>
    <row r="614" spans="1:16" x14ac:dyDescent="0.35">
      <c r="A614" s="9">
        <v>614</v>
      </c>
      <c r="B614" s="4" t="s">
        <v>65</v>
      </c>
      <c r="C614" s="9" t="s">
        <v>62</v>
      </c>
      <c r="D614" s="9" t="s">
        <v>58</v>
      </c>
      <c r="E614" s="9" t="s">
        <v>2</v>
      </c>
      <c r="F614" s="9">
        <v>0</v>
      </c>
      <c r="G614" s="5">
        <v>74900</v>
      </c>
      <c r="H614" s="4">
        <v>0</v>
      </c>
      <c r="I614" s="9" t="s">
        <v>8</v>
      </c>
      <c r="J614" s="4">
        <v>12</v>
      </c>
      <c r="K614" s="4" t="s">
        <v>14</v>
      </c>
      <c r="L614" s="4" t="s">
        <v>40</v>
      </c>
      <c r="M614" s="4" t="s">
        <v>37</v>
      </c>
      <c r="N614" s="10">
        <v>42165</v>
      </c>
      <c r="O614" s="6">
        <v>1804.404</v>
      </c>
      <c r="P614" s="15">
        <f>IF(Table1[[#This Row],[Amount Spent]]&gt;3500, 3500,Table1[[#This Row],[Amount Spent]])</f>
        <v>1804.404</v>
      </c>
    </row>
    <row r="615" spans="1:16" x14ac:dyDescent="0.35">
      <c r="A615" s="8">
        <v>615</v>
      </c>
      <c r="B615" s="1" t="s">
        <v>63</v>
      </c>
      <c r="C615" s="8" t="s">
        <v>62</v>
      </c>
      <c r="D615" s="8" t="s">
        <v>66</v>
      </c>
      <c r="E615" s="8" t="s">
        <v>70</v>
      </c>
      <c r="F615" s="8">
        <v>1</v>
      </c>
      <c r="G615" s="2">
        <v>19100</v>
      </c>
      <c r="H615" s="1">
        <v>1</v>
      </c>
      <c r="I615" s="8" t="s">
        <v>67</v>
      </c>
      <c r="J615" s="1">
        <v>18</v>
      </c>
      <c r="K615" s="1" t="s">
        <v>12</v>
      </c>
      <c r="L615" s="1" t="s">
        <v>47</v>
      </c>
      <c r="M615" s="1" t="s">
        <v>16</v>
      </c>
      <c r="N615" s="10">
        <v>40228</v>
      </c>
      <c r="O615" s="3">
        <v>403.47399999999999</v>
      </c>
      <c r="P615" s="15">
        <f>IF(Table1[[#This Row],[Amount Spent]]&gt;3500, 3500,Table1[[#This Row],[Amount Spent]])</f>
        <v>403.47399999999999</v>
      </c>
    </row>
    <row r="616" spans="1:16" x14ac:dyDescent="0.35">
      <c r="A616" s="9">
        <v>616</v>
      </c>
      <c r="B616" s="4" t="s">
        <v>64</v>
      </c>
      <c r="C616" s="9" t="s">
        <v>61</v>
      </c>
      <c r="D616" s="9" t="s">
        <v>58</v>
      </c>
      <c r="E616" s="9" t="s">
        <v>70</v>
      </c>
      <c r="F616" s="9">
        <v>1</v>
      </c>
      <c r="G616" s="5">
        <v>48800</v>
      </c>
      <c r="H616" s="4">
        <v>1</v>
      </c>
      <c r="I616" s="9" t="s">
        <v>68</v>
      </c>
      <c r="J616" s="4">
        <v>24</v>
      </c>
      <c r="K616" s="4" t="s">
        <v>12</v>
      </c>
      <c r="L616" s="4" t="s">
        <v>41</v>
      </c>
      <c r="M616" s="4" t="s">
        <v>20</v>
      </c>
      <c r="N616" s="10">
        <v>42160</v>
      </c>
      <c r="O616" s="6">
        <v>1271.0440000000001</v>
      </c>
      <c r="P616" s="15">
        <f>IF(Table1[[#This Row],[Amount Spent]]&gt;3500, 3500,Table1[[#This Row],[Amount Spent]])</f>
        <v>1271.0440000000001</v>
      </c>
    </row>
    <row r="617" spans="1:16" x14ac:dyDescent="0.35">
      <c r="A617" s="8">
        <v>617</v>
      </c>
      <c r="B617" s="1" t="s">
        <v>64</v>
      </c>
      <c r="C617" s="8" t="s">
        <v>62</v>
      </c>
      <c r="D617" s="8" t="s">
        <v>58</v>
      </c>
      <c r="E617" s="8" t="s">
        <v>2</v>
      </c>
      <c r="F617" s="8">
        <v>1</v>
      </c>
      <c r="G617" s="2">
        <v>105300</v>
      </c>
      <c r="H617" s="1">
        <v>1</v>
      </c>
      <c r="I617" s="8" t="s">
        <v>8</v>
      </c>
      <c r="J617" s="1">
        <v>24</v>
      </c>
      <c r="K617" s="1" t="s">
        <v>15</v>
      </c>
      <c r="L617" s="1" t="s">
        <v>44</v>
      </c>
      <c r="M617" s="1" t="s">
        <v>29</v>
      </c>
      <c r="N617" s="10">
        <v>42087</v>
      </c>
      <c r="O617" s="3">
        <v>3360.4409999999998</v>
      </c>
      <c r="P617" s="15">
        <f>IF(Table1[[#This Row],[Amount Spent]]&gt;3500, 3500,Table1[[#This Row],[Amount Spent]])</f>
        <v>3360.4409999999998</v>
      </c>
    </row>
    <row r="618" spans="1:16" x14ac:dyDescent="0.35">
      <c r="A618" s="9">
        <v>618</v>
      </c>
      <c r="B618" s="4" t="s">
        <v>65</v>
      </c>
      <c r="C618" s="9" t="s">
        <v>61</v>
      </c>
      <c r="D618" s="9" t="s">
        <v>58</v>
      </c>
      <c r="E618" s="9" t="s">
        <v>2</v>
      </c>
      <c r="F618" s="9">
        <v>1</v>
      </c>
      <c r="G618" s="5">
        <v>90600</v>
      </c>
      <c r="H618" s="4">
        <v>0</v>
      </c>
      <c r="I618" s="9" t="s">
        <v>69</v>
      </c>
      <c r="J618" s="4">
        <v>24</v>
      </c>
      <c r="K618" s="4" t="s">
        <v>14</v>
      </c>
      <c r="L618" s="4" t="s">
        <v>50</v>
      </c>
      <c r="M618" s="4" t="s">
        <v>34</v>
      </c>
      <c r="N618" s="10">
        <v>41211</v>
      </c>
      <c r="O618" s="6">
        <v>3167.1709999999998</v>
      </c>
      <c r="P618" s="15">
        <f>IF(Table1[[#This Row],[Amount Spent]]&gt;3500, 3500,Table1[[#This Row],[Amount Spent]])</f>
        <v>3167.1709999999998</v>
      </c>
    </row>
    <row r="619" spans="1:16" x14ac:dyDescent="0.35">
      <c r="A619" s="8">
        <v>619</v>
      </c>
      <c r="B619" s="1" t="s">
        <v>64</v>
      </c>
      <c r="C619" s="8" t="s">
        <v>62</v>
      </c>
      <c r="D619" s="8" t="s">
        <v>58</v>
      </c>
      <c r="E619" s="8" t="s">
        <v>2</v>
      </c>
      <c r="F619" s="8">
        <v>1</v>
      </c>
      <c r="G619" s="2">
        <v>105500</v>
      </c>
      <c r="H619" s="1">
        <v>1</v>
      </c>
      <c r="I619" s="8" t="s">
        <v>69</v>
      </c>
      <c r="J619" s="1">
        <v>6</v>
      </c>
      <c r="K619" s="1" t="s">
        <v>15</v>
      </c>
      <c r="L619" s="1" t="s">
        <v>42</v>
      </c>
      <c r="M619" s="1" t="s">
        <v>32</v>
      </c>
      <c r="N619" s="10">
        <v>40974</v>
      </c>
      <c r="O619" s="3">
        <v>1781.326</v>
      </c>
      <c r="P619" s="15">
        <f>IF(Table1[[#This Row],[Amount Spent]]&gt;3500, 3500,Table1[[#This Row],[Amount Spent]])</f>
        <v>1781.326</v>
      </c>
    </row>
    <row r="620" spans="1:16" x14ac:dyDescent="0.35">
      <c r="A620" s="9">
        <v>620</v>
      </c>
      <c r="B620" s="4" t="s">
        <v>63</v>
      </c>
      <c r="C620" s="9" t="s">
        <v>62</v>
      </c>
      <c r="D620" s="9" t="s">
        <v>66</v>
      </c>
      <c r="E620" s="9" t="s">
        <v>70</v>
      </c>
      <c r="F620" s="9">
        <v>1</v>
      </c>
      <c r="G620" s="5">
        <v>17900</v>
      </c>
      <c r="H620" s="4">
        <v>3</v>
      </c>
      <c r="I620" s="9" t="s">
        <v>67</v>
      </c>
      <c r="J620" s="4">
        <v>6</v>
      </c>
      <c r="K620" s="4" t="s">
        <v>12</v>
      </c>
      <c r="L620" s="4" t="s">
        <v>47</v>
      </c>
      <c r="M620" s="4" t="s">
        <v>16</v>
      </c>
      <c r="N620" s="10">
        <v>40727</v>
      </c>
      <c r="O620" s="6">
        <v>62.119</v>
      </c>
      <c r="P620" s="15">
        <f>IF(Table1[[#This Row],[Amount Spent]]&gt;3500, 3500,Table1[[#This Row],[Amount Spent]])</f>
        <v>62.119</v>
      </c>
    </row>
    <row r="621" spans="1:16" x14ac:dyDescent="0.35">
      <c r="A621" s="8">
        <v>621</v>
      </c>
      <c r="B621" s="1" t="s">
        <v>64</v>
      </c>
      <c r="C621" s="8" t="s">
        <v>61</v>
      </c>
      <c r="D621" s="8" t="s">
        <v>58</v>
      </c>
      <c r="E621" s="8" t="s">
        <v>2</v>
      </c>
      <c r="F621" s="8">
        <v>1</v>
      </c>
      <c r="G621" s="2">
        <v>99300</v>
      </c>
      <c r="H621" s="1">
        <v>1</v>
      </c>
      <c r="I621" s="8" t="s">
        <v>69</v>
      </c>
      <c r="J621" s="1">
        <v>12</v>
      </c>
      <c r="K621" s="1" t="s">
        <v>13</v>
      </c>
      <c r="L621" s="1" t="s">
        <v>42</v>
      </c>
      <c r="M621" s="1" t="s">
        <v>25</v>
      </c>
      <c r="N621" s="10">
        <v>41581</v>
      </c>
      <c r="O621" s="3">
        <v>1503.809</v>
      </c>
      <c r="P621" s="15">
        <f>IF(Table1[[#This Row],[Amount Spent]]&gt;3500, 3500,Table1[[#This Row],[Amount Spent]])</f>
        <v>1503.809</v>
      </c>
    </row>
    <row r="622" spans="1:16" x14ac:dyDescent="0.35">
      <c r="A622" s="9">
        <v>622</v>
      </c>
      <c r="B622" s="4" t="s">
        <v>65</v>
      </c>
      <c r="C622" s="9" t="s">
        <v>62</v>
      </c>
      <c r="D622" s="9" t="s">
        <v>58</v>
      </c>
      <c r="E622" s="9" t="s">
        <v>70</v>
      </c>
      <c r="F622" s="9">
        <v>1</v>
      </c>
      <c r="G622" s="5">
        <v>17600</v>
      </c>
      <c r="H622" s="4">
        <v>0</v>
      </c>
      <c r="I622" s="9" t="s">
        <v>67</v>
      </c>
      <c r="J622" s="4">
        <v>6</v>
      </c>
      <c r="K622" s="4" t="s">
        <v>12</v>
      </c>
      <c r="L622" s="4" t="s">
        <v>53</v>
      </c>
      <c r="M622" s="4" t="s">
        <v>19</v>
      </c>
      <c r="N622" s="10">
        <v>40097</v>
      </c>
      <c r="O622" s="6">
        <v>224.36799999999999</v>
      </c>
      <c r="P622" s="15">
        <f>IF(Table1[[#This Row],[Amount Spent]]&gt;3500, 3500,Table1[[#This Row],[Amount Spent]])</f>
        <v>224.36799999999999</v>
      </c>
    </row>
    <row r="623" spans="1:16" x14ac:dyDescent="0.35">
      <c r="A623" s="8">
        <v>623</v>
      </c>
      <c r="B623" s="1" t="s">
        <v>64</v>
      </c>
      <c r="C623" s="8" t="s">
        <v>61</v>
      </c>
      <c r="D623" s="8" t="s">
        <v>58</v>
      </c>
      <c r="E623" s="8" t="s">
        <v>2</v>
      </c>
      <c r="F623" s="8">
        <v>1</v>
      </c>
      <c r="G623" s="2">
        <v>76700</v>
      </c>
      <c r="H623" s="1">
        <v>1</v>
      </c>
      <c r="I623" s="8" t="s">
        <v>68</v>
      </c>
      <c r="J623" s="1">
        <v>24</v>
      </c>
      <c r="K623" s="1" t="s">
        <v>13</v>
      </c>
      <c r="L623" s="1" t="s">
        <v>43</v>
      </c>
      <c r="M623" s="1" t="s">
        <v>23</v>
      </c>
      <c r="N623" s="10">
        <v>40524</v>
      </c>
      <c r="O623" s="3">
        <v>1430.6679999999999</v>
      </c>
      <c r="P623" s="15">
        <f>IF(Table1[[#This Row],[Amount Spent]]&gt;3500, 3500,Table1[[#This Row],[Amount Spent]])</f>
        <v>1430.6679999999999</v>
      </c>
    </row>
    <row r="624" spans="1:16" x14ac:dyDescent="0.35">
      <c r="A624" s="9">
        <v>624</v>
      </c>
      <c r="B624" s="4" t="s">
        <v>65</v>
      </c>
      <c r="C624" s="9" t="s">
        <v>62</v>
      </c>
      <c r="D624" s="9" t="s">
        <v>58</v>
      </c>
      <c r="E624" s="9" t="s">
        <v>2</v>
      </c>
      <c r="F624" s="9">
        <v>1</v>
      </c>
      <c r="G624" s="5">
        <v>65900</v>
      </c>
      <c r="H624" s="4">
        <v>0</v>
      </c>
      <c r="I624" s="9" t="s">
        <v>69</v>
      </c>
      <c r="J624" s="4">
        <v>24</v>
      </c>
      <c r="K624" s="4" t="s">
        <v>13</v>
      </c>
      <c r="L624" s="4" t="s">
        <v>48</v>
      </c>
      <c r="M624" s="4" t="s">
        <v>27</v>
      </c>
      <c r="N624" s="10">
        <v>41151</v>
      </c>
      <c r="O624" s="6">
        <v>1436.43</v>
      </c>
      <c r="P624" s="15">
        <f>IF(Table1[[#This Row],[Amount Spent]]&gt;3500, 3500,Table1[[#This Row],[Amount Spent]])</f>
        <v>1436.43</v>
      </c>
    </row>
    <row r="625" spans="1:16" x14ac:dyDescent="0.35">
      <c r="A625" s="8">
        <v>625</v>
      </c>
      <c r="B625" s="1" t="s">
        <v>64</v>
      </c>
      <c r="C625" s="8" t="s">
        <v>62</v>
      </c>
      <c r="D625" s="8" t="s">
        <v>58</v>
      </c>
      <c r="E625" s="8" t="s">
        <v>2</v>
      </c>
      <c r="F625" s="8">
        <v>1</v>
      </c>
      <c r="G625" s="2">
        <v>63700</v>
      </c>
      <c r="H625" s="1">
        <v>3</v>
      </c>
      <c r="I625" s="8" t="s">
        <v>67</v>
      </c>
      <c r="J625" s="1">
        <v>12</v>
      </c>
      <c r="K625" s="1" t="s">
        <v>15</v>
      </c>
      <c r="L625" s="1" t="s">
        <v>44</v>
      </c>
      <c r="M625" s="1" t="s">
        <v>29</v>
      </c>
      <c r="N625" s="10">
        <v>39840</v>
      </c>
      <c r="O625" s="3">
        <v>363.58199999999999</v>
      </c>
      <c r="P625" s="15">
        <f>IF(Table1[[#This Row],[Amount Spent]]&gt;3500, 3500,Table1[[#This Row],[Amount Spent]])</f>
        <v>363.58199999999999</v>
      </c>
    </row>
    <row r="626" spans="1:16" x14ac:dyDescent="0.35">
      <c r="A626" s="9">
        <v>626</v>
      </c>
      <c r="B626" s="4" t="s">
        <v>64</v>
      </c>
      <c r="C626" s="9" t="s">
        <v>61</v>
      </c>
      <c r="D626" s="9" t="s">
        <v>66</v>
      </c>
      <c r="E626" s="9" t="s">
        <v>2</v>
      </c>
      <c r="F626" s="9">
        <v>1</v>
      </c>
      <c r="G626" s="5">
        <v>93000</v>
      </c>
      <c r="H626" s="4">
        <v>1</v>
      </c>
      <c r="I626" s="9" t="s">
        <v>69</v>
      </c>
      <c r="J626" s="4">
        <v>24</v>
      </c>
      <c r="K626" s="4" t="s">
        <v>14</v>
      </c>
      <c r="L626" s="4" t="s">
        <v>40</v>
      </c>
      <c r="M626" s="4" t="s">
        <v>36</v>
      </c>
      <c r="N626" s="10">
        <v>42231</v>
      </c>
      <c r="O626" s="6">
        <v>2644.047</v>
      </c>
      <c r="P626" s="15">
        <f>IF(Table1[[#This Row],[Amount Spent]]&gt;3500, 3500,Table1[[#This Row],[Amount Spent]])</f>
        <v>2644.047</v>
      </c>
    </row>
    <row r="627" spans="1:16" x14ac:dyDescent="0.35">
      <c r="A627" s="8">
        <v>627</v>
      </c>
      <c r="B627" s="1" t="s">
        <v>65</v>
      </c>
      <c r="C627" s="8" t="s">
        <v>62</v>
      </c>
      <c r="D627" s="8" t="s">
        <v>58</v>
      </c>
      <c r="E627" s="8" t="s">
        <v>2</v>
      </c>
      <c r="F627" s="8">
        <v>0</v>
      </c>
      <c r="G627" s="2">
        <v>33600</v>
      </c>
      <c r="H627" s="1">
        <v>2</v>
      </c>
      <c r="I627" s="8" t="s">
        <v>68</v>
      </c>
      <c r="J627" s="1">
        <v>12</v>
      </c>
      <c r="K627" s="1" t="s">
        <v>13</v>
      </c>
      <c r="L627" s="1" t="s">
        <v>48</v>
      </c>
      <c r="M627" s="1" t="s">
        <v>27</v>
      </c>
      <c r="N627" s="10">
        <v>40383</v>
      </c>
      <c r="O627" s="3">
        <v>805.24</v>
      </c>
      <c r="P627" s="15">
        <f>IF(Table1[[#This Row],[Amount Spent]]&gt;3500, 3500,Table1[[#This Row],[Amount Spent]])</f>
        <v>805.24</v>
      </c>
    </row>
    <row r="628" spans="1:16" x14ac:dyDescent="0.35">
      <c r="A628" s="9">
        <v>628</v>
      </c>
      <c r="B628" s="4" t="s">
        <v>63</v>
      </c>
      <c r="C628" s="9" t="s">
        <v>62</v>
      </c>
      <c r="D628" s="9" t="s">
        <v>58</v>
      </c>
      <c r="E628" s="9" t="s">
        <v>70</v>
      </c>
      <c r="F628" s="9">
        <v>1</v>
      </c>
      <c r="G628" s="5">
        <v>27500</v>
      </c>
      <c r="H628" s="4">
        <v>3</v>
      </c>
      <c r="I628" s="9" t="s">
        <v>8</v>
      </c>
      <c r="J628" s="4">
        <v>12</v>
      </c>
      <c r="K628" s="4" t="s">
        <v>15</v>
      </c>
      <c r="L628" s="4" t="s">
        <v>52</v>
      </c>
      <c r="M628" s="4" t="s">
        <v>30</v>
      </c>
      <c r="N628" s="10">
        <v>42020</v>
      </c>
      <c r="O628" s="6">
        <v>571.20799999999997</v>
      </c>
      <c r="P628" s="15">
        <f>IF(Table1[[#This Row],[Amount Spent]]&gt;3500, 3500,Table1[[#This Row],[Amount Spent]])</f>
        <v>571.20799999999997</v>
      </c>
    </row>
    <row r="629" spans="1:16" x14ac:dyDescent="0.35">
      <c r="A629" s="8">
        <v>629</v>
      </c>
      <c r="B629" s="1" t="s">
        <v>64</v>
      </c>
      <c r="C629" s="8" t="s">
        <v>61</v>
      </c>
      <c r="D629" s="8" t="s">
        <v>58</v>
      </c>
      <c r="E629" s="8" t="s">
        <v>2</v>
      </c>
      <c r="F629" s="8">
        <v>1</v>
      </c>
      <c r="G629" s="2">
        <v>84100</v>
      </c>
      <c r="H629" s="1">
        <v>3</v>
      </c>
      <c r="I629" s="8" t="s">
        <v>8</v>
      </c>
      <c r="J629" s="1">
        <v>6</v>
      </c>
      <c r="K629" s="1" t="s">
        <v>12</v>
      </c>
      <c r="L629" s="1" t="s">
        <v>41</v>
      </c>
      <c r="M629" s="1" t="s">
        <v>20</v>
      </c>
      <c r="N629" s="10">
        <v>42037</v>
      </c>
      <c r="O629" s="3">
        <v>1351.9480000000001</v>
      </c>
      <c r="P629" s="15">
        <f>IF(Table1[[#This Row],[Amount Spent]]&gt;3500, 3500,Table1[[#This Row],[Amount Spent]])</f>
        <v>1351.9480000000001</v>
      </c>
    </row>
    <row r="630" spans="1:16" x14ac:dyDescent="0.35">
      <c r="A630" s="9">
        <v>630</v>
      </c>
      <c r="B630" s="4" t="s">
        <v>64</v>
      </c>
      <c r="C630" s="9" t="s">
        <v>62</v>
      </c>
      <c r="D630" s="9" t="s">
        <v>58</v>
      </c>
      <c r="E630" s="9" t="s">
        <v>70</v>
      </c>
      <c r="F630" s="9">
        <v>1</v>
      </c>
      <c r="G630" s="5">
        <v>48700</v>
      </c>
      <c r="H630" s="4">
        <v>2</v>
      </c>
      <c r="I630" s="9" t="s">
        <v>67</v>
      </c>
      <c r="J630" s="4">
        <v>12</v>
      </c>
      <c r="K630" s="4" t="s">
        <v>13</v>
      </c>
      <c r="L630" s="4" t="s">
        <v>46</v>
      </c>
      <c r="M630" s="4" t="s">
        <v>22</v>
      </c>
      <c r="N630" s="10">
        <v>41442</v>
      </c>
      <c r="O630" s="6">
        <v>527.53099999999995</v>
      </c>
      <c r="P630" s="15">
        <f>IF(Table1[[#This Row],[Amount Spent]]&gt;3500, 3500,Table1[[#This Row],[Amount Spent]])</f>
        <v>527.53099999999995</v>
      </c>
    </row>
    <row r="631" spans="1:16" x14ac:dyDescent="0.35">
      <c r="A631" s="8">
        <v>631</v>
      </c>
      <c r="B631" s="1" t="s">
        <v>64</v>
      </c>
      <c r="C631" s="8" t="s">
        <v>61</v>
      </c>
      <c r="D631" s="8" t="s">
        <v>66</v>
      </c>
      <c r="E631" s="8" t="s">
        <v>70</v>
      </c>
      <c r="F631" s="8">
        <v>1</v>
      </c>
      <c r="G631" s="2">
        <v>45900</v>
      </c>
      <c r="H631" s="1">
        <v>0</v>
      </c>
      <c r="I631" s="8" t="s">
        <v>68</v>
      </c>
      <c r="J631" s="1">
        <v>12</v>
      </c>
      <c r="K631" s="1" t="s">
        <v>15</v>
      </c>
      <c r="L631" s="1" t="s">
        <v>28</v>
      </c>
      <c r="M631" s="1" t="s">
        <v>28</v>
      </c>
      <c r="N631" s="10">
        <v>40568</v>
      </c>
      <c r="O631" s="3">
        <v>716.31399999999996</v>
      </c>
      <c r="P631" s="15">
        <f>IF(Table1[[#This Row],[Amount Spent]]&gt;3500, 3500,Table1[[#This Row],[Amount Spent]])</f>
        <v>716.31399999999996</v>
      </c>
    </row>
    <row r="632" spans="1:16" x14ac:dyDescent="0.35">
      <c r="A632" s="9">
        <v>632</v>
      </c>
      <c r="B632" s="4" t="s">
        <v>65</v>
      </c>
      <c r="C632" s="9" t="s">
        <v>62</v>
      </c>
      <c r="D632" s="9" t="s">
        <v>58</v>
      </c>
      <c r="E632" s="9" t="s">
        <v>2</v>
      </c>
      <c r="F632" s="9">
        <v>1</v>
      </c>
      <c r="G632" s="5">
        <v>70700</v>
      </c>
      <c r="H632" s="4">
        <v>0</v>
      </c>
      <c r="I632" s="9" t="s">
        <v>69</v>
      </c>
      <c r="J632" s="4">
        <v>24</v>
      </c>
      <c r="K632" s="4" t="s">
        <v>14</v>
      </c>
      <c r="L632" s="4" t="s">
        <v>40</v>
      </c>
      <c r="M632" s="4" t="s">
        <v>36</v>
      </c>
      <c r="N632" s="10">
        <v>41689</v>
      </c>
      <c r="O632" s="6">
        <v>2149.9580000000001</v>
      </c>
      <c r="P632" s="15">
        <f>IF(Table1[[#This Row],[Amount Spent]]&gt;3500, 3500,Table1[[#This Row],[Amount Spent]])</f>
        <v>2149.9580000000001</v>
      </c>
    </row>
    <row r="633" spans="1:16" x14ac:dyDescent="0.35">
      <c r="A633" s="8">
        <v>633</v>
      </c>
      <c r="B633" s="1" t="s">
        <v>63</v>
      </c>
      <c r="C633" s="8" t="s">
        <v>61</v>
      </c>
      <c r="D633" s="8" t="s">
        <v>66</v>
      </c>
      <c r="E633" s="8" t="s">
        <v>70</v>
      </c>
      <c r="F633" s="8">
        <v>0</v>
      </c>
      <c r="G633" s="2">
        <v>13800</v>
      </c>
      <c r="H633" s="1">
        <v>1</v>
      </c>
      <c r="I633" s="8" t="s">
        <v>67</v>
      </c>
      <c r="J633" s="1">
        <v>12</v>
      </c>
      <c r="K633" s="1" t="s">
        <v>12</v>
      </c>
      <c r="L633" s="1" t="s">
        <v>53</v>
      </c>
      <c r="M633" s="1" t="s">
        <v>19</v>
      </c>
      <c r="N633" s="10">
        <v>40100</v>
      </c>
      <c r="O633" s="3">
        <v>367.82400000000001</v>
      </c>
      <c r="P633" s="15">
        <f>IF(Table1[[#This Row],[Amount Spent]]&gt;3500, 3500,Table1[[#This Row],[Amount Spent]])</f>
        <v>367.82400000000001</v>
      </c>
    </row>
    <row r="634" spans="1:16" x14ac:dyDescent="0.35">
      <c r="A634" s="9">
        <v>634</v>
      </c>
      <c r="B634" s="4" t="s">
        <v>64</v>
      </c>
      <c r="C634" s="9" t="s">
        <v>62</v>
      </c>
      <c r="D634" s="9" t="s">
        <v>58</v>
      </c>
      <c r="E634" s="9" t="s">
        <v>2</v>
      </c>
      <c r="F634" s="9">
        <v>1</v>
      </c>
      <c r="G634" s="5">
        <v>100800</v>
      </c>
      <c r="H634" s="4">
        <v>1</v>
      </c>
      <c r="I634" s="9" t="s">
        <v>69</v>
      </c>
      <c r="J634" s="4">
        <v>24</v>
      </c>
      <c r="K634" s="4" t="s">
        <v>12</v>
      </c>
      <c r="L634" s="4" t="s">
        <v>41</v>
      </c>
      <c r="M634" s="4" t="s">
        <v>20</v>
      </c>
      <c r="N634" s="10">
        <v>40141</v>
      </c>
      <c r="O634" s="6">
        <v>1788.6949999999999</v>
      </c>
      <c r="P634" s="15">
        <f>IF(Table1[[#This Row],[Amount Spent]]&gt;3500, 3500,Table1[[#This Row],[Amount Spent]])</f>
        <v>1788.6949999999999</v>
      </c>
    </row>
    <row r="635" spans="1:16" x14ac:dyDescent="0.35">
      <c r="A635" s="8">
        <v>635</v>
      </c>
      <c r="B635" s="1" t="s">
        <v>63</v>
      </c>
      <c r="C635" s="8" t="s">
        <v>61</v>
      </c>
      <c r="D635" s="8" t="s">
        <v>66</v>
      </c>
      <c r="E635" s="8" t="s">
        <v>70</v>
      </c>
      <c r="F635" s="8">
        <v>0</v>
      </c>
      <c r="G635" s="2">
        <v>25700</v>
      </c>
      <c r="H635" s="1">
        <v>0</v>
      </c>
      <c r="I635" s="8" t="s">
        <v>68</v>
      </c>
      <c r="J635" s="1">
        <v>18</v>
      </c>
      <c r="K635" s="1" t="s">
        <v>13</v>
      </c>
      <c r="L635" s="1" t="s">
        <v>45</v>
      </c>
      <c r="M635" s="1" t="s">
        <v>26</v>
      </c>
      <c r="N635" s="10">
        <v>41527</v>
      </c>
      <c r="O635" s="3">
        <v>906.51499999999999</v>
      </c>
      <c r="P635" s="15">
        <f>IF(Table1[[#This Row],[Amount Spent]]&gt;3500, 3500,Table1[[#This Row],[Amount Spent]])</f>
        <v>906.51499999999999</v>
      </c>
    </row>
    <row r="636" spans="1:16" x14ac:dyDescent="0.35">
      <c r="A636" s="9">
        <v>636</v>
      </c>
      <c r="B636" s="4" t="s">
        <v>63</v>
      </c>
      <c r="C636" s="9" t="s">
        <v>62</v>
      </c>
      <c r="D636" s="9" t="s">
        <v>66</v>
      </c>
      <c r="E636" s="9" t="s">
        <v>70</v>
      </c>
      <c r="F636" s="9">
        <v>1</v>
      </c>
      <c r="G636" s="5">
        <v>27000</v>
      </c>
      <c r="H636" s="4">
        <v>1</v>
      </c>
      <c r="I636" s="9" t="s">
        <v>8</v>
      </c>
      <c r="J636" s="4">
        <v>24</v>
      </c>
      <c r="K636" s="4" t="s">
        <v>13</v>
      </c>
      <c r="L636" s="4" t="s">
        <v>48</v>
      </c>
      <c r="M636" s="4" t="s">
        <v>27</v>
      </c>
      <c r="N636" s="10">
        <v>42212</v>
      </c>
      <c r="O636" s="6">
        <v>1011.587</v>
      </c>
      <c r="P636" s="15">
        <f>IF(Table1[[#This Row],[Amount Spent]]&gt;3500, 3500,Table1[[#This Row],[Amount Spent]])</f>
        <v>1011.587</v>
      </c>
    </row>
    <row r="637" spans="1:16" x14ac:dyDescent="0.35">
      <c r="A637" s="8">
        <v>637</v>
      </c>
      <c r="B637" s="1" t="s">
        <v>65</v>
      </c>
      <c r="C637" s="8" t="s">
        <v>62</v>
      </c>
      <c r="D637" s="8" t="s">
        <v>58</v>
      </c>
      <c r="E637" s="8" t="s">
        <v>70</v>
      </c>
      <c r="F637" s="8">
        <v>1</v>
      </c>
      <c r="G637" s="2">
        <v>51900</v>
      </c>
      <c r="H637" s="1">
        <v>0</v>
      </c>
      <c r="I637" s="8" t="s">
        <v>68</v>
      </c>
      <c r="J637" s="1">
        <v>12</v>
      </c>
      <c r="K637" s="1" t="s">
        <v>15</v>
      </c>
      <c r="L637" s="1" t="s">
        <v>28</v>
      </c>
      <c r="M637" s="1" t="s">
        <v>28</v>
      </c>
      <c r="N637" s="10">
        <v>41690</v>
      </c>
      <c r="O637" s="3">
        <v>1147.6400000000001</v>
      </c>
      <c r="P637" s="15">
        <f>IF(Table1[[#This Row],[Amount Spent]]&gt;3500, 3500,Table1[[#This Row],[Amount Spent]])</f>
        <v>1147.6400000000001</v>
      </c>
    </row>
    <row r="638" spans="1:16" x14ac:dyDescent="0.35">
      <c r="A638" s="9">
        <v>638</v>
      </c>
      <c r="B638" s="4" t="s">
        <v>64</v>
      </c>
      <c r="C638" s="9" t="s">
        <v>62</v>
      </c>
      <c r="D638" s="9" t="s">
        <v>66</v>
      </c>
      <c r="E638" s="9" t="s">
        <v>70</v>
      </c>
      <c r="F638" s="9">
        <v>0</v>
      </c>
      <c r="G638" s="5">
        <v>37800</v>
      </c>
      <c r="H638" s="4">
        <v>2</v>
      </c>
      <c r="I638" s="9" t="s">
        <v>8</v>
      </c>
      <c r="J638" s="4">
        <v>12</v>
      </c>
      <c r="K638" s="4" t="s">
        <v>13</v>
      </c>
      <c r="L638" s="4" t="s">
        <v>45</v>
      </c>
      <c r="M638" s="4" t="s">
        <v>26</v>
      </c>
      <c r="N638" s="10">
        <v>42047</v>
      </c>
      <c r="O638" s="6">
        <v>1185.0909999999999</v>
      </c>
      <c r="P638" s="15">
        <f>IF(Table1[[#This Row],[Amount Spent]]&gt;3500, 3500,Table1[[#This Row],[Amount Spent]])</f>
        <v>1185.0909999999999</v>
      </c>
    </row>
    <row r="639" spans="1:16" x14ac:dyDescent="0.35">
      <c r="A639" s="8">
        <v>639</v>
      </c>
      <c r="B639" s="1" t="s">
        <v>64</v>
      </c>
      <c r="C639" s="8" t="s">
        <v>62</v>
      </c>
      <c r="D639" s="8" t="s">
        <v>58</v>
      </c>
      <c r="E639" s="8" t="s">
        <v>2</v>
      </c>
      <c r="F639" s="8">
        <v>1</v>
      </c>
      <c r="G639" s="2">
        <v>74700</v>
      </c>
      <c r="H639" s="1">
        <v>1</v>
      </c>
      <c r="I639" s="8" t="s">
        <v>68</v>
      </c>
      <c r="J639" s="1">
        <v>6</v>
      </c>
      <c r="K639" s="1" t="s">
        <v>14</v>
      </c>
      <c r="L639" s="1" t="s">
        <v>51</v>
      </c>
      <c r="M639" s="1" t="s">
        <v>38</v>
      </c>
      <c r="N639" s="10">
        <v>41432</v>
      </c>
      <c r="O639" s="3">
        <v>703.87900000000002</v>
      </c>
      <c r="P639" s="15">
        <f>IF(Table1[[#This Row],[Amount Spent]]&gt;3500, 3500,Table1[[#This Row],[Amount Spent]])</f>
        <v>703.87900000000002</v>
      </c>
    </row>
    <row r="640" spans="1:16" x14ac:dyDescent="0.35">
      <c r="A640" s="9">
        <v>640</v>
      </c>
      <c r="B640" s="4" t="s">
        <v>63</v>
      </c>
      <c r="C640" s="9" t="s">
        <v>61</v>
      </c>
      <c r="D640" s="9" t="s">
        <v>66</v>
      </c>
      <c r="E640" s="9" t="s">
        <v>70</v>
      </c>
      <c r="F640" s="9">
        <v>0</v>
      </c>
      <c r="G640" s="5">
        <v>14800</v>
      </c>
      <c r="H640" s="4">
        <v>1</v>
      </c>
      <c r="I640" s="9" t="s">
        <v>8</v>
      </c>
      <c r="J640" s="4">
        <v>12</v>
      </c>
      <c r="K640" s="4" t="s">
        <v>13</v>
      </c>
      <c r="L640" s="4" t="s">
        <v>45</v>
      </c>
      <c r="M640" s="4" t="s">
        <v>26</v>
      </c>
      <c r="N640" s="10">
        <v>42234</v>
      </c>
      <c r="O640" s="6">
        <v>375.61399999999998</v>
      </c>
      <c r="P640" s="15">
        <f>IF(Table1[[#This Row],[Amount Spent]]&gt;3500, 3500,Table1[[#This Row],[Amount Spent]])</f>
        <v>375.61399999999998</v>
      </c>
    </row>
    <row r="641" spans="1:16" x14ac:dyDescent="0.35">
      <c r="A641" s="8">
        <v>641</v>
      </c>
      <c r="B641" s="1" t="s">
        <v>63</v>
      </c>
      <c r="C641" s="8" t="s">
        <v>61</v>
      </c>
      <c r="D641" s="8" t="s">
        <v>66</v>
      </c>
      <c r="E641" s="8" t="s">
        <v>70</v>
      </c>
      <c r="F641" s="8">
        <v>1</v>
      </c>
      <c r="G641" s="2">
        <v>17400</v>
      </c>
      <c r="H641" s="1">
        <v>0</v>
      </c>
      <c r="I641" s="8" t="s">
        <v>8</v>
      </c>
      <c r="J641" s="1">
        <v>12</v>
      </c>
      <c r="K641" s="1" t="s">
        <v>15</v>
      </c>
      <c r="L641" s="1" t="s">
        <v>52</v>
      </c>
      <c r="M641" s="1" t="s">
        <v>31</v>
      </c>
      <c r="N641" s="10">
        <v>42140</v>
      </c>
      <c r="O641" s="3">
        <v>332.09699999999998</v>
      </c>
      <c r="P641" s="15">
        <f>IF(Table1[[#This Row],[Amount Spent]]&gt;3500, 3500,Table1[[#This Row],[Amount Spent]])</f>
        <v>332.09699999999998</v>
      </c>
    </row>
    <row r="642" spans="1:16" x14ac:dyDescent="0.35">
      <c r="A642" s="9">
        <v>642</v>
      </c>
      <c r="B642" s="4" t="s">
        <v>64</v>
      </c>
      <c r="C642" s="9" t="s">
        <v>62</v>
      </c>
      <c r="D642" s="9" t="s">
        <v>58</v>
      </c>
      <c r="E642" s="9" t="s">
        <v>2</v>
      </c>
      <c r="F642" s="9">
        <v>1</v>
      </c>
      <c r="G642" s="5">
        <v>59900</v>
      </c>
      <c r="H642" s="4">
        <v>1</v>
      </c>
      <c r="I642" s="9" t="s">
        <v>8</v>
      </c>
      <c r="J642" s="4">
        <v>6</v>
      </c>
      <c r="K642" s="4" t="s">
        <v>13</v>
      </c>
      <c r="L642" s="4" t="s">
        <v>42</v>
      </c>
      <c r="M642" s="4" t="s">
        <v>25</v>
      </c>
      <c r="N642" s="10">
        <v>42055</v>
      </c>
      <c r="O642" s="6">
        <v>613.46299999999997</v>
      </c>
      <c r="P642" s="15">
        <f>IF(Table1[[#This Row],[Amount Spent]]&gt;3500, 3500,Table1[[#This Row],[Amount Spent]])</f>
        <v>613.46299999999997</v>
      </c>
    </row>
    <row r="643" spans="1:16" x14ac:dyDescent="0.35">
      <c r="A643" s="8">
        <v>643</v>
      </c>
      <c r="B643" s="1" t="s">
        <v>64</v>
      </c>
      <c r="C643" s="8" t="s">
        <v>62</v>
      </c>
      <c r="D643" s="8" t="s">
        <v>58</v>
      </c>
      <c r="E643" s="8" t="s">
        <v>70</v>
      </c>
      <c r="F643" s="8">
        <v>1</v>
      </c>
      <c r="G643" s="2">
        <v>67800</v>
      </c>
      <c r="H643" s="1">
        <v>1</v>
      </c>
      <c r="I643" s="8" t="s">
        <v>68</v>
      </c>
      <c r="J643" s="1">
        <v>6</v>
      </c>
      <c r="K643" s="1" t="s">
        <v>12</v>
      </c>
      <c r="L643" s="1" t="s">
        <v>47</v>
      </c>
      <c r="M643" s="1" t="s">
        <v>18</v>
      </c>
      <c r="N643" s="10">
        <v>40920</v>
      </c>
      <c r="O643" s="3">
        <v>680.02800000000002</v>
      </c>
      <c r="P643" s="15">
        <f>IF(Table1[[#This Row],[Amount Spent]]&gt;3500, 3500,Table1[[#This Row],[Amount Spent]])</f>
        <v>680.02800000000002</v>
      </c>
    </row>
    <row r="644" spans="1:16" x14ac:dyDescent="0.35">
      <c r="A644" s="9">
        <v>644</v>
      </c>
      <c r="B644" s="4" t="s">
        <v>64</v>
      </c>
      <c r="C644" s="9" t="s">
        <v>62</v>
      </c>
      <c r="D644" s="9" t="s">
        <v>66</v>
      </c>
      <c r="E644" s="9" t="s">
        <v>2</v>
      </c>
      <c r="F644" s="9">
        <v>1</v>
      </c>
      <c r="G644" s="5">
        <v>135700</v>
      </c>
      <c r="H644" s="4">
        <v>1</v>
      </c>
      <c r="I644" s="9" t="s">
        <v>69</v>
      </c>
      <c r="J644" s="4">
        <v>24</v>
      </c>
      <c r="K644" s="4" t="s">
        <v>13</v>
      </c>
      <c r="L644" s="4" t="s">
        <v>46</v>
      </c>
      <c r="M644" s="4" t="s">
        <v>22</v>
      </c>
      <c r="N644" s="10">
        <v>41173</v>
      </c>
      <c r="O644" s="6">
        <v>2745.7550000000001</v>
      </c>
      <c r="P644" s="15">
        <f>IF(Table1[[#This Row],[Amount Spent]]&gt;3500, 3500,Table1[[#This Row],[Amount Spent]])</f>
        <v>2745.7550000000001</v>
      </c>
    </row>
    <row r="645" spans="1:16" x14ac:dyDescent="0.35">
      <c r="A645" s="8">
        <v>645</v>
      </c>
      <c r="B645" s="1" t="s">
        <v>64</v>
      </c>
      <c r="C645" s="8" t="s">
        <v>61</v>
      </c>
      <c r="D645" s="8" t="s">
        <v>66</v>
      </c>
      <c r="E645" s="8" t="s">
        <v>2</v>
      </c>
      <c r="F645" s="8">
        <v>0</v>
      </c>
      <c r="G645" s="2">
        <v>63000</v>
      </c>
      <c r="H645" s="1">
        <v>0</v>
      </c>
      <c r="I645" s="8" t="s">
        <v>69</v>
      </c>
      <c r="J645" s="1">
        <v>18</v>
      </c>
      <c r="K645" s="1" t="s">
        <v>13</v>
      </c>
      <c r="L645" s="1" t="s">
        <v>42</v>
      </c>
      <c r="M645" s="1" t="s">
        <v>25</v>
      </c>
      <c r="N645" s="10">
        <v>40390</v>
      </c>
      <c r="O645" s="3">
        <v>2106.7869999999998</v>
      </c>
      <c r="P645" s="15">
        <f>IF(Table1[[#This Row],[Amount Spent]]&gt;3500, 3500,Table1[[#This Row],[Amount Spent]])</f>
        <v>2106.7869999999998</v>
      </c>
    </row>
    <row r="646" spans="1:16" x14ac:dyDescent="0.35">
      <c r="A646" s="9">
        <v>646</v>
      </c>
      <c r="B646" s="4" t="s">
        <v>63</v>
      </c>
      <c r="C646" s="9" t="s">
        <v>62</v>
      </c>
      <c r="D646" s="9" t="s">
        <v>58</v>
      </c>
      <c r="E646" s="9" t="s">
        <v>70</v>
      </c>
      <c r="F646" s="9">
        <v>0</v>
      </c>
      <c r="G646" s="5">
        <v>21900</v>
      </c>
      <c r="H646" s="4">
        <v>2</v>
      </c>
      <c r="I646" s="9" t="s">
        <v>67</v>
      </c>
      <c r="J646" s="4">
        <v>24</v>
      </c>
      <c r="K646" s="4" t="s">
        <v>14</v>
      </c>
      <c r="L646" s="4" t="s">
        <v>40</v>
      </c>
      <c r="M646" s="4" t="s">
        <v>36</v>
      </c>
      <c r="N646" s="10">
        <v>40577</v>
      </c>
      <c r="O646" s="6">
        <v>486.495</v>
      </c>
      <c r="P646" s="15">
        <f>IF(Table1[[#This Row],[Amount Spent]]&gt;3500, 3500,Table1[[#This Row],[Amount Spent]])</f>
        <v>486.495</v>
      </c>
    </row>
    <row r="647" spans="1:16" x14ac:dyDescent="0.35">
      <c r="A647" s="8">
        <v>647</v>
      </c>
      <c r="B647" s="1" t="s">
        <v>64</v>
      </c>
      <c r="C647" s="8" t="s">
        <v>62</v>
      </c>
      <c r="D647" s="8" t="s">
        <v>66</v>
      </c>
      <c r="E647" s="8" t="s">
        <v>2</v>
      </c>
      <c r="F647" s="8">
        <v>1</v>
      </c>
      <c r="G647" s="2">
        <v>114100</v>
      </c>
      <c r="H647" s="1">
        <v>1</v>
      </c>
      <c r="I647" s="8" t="s">
        <v>8</v>
      </c>
      <c r="J647" s="1">
        <v>24</v>
      </c>
      <c r="K647" s="1" t="s">
        <v>14</v>
      </c>
      <c r="L647" s="1" t="s">
        <v>40</v>
      </c>
      <c r="M647" s="1" t="s">
        <v>37</v>
      </c>
      <c r="N647" s="10">
        <v>42044</v>
      </c>
      <c r="O647" s="3">
        <v>1975.884</v>
      </c>
      <c r="P647" s="15">
        <f>IF(Table1[[#This Row],[Amount Spent]]&gt;3500, 3500,Table1[[#This Row],[Amount Spent]])</f>
        <v>1975.884</v>
      </c>
    </row>
    <row r="648" spans="1:16" x14ac:dyDescent="0.35">
      <c r="A648" s="9">
        <v>648</v>
      </c>
      <c r="B648" s="4" t="s">
        <v>63</v>
      </c>
      <c r="C648" s="9" t="s">
        <v>61</v>
      </c>
      <c r="D648" s="9" t="s">
        <v>66</v>
      </c>
      <c r="E648" s="9" t="s">
        <v>70</v>
      </c>
      <c r="F648" s="9">
        <v>0</v>
      </c>
      <c r="G648" s="5">
        <v>22900</v>
      </c>
      <c r="H648" s="4">
        <v>1</v>
      </c>
      <c r="I648" s="9" t="s">
        <v>8</v>
      </c>
      <c r="J648" s="4">
        <v>12</v>
      </c>
      <c r="K648" s="4" t="s">
        <v>12</v>
      </c>
      <c r="L648" s="4" t="s">
        <v>53</v>
      </c>
      <c r="M648" s="4" t="s">
        <v>19</v>
      </c>
      <c r="N648" s="10">
        <v>42067</v>
      </c>
      <c r="O648" s="6">
        <v>814.04499999999996</v>
      </c>
      <c r="P648" s="15">
        <f>IF(Table1[[#This Row],[Amount Spent]]&gt;3500, 3500,Table1[[#This Row],[Amount Spent]])</f>
        <v>814.04499999999996</v>
      </c>
    </row>
    <row r="649" spans="1:16" x14ac:dyDescent="0.35">
      <c r="A649" s="8">
        <v>649</v>
      </c>
      <c r="B649" s="1" t="s">
        <v>64</v>
      </c>
      <c r="C649" s="8" t="s">
        <v>62</v>
      </c>
      <c r="D649" s="8" t="s">
        <v>58</v>
      </c>
      <c r="E649" s="8" t="s">
        <v>2</v>
      </c>
      <c r="F649" s="8">
        <v>1</v>
      </c>
      <c r="G649" s="2">
        <v>82700</v>
      </c>
      <c r="H649" s="1">
        <v>1</v>
      </c>
      <c r="I649" s="8" t="s">
        <v>69</v>
      </c>
      <c r="J649" s="1">
        <v>18</v>
      </c>
      <c r="K649" s="1" t="s">
        <v>14</v>
      </c>
      <c r="L649" s="1" t="s">
        <v>40</v>
      </c>
      <c r="M649" s="1" t="s">
        <v>36</v>
      </c>
      <c r="N649" s="10">
        <v>41515</v>
      </c>
      <c r="O649" s="3">
        <v>1753.181</v>
      </c>
      <c r="P649" s="15">
        <f>IF(Table1[[#This Row],[Amount Spent]]&gt;3500, 3500,Table1[[#This Row],[Amount Spent]])</f>
        <v>1753.181</v>
      </c>
    </row>
    <row r="650" spans="1:16" x14ac:dyDescent="0.35">
      <c r="A650" s="9">
        <v>650</v>
      </c>
      <c r="B650" s="4" t="s">
        <v>65</v>
      </c>
      <c r="C650" s="9" t="s">
        <v>62</v>
      </c>
      <c r="D650" s="9" t="s">
        <v>58</v>
      </c>
      <c r="E650" s="9" t="s">
        <v>2</v>
      </c>
      <c r="F650" s="9">
        <v>1</v>
      </c>
      <c r="G650" s="5">
        <v>103300</v>
      </c>
      <c r="H650" s="4">
        <v>0</v>
      </c>
      <c r="I650" s="9" t="s">
        <v>69</v>
      </c>
      <c r="J650" s="4">
        <v>24</v>
      </c>
      <c r="K650" s="4" t="s">
        <v>12</v>
      </c>
      <c r="L650" s="4" t="s">
        <v>41</v>
      </c>
      <c r="M650" s="4" t="s">
        <v>20</v>
      </c>
      <c r="N650" s="10">
        <v>40493</v>
      </c>
      <c r="O650" s="6">
        <v>3378.482</v>
      </c>
      <c r="P650" s="15">
        <f>IF(Table1[[#This Row],[Amount Spent]]&gt;3500, 3500,Table1[[#This Row],[Amount Spent]])</f>
        <v>3378.482</v>
      </c>
    </row>
    <row r="651" spans="1:16" x14ac:dyDescent="0.35">
      <c r="A651" s="8">
        <v>651</v>
      </c>
      <c r="B651" s="1" t="s">
        <v>64</v>
      </c>
      <c r="C651" s="8" t="s">
        <v>61</v>
      </c>
      <c r="D651" s="8" t="s">
        <v>58</v>
      </c>
      <c r="E651" s="8" t="s">
        <v>2</v>
      </c>
      <c r="F651" s="8">
        <v>0</v>
      </c>
      <c r="G651" s="2">
        <v>113800</v>
      </c>
      <c r="H651" s="1">
        <v>0</v>
      </c>
      <c r="I651" s="8" t="s">
        <v>8</v>
      </c>
      <c r="J651" s="1">
        <v>12</v>
      </c>
      <c r="K651" s="1" t="s">
        <v>12</v>
      </c>
      <c r="L651" s="1" t="s">
        <v>41</v>
      </c>
      <c r="M651" s="1" t="s">
        <v>20</v>
      </c>
      <c r="N651" s="10">
        <v>42042</v>
      </c>
      <c r="O651" s="3">
        <v>3272.6529999999998</v>
      </c>
      <c r="P651" s="15">
        <f>IF(Table1[[#This Row],[Amount Spent]]&gt;3500, 3500,Table1[[#This Row],[Amount Spent]])</f>
        <v>3272.6529999999998</v>
      </c>
    </row>
    <row r="652" spans="1:16" x14ac:dyDescent="0.35">
      <c r="A652" s="9">
        <v>652</v>
      </c>
      <c r="B652" s="4" t="s">
        <v>63</v>
      </c>
      <c r="C652" s="9" t="s">
        <v>61</v>
      </c>
      <c r="D652" s="9" t="s">
        <v>66</v>
      </c>
      <c r="E652" s="9" t="s">
        <v>2</v>
      </c>
      <c r="F652" s="9">
        <v>1</v>
      </c>
      <c r="G652" s="5">
        <v>54500</v>
      </c>
      <c r="H652" s="4">
        <v>1</v>
      </c>
      <c r="I652" s="9" t="s">
        <v>68</v>
      </c>
      <c r="J652" s="4">
        <v>18</v>
      </c>
      <c r="K652" s="4" t="s">
        <v>12</v>
      </c>
      <c r="L652" s="4" t="s">
        <v>47</v>
      </c>
      <c r="M652" s="4" t="s">
        <v>18</v>
      </c>
      <c r="N652" s="10">
        <v>41567</v>
      </c>
      <c r="O652" s="6">
        <v>1001.101</v>
      </c>
      <c r="P652" s="15">
        <f>IF(Table1[[#This Row],[Amount Spent]]&gt;3500, 3500,Table1[[#This Row],[Amount Spent]])</f>
        <v>1001.101</v>
      </c>
    </row>
    <row r="653" spans="1:16" x14ac:dyDescent="0.35">
      <c r="A653" s="8">
        <v>653</v>
      </c>
      <c r="B653" s="1" t="s">
        <v>65</v>
      </c>
      <c r="C653" s="8" t="s">
        <v>61</v>
      </c>
      <c r="D653" s="8" t="s">
        <v>58</v>
      </c>
      <c r="E653" s="8" t="s">
        <v>2</v>
      </c>
      <c r="F653" s="8">
        <v>1</v>
      </c>
      <c r="G653" s="2">
        <v>54600</v>
      </c>
      <c r="H653" s="1">
        <v>0</v>
      </c>
      <c r="I653" s="8" t="s">
        <v>68</v>
      </c>
      <c r="J653" s="1">
        <v>24</v>
      </c>
      <c r="K653" s="1" t="s">
        <v>12</v>
      </c>
      <c r="L653" s="1" t="s">
        <v>53</v>
      </c>
      <c r="M653" s="1" t="s">
        <v>19</v>
      </c>
      <c r="N653" s="10">
        <v>40849</v>
      </c>
      <c r="O653" s="3">
        <v>1245.7329999999999</v>
      </c>
      <c r="P653" s="15">
        <f>IF(Table1[[#This Row],[Amount Spent]]&gt;3500, 3500,Table1[[#This Row],[Amount Spent]])</f>
        <v>1245.7329999999999</v>
      </c>
    </row>
    <row r="654" spans="1:16" x14ac:dyDescent="0.35">
      <c r="A654" s="9">
        <v>654</v>
      </c>
      <c r="B654" s="4" t="s">
        <v>63</v>
      </c>
      <c r="C654" s="9" t="s">
        <v>62</v>
      </c>
      <c r="D654" s="9" t="s">
        <v>66</v>
      </c>
      <c r="E654" s="9" t="s">
        <v>70</v>
      </c>
      <c r="F654" s="9">
        <v>1</v>
      </c>
      <c r="G654" s="5">
        <v>18900</v>
      </c>
      <c r="H654" s="4">
        <v>1</v>
      </c>
      <c r="I654" s="9" t="s">
        <v>67</v>
      </c>
      <c r="J654" s="4">
        <v>6</v>
      </c>
      <c r="K654" s="4" t="s">
        <v>12</v>
      </c>
      <c r="L654" s="4" t="s">
        <v>41</v>
      </c>
      <c r="M654" s="4" t="s">
        <v>20</v>
      </c>
      <c r="N654" s="10">
        <v>41593</v>
      </c>
      <c r="O654" s="6">
        <v>183.68899999999999</v>
      </c>
      <c r="P654" s="15">
        <f>IF(Table1[[#This Row],[Amount Spent]]&gt;3500, 3500,Table1[[#This Row],[Amount Spent]])</f>
        <v>183.68899999999999</v>
      </c>
    </row>
    <row r="655" spans="1:16" x14ac:dyDescent="0.35">
      <c r="A655" s="8">
        <v>655</v>
      </c>
      <c r="B655" s="1" t="s">
        <v>64</v>
      </c>
      <c r="C655" s="8" t="s">
        <v>62</v>
      </c>
      <c r="D655" s="8" t="s">
        <v>58</v>
      </c>
      <c r="E655" s="8" t="s">
        <v>2</v>
      </c>
      <c r="F655" s="8">
        <v>1</v>
      </c>
      <c r="G655" s="2">
        <v>83300</v>
      </c>
      <c r="H655" s="1">
        <v>1</v>
      </c>
      <c r="I655" s="8" t="s">
        <v>69</v>
      </c>
      <c r="J655" s="1">
        <v>24</v>
      </c>
      <c r="K655" s="1" t="s">
        <v>15</v>
      </c>
      <c r="L655" s="1" t="s">
        <v>52</v>
      </c>
      <c r="M655" s="1" t="s">
        <v>31</v>
      </c>
      <c r="N655" s="10">
        <v>40532</v>
      </c>
      <c r="O655" s="3">
        <v>2573.799</v>
      </c>
      <c r="P655" s="15">
        <f>IF(Table1[[#This Row],[Amount Spent]]&gt;3500, 3500,Table1[[#This Row],[Amount Spent]])</f>
        <v>2573.799</v>
      </c>
    </row>
    <row r="656" spans="1:16" x14ac:dyDescent="0.35">
      <c r="A656" s="9">
        <v>656</v>
      </c>
      <c r="B656" s="4" t="s">
        <v>64</v>
      </c>
      <c r="C656" s="9" t="s">
        <v>61</v>
      </c>
      <c r="D656" s="9" t="s">
        <v>66</v>
      </c>
      <c r="E656" s="9" t="s">
        <v>70</v>
      </c>
      <c r="F656" s="9">
        <v>0</v>
      </c>
      <c r="G656" s="5">
        <v>60200</v>
      </c>
      <c r="H656" s="4">
        <v>0</v>
      </c>
      <c r="I656" s="9" t="s">
        <v>69</v>
      </c>
      <c r="J656" s="4">
        <v>24</v>
      </c>
      <c r="K656" s="4" t="s">
        <v>12</v>
      </c>
      <c r="L656" s="4" t="s">
        <v>55</v>
      </c>
      <c r="M656" s="4" t="s">
        <v>17</v>
      </c>
      <c r="N656" s="10">
        <v>40415</v>
      </c>
      <c r="O656" s="6">
        <v>2304.0790000000002</v>
      </c>
      <c r="P656" s="15">
        <f>IF(Table1[[#This Row],[Amount Spent]]&gt;3500, 3500,Table1[[#This Row],[Amount Spent]])</f>
        <v>2304.0790000000002</v>
      </c>
    </row>
    <row r="657" spans="1:16" x14ac:dyDescent="0.35">
      <c r="A657" s="8">
        <v>657</v>
      </c>
      <c r="B657" s="1" t="s">
        <v>64</v>
      </c>
      <c r="C657" s="8" t="s">
        <v>62</v>
      </c>
      <c r="D657" s="8" t="s">
        <v>66</v>
      </c>
      <c r="E657" s="8" t="s">
        <v>70</v>
      </c>
      <c r="F657" s="8">
        <v>1</v>
      </c>
      <c r="G657" s="2">
        <v>53700</v>
      </c>
      <c r="H657" s="1">
        <v>2</v>
      </c>
      <c r="I657" s="8" t="s">
        <v>8</v>
      </c>
      <c r="J657" s="1">
        <v>12</v>
      </c>
      <c r="K657" s="1" t="s">
        <v>15</v>
      </c>
      <c r="L657" s="1" t="s">
        <v>28</v>
      </c>
      <c r="M657" s="1" t="s">
        <v>33</v>
      </c>
      <c r="N657" s="10">
        <v>42106</v>
      </c>
      <c r="O657" s="3">
        <v>1193.799</v>
      </c>
      <c r="P657" s="15">
        <f>IF(Table1[[#This Row],[Amount Spent]]&gt;3500, 3500,Table1[[#This Row],[Amount Spent]])</f>
        <v>1193.799</v>
      </c>
    </row>
    <row r="658" spans="1:16" x14ac:dyDescent="0.35">
      <c r="A658" s="9">
        <v>658</v>
      </c>
      <c r="B658" s="4" t="s">
        <v>65</v>
      </c>
      <c r="C658" s="9" t="s">
        <v>62</v>
      </c>
      <c r="D658" s="9" t="s">
        <v>58</v>
      </c>
      <c r="E658" s="9" t="s">
        <v>2</v>
      </c>
      <c r="F658" s="9">
        <v>1</v>
      </c>
      <c r="G658" s="5">
        <v>89000</v>
      </c>
      <c r="H658" s="4">
        <v>0</v>
      </c>
      <c r="I658" s="9" t="s">
        <v>69</v>
      </c>
      <c r="J658" s="4">
        <v>12</v>
      </c>
      <c r="K658" s="4" t="s">
        <v>12</v>
      </c>
      <c r="L658" s="4" t="s">
        <v>53</v>
      </c>
      <c r="M658" s="4" t="s">
        <v>19</v>
      </c>
      <c r="N658" s="10">
        <v>41281</v>
      </c>
      <c r="O658" s="6">
        <v>1486.5350000000001</v>
      </c>
      <c r="P658" s="15">
        <f>IF(Table1[[#This Row],[Amount Spent]]&gt;3500, 3500,Table1[[#This Row],[Amount Spent]])</f>
        <v>1486.5350000000001</v>
      </c>
    </row>
    <row r="659" spans="1:16" x14ac:dyDescent="0.35">
      <c r="A659" s="8">
        <v>659</v>
      </c>
      <c r="B659" s="1" t="s">
        <v>63</v>
      </c>
      <c r="C659" s="8" t="s">
        <v>62</v>
      </c>
      <c r="D659" s="8" t="s">
        <v>66</v>
      </c>
      <c r="E659" s="8" t="s">
        <v>70</v>
      </c>
      <c r="F659" s="8">
        <v>1</v>
      </c>
      <c r="G659" s="2">
        <v>12500</v>
      </c>
      <c r="H659" s="1">
        <v>3</v>
      </c>
      <c r="I659" s="8" t="s">
        <v>8</v>
      </c>
      <c r="J659" s="1">
        <v>12</v>
      </c>
      <c r="K659" s="1" t="s">
        <v>14</v>
      </c>
      <c r="L659" s="1" t="s">
        <v>49</v>
      </c>
      <c r="M659" s="1" t="s">
        <v>39</v>
      </c>
      <c r="N659" s="10">
        <v>42208</v>
      </c>
      <c r="O659" s="3">
        <v>206.36600000000001</v>
      </c>
      <c r="P659" s="15">
        <f>IF(Table1[[#This Row],[Amount Spent]]&gt;3500, 3500,Table1[[#This Row],[Amount Spent]])</f>
        <v>206.36600000000001</v>
      </c>
    </row>
    <row r="660" spans="1:16" x14ac:dyDescent="0.35">
      <c r="A660" s="9">
        <v>660</v>
      </c>
      <c r="B660" s="4" t="s">
        <v>64</v>
      </c>
      <c r="C660" s="9" t="s">
        <v>61</v>
      </c>
      <c r="D660" s="9" t="s">
        <v>58</v>
      </c>
      <c r="E660" s="9" t="s">
        <v>70</v>
      </c>
      <c r="F660" s="9">
        <v>1</v>
      </c>
      <c r="G660" s="5">
        <v>50600</v>
      </c>
      <c r="H660" s="4">
        <v>3</v>
      </c>
      <c r="I660" s="9" t="s">
        <v>8</v>
      </c>
      <c r="J660" s="4">
        <v>6</v>
      </c>
      <c r="K660" s="4" t="s">
        <v>14</v>
      </c>
      <c r="L660" s="4" t="s">
        <v>51</v>
      </c>
      <c r="M660" s="4" t="s">
        <v>38</v>
      </c>
      <c r="N660" s="10">
        <v>42194</v>
      </c>
      <c r="O660" s="6">
        <v>713.01700000000005</v>
      </c>
      <c r="P660" s="15">
        <f>IF(Table1[[#This Row],[Amount Spent]]&gt;3500, 3500,Table1[[#This Row],[Amount Spent]])</f>
        <v>713.01700000000005</v>
      </c>
    </row>
    <row r="661" spans="1:16" x14ac:dyDescent="0.35">
      <c r="A661" s="8">
        <v>661</v>
      </c>
      <c r="B661" s="1" t="s">
        <v>64</v>
      </c>
      <c r="C661" s="8" t="s">
        <v>62</v>
      </c>
      <c r="D661" s="8" t="s">
        <v>58</v>
      </c>
      <c r="E661" s="8" t="s">
        <v>2</v>
      </c>
      <c r="F661" s="8">
        <v>1</v>
      </c>
      <c r="G661" s="2">
        <v>67900</v>
      </c>
      <c r="H661" s="1">
        <v>3</v>
      </c>
      <c r="I661" s="8" t="s">
        <v>67</v>
      </c>
      <c r="J661" s="1">
        <v>12</v>
      </c>
      <c r="K661" s="1" t="s">
        <v>15</v>
      </c>
      <c r="L661" s="1" t="s">
        <v>28</v>
      </c>
      <c r="M661" s="1" t="s">
        <v>28</v>
      </c>
      <c r="N661" s="10">
        <v>41874</v>
      </c>
      <c r="O661" s="3">
        <v>355.95</v>
      </c>
      <c r="P661" s="15">
        <f>IF(Table1[[#This Row],[Amount Spent]]&gt;3500, 3500,Table1[[#This Row],[Amount Spent]])</f>
        <v>355.95</v>
      </c>
    </row>
    <row r="662" spans="1:16" x14ac:dyDescent="0.35">
      <c r="A662" s="9">
        <v>662</v>
      </c>
      <c r="B662" s="4" t="s">
        <v>64</v>
      </c>
      <c r="C662" s="9" t="s">
        <v>61</v>
      </c>
      <c r="D662" s="9" t="s">
        <v>66</v>
      </c>
      <c r="E662" s="9" t="s">
        <v>2</v>
      </c>
      <c r="F662" s="9">
        <v>1</v>
      </c>
      <c r="G662" s="5">
        <v>62800</v>
      </c>
      <c r="H662" s="4">
        <v>3</v>
      </c>
      <c r="I662" s="9" t="s">
        <v>67</v>
      </c>
      <c r="J662" s="4">
        <v>6</v>
      </c>
      <c r="K662" s="4" t="s">
        <v>15</v>
      </c>
      <c r="L662" s="4" t="s">
        <v>42</v>
      </c>
      <c r="M662" s="4" t="s">
        <v>32</v>
      </c>
      <c r="N662" s="10">
        <v>40709</v>
      </c>
      <c r="O662" s="6">
        <v>176.84299999999999</v>
      </c>
      <c r="P662" s="15">
        <f>IF(Table1[[#This Row],[Amount Spent]]&gt;3500, 3500,Table1[[#This Row],[Amount Spent]])</f>
        <v>176.84299999999999</v>
      </c>
    </row>
    <row r="663" spans="1:16" x14ac:dyDescent="0.35">
      <c r="A663" s="8">
        <v>663</v>
      </c>
      <c r="B663" s="1" t="s">
        <v>64</v>
      </c>
      <c r="C663" s="8" t="s">
        <v>62</v>
      </c>
      <c r="D663" s="8" t="s">
        <v>58</v>
      </c>
      <c r="E663" s="8" t="s">
        <v>70</v>
      </c>
      <c r="F663" s="8">
        <v>0</v>
      </c>
      <c r="G663" s="2">
        <v>34600</v>
      </c>
      <c r="H663" s="1">
        <v>2</v>
      </c>
      <c r="I663" s="8" t="s">
        <v>68</v>
      </c>
      <c r="J663" s="1">
        <v>18</v>
      </c>
      <c r="K663" s="1" t="s">
        <v>12</v>
      </c>
      <c r="L663" s="1" t="s">
        <v>53</v>
      </c>
      <c r="M663" s="1" t="s">
        <v>19</v>
      </c>
      <c r="N663" s="10">
        <v>42010</v>
      </c>
      <c r="O663" s="3">
        <v>748.25400000000002</v>
      </c>
      <c r="P663" s="15">
        <f>IF(Table1[[#This Row],[Amount Spent]]&gt;3500, 3500,Table1[[#This Row],[Amount Spent]])</f>
        <v>748.25400000000002</v>
      </c>
    </row>
    <row r="664" spans="1:16" x14ac:dyDescent="0.35">
      <c r="A664" s="9">
        <v>664</v>
      </c>
      <c r="B664" s="4" t="s">
        <v>64</v>
      </c>
      <c r="C664" s="9" t="s">
        <v>62</v>
      </c>
      <c r="D664" s="9" t="s">
        <v>58</v>
      </c>
      <c r="E664" s="9" t="s">
        <v>70</v>
      </c>
      <c r="F664" s="9">
        <v>1</v>
      </c>
      <c r="G664" s="5">
        <v>43500</v>
      </c>
      <c r="H664" s="4">
        <v>1</v>
      </c>
      <c r="I664" s="9" t="s">
        <v>68</v>
      </c>
      <c r="J664" s="4">
        <v>12</v>
      </c>
      <c r="K664" s="4" t="s">
        <v>12</v>
      </c>
      <c r="L664" s="4" t="s">
        <v>53</v>
      </c>
      <c r="M664" s="4" t="s">
        <v>19</v>
      </c>
      <c r="N664" s="10">
        <v>40599</v>
      </c>
      <c r="O664" s="6">
        <v>500.44799999999998</v>
      </c>
      <c r="P664" s="15">
        <f>IF(Table1[[#This Row],[Amount Spent]]&gt;3500, 3500,Table1[[#This Row],[Amount Spent]])</f>
        <v>500.44799999999998</v>
      </c>
    </row>
    <row r="665" spans="1:16" x14ac:dyDescent="0.35">
      <c r="A665" s="8">
        <v>665</v>
      </c>
      <c r="B665" s="1" t="s">
        <v>65</v>
      </c>
      <c r="C665" s="8" t="s">
        <v>61</v>
      </c>
      <c r="D665" s="8" t="s">
        <v>58</v>
      </c>
      <c r="E665" s="8" t="s">
        <v>2</v>
      </c>
      <c r="F665" s="8">
        <v>0</v>
      </c>
      <c r="G665" s="2">
        <v>80700</v>
      </c>
      <c r="H665" s="1">
        <v>0</v>
      </c>
      <c r="I665" s="8" t="s">
        <v>8</v>
      </c>
      <c r="J665" s="1">
        <v>18</v>
      </c>
      <c r="K665" s="1" t="s">
        <v>15</v>
      </c>
      <c r="L665" s="1" t="s">
        <v>44</v>
      </c>
      <c r="M665" s="1" t="s">
        <v>29</v>
      </c>
      <c r="N665" s="10">
        <v>42143</v>
      </c>
      <c r="O665" s="3">
        <v>3034.1869999999999</v>
      </c>
      <c r="P665" s="15">
        <f>IF(Table1[[#This Row],[Amount Spent]]&gt;3500, 3500,Table1[[#This Row],[Amount Spent]])</f>
        <v>3034.1869999999999</v>
      </c>
    </row>
    <row r="666" spans="1:16" x14ac:dyDescent="0.35">
      <c r="A666" s="9">
        <v>666</v>
      </c>
      <c r="B666" s="4" t="s">
        <v>65</v>
      </c>
      <c r="C666" s="9" t="s">
        <v>61</v>
      </c>
      <c r="D666" s="9" t="s">
        <v>66</v>
      </c>
      <c r="E666" s="9" t="s">
        <v>70</v>
      </c>
      <c r="F666" s="9">
        <v>1</v>
      </c>
      <c r="G666" s="5">
        <v>29000</v>
      </c>
      <c r="H666" s="4">
        <v>0</v>
      </c>
      <c r="I666" s="9" t="s">
        <v>67</v>
      </c>
      <c r="J666" s="4">
        <v>6</v>
      </c>
      <c r="K666" s="4" t="s">
        <v>14</v>
      </c>
      <c r="L666" s="4" t="s">
        <v>40</v>
      </c>
      <c r="M666" s="4" t="s">
        <v>36</v>
      </c>
      <c r="N666" s="10">
        <v>40779</v>
      </c>
      <c r="O666" s="6">
        <v>481.5</v>
      </c>
      <c r="P666" s="15">
        <f>IF(Table1[[#This Row],[Amount Spent]]&gt;3500, 3500,Table1[[#This Row],[Amount Spent]])</f>
        <v>481.5</v>
      </c>
    </row>
    <row r="667" spans="1:16" x14ac:dyDescent="0.35">
      <c r="A667" s="8">
        <v>667</v>
      </c>
      <c r="B667" s="1" t="s">
        <v>63</v>
      </c>
      <c r="C667" s="8" t="s">
        <v>62</v>
      </c>
      <c r="D667" s="8" t="s">
        <v>66</v>
      </c>
      <c r="E667" s="8" t="s">
        <v>70</v>
      </c>
      <c r="F667" s="8">
        <v>0</v>
      </c>
      <c r="G667" s="2">
        <v>27600</v>
      </c>
      <c r="H667" s="1">
        <v>1</v>
      </c>
      <c r="I667" s="8" t="s">
        <v>68</v>
      </c>
      <c r="J667" s="1">
        <v>24</v>
      </c>
      <c r="K667" s="1" t="s">
        <v>13</v>
      </c>
      <c r="L667" s="1" t="s">
        <v>42</v>
      </c>
      <c r="M667" s="1" t="s">
        <v>25</v>
      </c>
      <c r="N667" s="10">
        <v>41263</v>
      </c>
      <c r="O667" s="3">
        <v>893.37400000000002</v>
      </c>
      <c r="P667" s="15">
        <f>IF(Table1[[#This Row],[Amount Spent]]&gt;3500, 3500,Table1[[#This Row],[Amount Spent]])</f>
        <v>893.37400000000002</v>
      </c>
    </row>
    <row r="668" spans="1:16" x14ac:dyDescent="0.35">
      <c r="A668" s="9">
        <v>668</v>
      </c>
      <c r="B668" s="4" t="s">
        <v>65</v>
      </c>
      <c r="C668" s="9" t="s">
        <v>62</v>
      </c>
      <c r="D668" s="9" t="s">
        <v>58</v>
      </c>
      <c r="E668" s="9" t="s">
        <v>2</v>
      </c>
      <c r="F668" s="9">
        <v>0</v>
      </c>
      <c r="G668" s="5">
        <v>12600</v>
      </c>
      <c r="H668" s="4">
        <v>2</v>
      </c>
      <c r="I668" s="9" t="s">
        <v>67</v>
      </c>
      <c r="J668" s="4">
        <v>12</v>
      </c>
      <c r="K668" s="4" t="s">
        <v>12</v>
      </c>
      <c r="L668" s="4" t="s">
        <v>54</v>
      </c>
      <c r="M668" s="4" t="s">
        <v>21</v>
      </c>
      <c r="N668" s="10">
        <v>39942</v>
      </c>
      <c r="O668" s="6">
        <v>164.49</v>
      </c>
      <c r="P668" s="15">
        <f>IF(Table1[[#This Row],[Amount Spent]]&gt;3500, 3500,Table1[[#This Row],[Amount Spent]])</f>
        <v>164.49</v>
      </c>
    </row>
    <row r="669" spans="1:16" x14ac:dyDescent="0.35">
      <c r="A669" s="8">
        <v>669</v>
      </c>
      <c r="B669" s="1" t="s">
        <v>64</v>
      </c>
      <c r="C669" s="8" t="s">
        <v>62</v>
      </c>
      <c r="D669" s="8" t="s">
        <v>58</v>
      </c>
      <c r="E669" s="8" t="s">
        <v>2</v>
      </c>
      <c r="F669" s="8">
        <v>0</v>
      </c>
      <c r="G669" s="2">
        <v>88600</v>
      </c>
      <c r="H669" s="1">
        <v>1</v>
      </c>
      <c r="I669" s="8" t="s">
        <v>69</v>
      </c>
      <c r="J669" s="1">
        <v>18</v>
      </c>
      <c r="K669" s="1" t="s">
        <v>15</v>
      </c>
      <c r="L669" s="1" t="s">
        <v>28</v>
      </c>
      <c r="M669" s="1" t="s">
        <v>33</v>
      </c>
      <c r="N669" s="10">
        <v>42196</v>
      </c>
      <c r="O669" s="3">
        <v>2563.027</v>
      </c>
      <c r="P669" s="15">
        <f>IF(Table1[[#This Row],[Amount Spent]]&gt;3500, 3500,Table1[[#This Row],[Amount Spent]])</f>
        <v>2563.027</v>
      </c>
    </row>
    <row r="670" spans="1:16" x14ac:dyDescent="0.35">
      <c r="A670" s="9">
        <v>670</v>
      </c>
      <c r="B670" s="4" t="s">
        <v>64</v>
      </c>
      <c r="C670" s="9" t="s">
        <v>61</v>
      </c>
      <c r="D670" s="9" t="s">
        <v>58</v>
      </c>
      <c r="E670" s="9" t="s">
        <v>2</v>
      </c>
      <c r="F670" s="9">
        <v>0</v>
      </c>
      <c r="G670" s="5">
        <v>61400</v>
      </c>
      <c r="H670" s="4">
        <v>1</v>
      </c>
      <c r="I670" s="9" t="s">
        <v>69</v>
      </c>
      <c r="J670" s="4">
        <v>24</v>
      </c>
      <c r="K670" s="4" t="s">
        <v>15</v>
      </c>
      <c r="L670" s="4" t="s">
        <v>42</v>
      </c>
      <c r="M670" s="4" t="s">
        <v>32</v>
      </c>
      <c r="N670" s="10">
        <v>40567</v>
      </c>
      <c r="O670" s="6">
        <v>1574.5139999999999</v>
      </c>
      <c r="P670" s="15">
        <f>IF(Table1[[#This Row],[Amount Spent]]&gt;3500, 3500,Table1[[#This Row],[Amount Spent]])</f>
        <v>1574.5139999999999</v>
      </c>
    </row>
    <row r="671" spans="1:16" x14ac:dyDescent="0.35">
      <c r="A671" s="8">
        <v>671</v>
      </c>
      <c r="B671" s="1" t="s">
        <v>64</v>
      </c>
      <c r="C671" s="8" t="s">
        <v>62</v>
      </c>
      <c r="D671" s="8" t="s">
        <v>66</v>
      </c>
      <c r="E671" s="8" t="s">
        <v>70</v>
      </c>
      <c r="F671" s="8">
        <v>1</v>
      </c>
      <c r="G671" s="2">
        <v>40200</v>
      </c>
      <c r="H671" s="1">
        <v>1</v>
      </c>
      <c r="I671" s="8" t="s">
        <v>8</v>
      </c>
      <c r="J671" s="1">
        <v>12</v>
      </c>
      <c r="K671" s="1" t="s">
        <v>13</v>
      </c>
      <c r="L671" s="1" t="s">
        <v>48</v>
      </c>
      <c r="M671" s="1" t="s">
        <v>27</v>
      </c>
      <c r="N671" s="10">
        <v>42208</v>
      </c>
      <c r="O671" s="3">
        <v>880.59500000000003</v>
      </c>
      <c r="P671" s="15">
        <f>IF(Table1[[#This Row],[Amount Spent]]&gt;3500, 3500,Table1[[#This Row],[Amount Spent]])</f>
        <v>880.59500000000003</v>
      </c>
    </row>
    <row r="672" spans="1:16" x14ac:dyDescent="0.35">
      <c r="A672" s="9">
        <v>672</v>
      </c>
      <c r="B672" s="4" t="s">
        <v>63</v>
      </c>
      <c r="C672" s="9" t="s">
        <v>62</v>
      </c>
      <c r="D672" s="9" t="s">
        <v>66</v>
      </c>
      <c r="E672" s="9" t="s">
        <v>2</v>
      </c>
      <c r="F672" s="9">
        <v>1</v>
      </c>
      <c r="G672" s="5">
        <v>69700</v>
      </c>
      <c r="H672" s="4">
        <v>2</v>
      </c>
      <c r="I672" s="9" t="s">
        <v>68</v>
      </c>
      <c r="J672" s="4">
        <v>6</v>
      </c>
      <c r="K672" s="4" t="s">
        <v>12</v>
      </c>
      <c r="L672" s="4" t="s">
        <v>47</v>
      </c>
      <c r="M672" s="4" t="s">
        <v>16</v>
      </c>
      <c r="N672" s="10">
        <v>40367</v>
      </c>
      <c r="O672" s="6">
        <v>584.11900000000003</v>
      </c>
      <c r="P672" s="15">
        <f>IF(Table1[[#This Row],[Amount Spent]]&gt;3500, 3500,Table1[[#This Row],[Amount Spent]])</f>
        <v>584.11900000000003</v>
      </c>
    </row>
    <row r="673" spans="1:16" x14ac:dyDescent="0.35">
      <c r="A673" s="8">
        <v>673</v>
      </c>
      <c r="B673" s="1" t="s">
        <v>64</v>
      </c>
      <c r="C673" s="8" t="s">
        <v>61</v>
      </c>
      <c r="D673" s="8" t="s">
        <v>66</v>
      </c>
      <c r="E673" s="8" t="s">
        <v>70</v>
      </c>
      <c r="F673" s="8">
        <v>1</v>
      </c>
      <c r="G673" s="2">
        <v>53300</v>
      </c>
      <c r="H673" s="1">
        <v>0</v>
      </c>
      <c r="I673" s="8" t="s">
        <v>68</v>
      </c>
      <c r="J673" s="1">
        <v>18</v>
      </c>
      <c r="K673" s="1" t="s">
        <v>14</v>
      </c>
      <c r="L673" s="1" t="s">
        <v>49</v>
      </c>
      <c r="M673" s="1" t="s">
        <v>39</v>
      </c>
      <c r="N673" s="10">
        <v>40406</v>
      </c>
      <c r="O673" s="3">
        <v>1720.018</v>
      </c>
      <c r="P673" s="15">
        <f>IF(Table1[[#This Row],[Amount Spent]]&gt;3500, 3500,Table1[[#This Row],[Amount Spent]])</f>
        <v>1720.018</v>
      </c>
    </row>
    <row r="674" spans="1:16" x14ac:dyDescent="0.35">
      <c r="A674" s="9">
        <v>674</v>
      </c>
      <c r="B674" s="4" t="s">
        <v>65</v>
      </c>
      <c r="C674" s="9" t="s">
        <v>61</v>
      </c>
      <c r="D674" s="9" t="s">
        <v>66</v>
      </c>
      <c r="E674" s="9" t="s">
        <v>2</v>
      </c>
      <c r="F674" s="9">
        <v>0</v>
      </c>
      <c r="G674" s="5">
        <v>66200</v>
      </c>
      <c r="H674" s="4">
        <v>0</v>
      </c>
      <c r="I674" s="9" t="s">
        <v>8</v>
      </c>
      <c r="J674" s="4">
        <v>6</v>
      </c>
      <c r="K674" s="4" t="s">
        <v>15</v>
      </c>
      <c r="L674" s="4" t="s">
        <v>52</v>
      </c>
      <c r="M674" s="4" t="s">
        <v>31</v>
      </c>
      <c r="N674" s="10">
        <v>42043</v>
      </c>
      <c r="O674" s="6">
        <v>1024.3050000000001</v>
      </c>
      <c r="P674" s="15">
        <f>IF(Table1[[#This Row],[Amount Spent]]&gt;3500, 3500,Table1[[#This Row],[Amount Spent]])</f>
        <v>1024.3050000000001</v>
      </c>
    </row>
    <row r="675" spans="1:16" x14ac:dyDescent="0.35">
      <c r="A675" s="8">
        <v>675</v>
      </c>
      <c r="B675" s="1" t="s">
        <v>64</v>
      </c>
      <c r="C675" s="8" t="s">
        <v>61</v>
      </c>
      <c r="D675" s="8" t="s">
        <v>66</v>
      </c>
      <c r="E675" s="8" t="s">
        <v>70</v>
      </c>
      <c r="F675" s="8">
        <v>1</v>
      </c>
      <c r="G675" s="2">
        <v>54400</v>
      </c>
      <c r="H675" s="1">
        <v>0</v>
      </c>
      <c r="I675" s="8" t="s">
        <v>68</v>
      </c>
      <c r="J675" s="1">
        <v>6</v>
      </c>
      <c r="K675" s="1" t="s">
        <v>15</v>
      </c>
      <c r="L675" s="1" t="s">
        <v>52</v>
      </c>
      <c r="M675" s="1" t="s">
        <v>31</v>
      </c>
      <c r="N675" s="10">
        <v>42016</v>
      </c>
      <c r="O675" s="3">
        <v>1150.405</v>
      </c>
      <c r="P675" s="15">
        <f>IF(Table1[[#This Row],[Amount Spent]]&gt;3500, 3500,Table1[[#This Row],[Amount Spent]])</f>
        <v>1150.405</v>
      </c>
    </row>
    <row r="676" spans="1:16" x14ac:dyDescent="0.35">
      <c r="A676" s="9">
        <v>676</v>
      </c>
      <c r="B676" s="4" t="s">
        <v>64</v>
      </c>
      <c r="C676" s="9" t="s">
        <v>61</v>
      </c>
      <c r="D676" s="9" t="s">
        <v>66</v>
      </c>
      <c r="E676" s="9" t="s">
        <v>2</v>
      </c>
      <c r="F676" s="9">
        <v>1</v>
      </c>
      <c r="G676" s="5">
        <v>68700</v>
      </c>
      <c r="H676" s="4">
        <v>0</v>
      </c>
      <c r="I676" s="9" t="s">
        <v>69</v>
      </c>
      <c r="J676" s="4">
        <v>24</v>
      </c>
      <c r="K676" s="4" t="s">
        <v>12</v>
      </c>
      <c r="L676" s="4" t="s">
        <v>47</v>
      </c>
      <c r="M676" s="4" t="s">
        <v>18</v>
      </c>
      <c r="N676" s="10">
        <v>41682</v>
      </c>
      <c r="O676" s="6">
        <v>2763.4639999999999</v>
      </c>
      <c r="P676" s="15">
        <f>IF(Table1[[#This Row],[Amount Spent]]&gt;3500, 3500,Table1[[#This Row],[Amount Spent]])</f>
        <v>2763.4639999999999</v>
      </c>
    </row>
    <row r="677" spans="1:16" x14ac:dyDescent="0.35">
      <c r="A677" s="8">
        <v>677</v>
      </c>
      <c r="B677" s="1" t="s">
        <v>63</v>
      </c>
      <c r="C677" s="8" t="s">
        <v>62</v>
      </c>
      <c r="D677" s="8" t="s">
        <v>66</v>
      </c>
      <c r="E677" s="8" t="s">
        <v>70</v>
      </c>
      <c r="F677" s="8">
        <v>1</v>
      </c>
      <c r="G677" s="2">
        <v>25100</v>
      </c>
      <c r="H677" s="1">
        <v>1</v>
      </c>
      <c r="I677" s="8" t="s">
        <v>8</v>
      </c>
      <c r="J677" s="1">
        <v>6</v>
      </c>
      <c r="K677" s="1" t="s">
        <v>13</v>
      </c>
      <c r="L677" s="1" t="s">
        <v>43</v>
      </c>
      <c r="M677" s="1" t="s">
        <v>23</v>
      </c>
      <c r="N677" s="10">
        <v>42009</v>
      </c>
      <c r="O677" s="3">
        <v>421.02699999999999</v>
      </c>
      <c r="P677" s="15">
        <f>IF(Table1[[#This Row],[Amount Spent]]&gt;3500, 3500,Table1[[#This Row],[Amount Spent]])</f>
        <v>421.02699999999999</v>
      </c>
    </row>
    <row r="678" spans="1:16" x14ac:dyDescent="0.35">
      <c r="A678" s="9">
        <v>678</v>
      </c>
      <c r="B678" s="4" t="s">
        <v>63</v>
      </c>
      <c r="C678" s="9" t="s">
        <v>62</v>
      </c>
      <c r="D678" s="9" t="s">
        <v>66</v>
      </c>
      <c r="E678" s="9" t="s">
        <v>70</v>
      </c>
      <c r="F678" s="9">
        <v>1</v>
      </c>
      <c r="G678" s="5">
        <v>20300</v>
      </c>
      <c r="H678" s="4">
        <v>2</v>
      </c>
      <c r="I678" s="9" t="s">
        <v>67</v>
      </c>
      <c r="J678" s="4">
        <v>12</v>
      </c>
      <c r="K678" s="4" t="s">
        <v>14</v>
      </c>
      <c r="L678" s="4" t="s">
        <v>50</v>
      </c>
      <c r="M678" s="4" t="s">
        <v>34</v>
      </c>
      <c r="N678" s="10">
        <v>41282</v>
      </c>
      <c r="O678" s="6">
        <v>180.47200000000001</v>
      </c>
      <c r="P678" s="15">
        <f>IF(Table1[[#This Row],[Amount Spent]]&gt;3500, 3500,Table1[[#This Row],[Amount Spent]])</f>
        <v>180.47200000000001</v>
      </c>
    </row>
    <row r="679" spans="1:16" x14ac:dyDescent="0.35">
      <c r="A679" s="8">
        <v>679</v>
      </c>
      <c r="B679" s="1" t="s">
        <v>65</v>
      </c>
      <c r="C679" s="8" t="s">
        <v>62</v>
      </c>
      <c r="D679" s="8" t="s">
        <v>58</v>
      </c>
      <c r="E679" s="8" t="s">
        <v>2</v>
      </c>
      <c r="F679" s="8">
        <v>1</v>
      </c>
      <c r="G679" s="2">
        <v>118800</v>
      </c>
      <c r="H679" s="1">
        <v>0</v>
      </c>
      <c r="I679" s="8" t="s">
        <v>69</v>
      </c>
      <c r="J679" s="1">
        <v>18</v>
      </c>
      <c r="K679" s="1" t="s">
        <v>12</v>
      </c>
      <c r="L679" s="1" t="s">
        <v>41</v>
      </c>
      <c r="M679" s="1" t="s">
        <v>20</v>
      </c>
      <c r="N679" s="10">
        <v>42145</v>
      </c>
      <c r="O679" s="3">
        <v>2175.9690000000001</v>
      </c>
      <c r="P679" s="15">
        <f>IF(Table1[[#This Row],[Amount Spent]]&gt;3500, 3500,Table1[[#This Row],[Amount Spent]])</f>
        <v>2175.9690000000001</v>
      </c>
    </row>
    <row r="680" spans="1:16" x14ac:dyDescent="0.35">
      <c r="A680" s="9">
        <v>680</v>
      </c>
      <c r="B680" s="4" t="s">
        <v>63</v>
      </c>
      <c r="C680" s="9" t="s">
        <v>61</v>
      </c>
      <c r="D680" s="9" t="s">
        <v>66</v>
      </c>
      <c r="E680" s="9" t="s">
        <v>70</v>
      </c>
      <c r="F680" s="9">
        <v>1</v>
      </c>
      <c r="G680" s="5">
        <v>17600</v>
      </c>
      <c r="H680" s="4">
        <v>0</v>
      </c>
      <c r="I680" s="9" t="s">
        <v>8</v>
      </c>
      <c r="J680" s="4">
        <v>6</v>
      </c>
      <c r="K680" s="4" t="s">
        <v>12</v>
      </c>
      <c r="L680" s="4" t="s">
        <v>47</v>
      </c>
      <c r="M680" s="4" t="s">
        <v>16</v>
      </c>
      <c r="N680" s="10">
        <v>42134</v>
      </c>
      <c r="O680" s="6">
        <v>273.072</v>
      </c>
      <c r="P680" s="15">
        <f>IF(Table1[[#This Row],[Amount Spent]]&gt;3500, 3500,Table1[[#This Row],[Amount Spent]])</f>
        <v>273.072</v>
      </c>
    </row>
    <row r="681" spans="1:16" x14ac:dyDescent="0.35">
      <c r="A681" s="8">
        <v>681</v>
      </c>
      <c r="B681" s="1" t="s">
        <v>64</v>
      </c>
      <c r="C681" s="8" t="s">
        <v>61</v>
      </c>
      <c r="D681" s="8" t="s">
        <v>58</v>
      </c>
      <c r="E681" s="8" t="s">
        <v>2</v>
      </c>
      <c r="F681" s="8">
        <v>0</v>
      </c>
      <c r="G681" s="2">
        <v>88700</v>
      </c>
      <c r="H681" s="1">
        <v>2</v>
      </c>
      <c r="I681" s="8" t="s">
        <v>69</v>
      </c>
      <c r="J681" s="1">
        <v>24</v>
      </c>
      <c r="K681" s="1" t="s">
        <v>14</v>
      </c>
      <c r="L681" s="1" t="s">
        <v>40</v>
      </c>
      <c r="M681" s="1" t="s">
        <v>37</v>
      </c>
      <c r="N681" s="10">
        <v>40717</v>
      </c>
      <c r="O681" s="3">
        <v>2693.4409999999998</v>
      </c>
      <c r="P681" s="15">
        <f>IF(Table1[[#This Row],[Amount Spent]]&gt;3500, 3500,Table1[[#This Row],[Amount Spent]])</f>
        <v>2693.4409999999998</v>
      </c>
    </row>
    <row r="682" spans="1:16" x14ac:dyDescent="0.35">
      <c r="A682" s="9">
        <v>682</v>
      </c>
      <c r="B682" s="4" t="s">
        <v>64</v>
      </c>
      <c r="C682" s="9" t="s">
        <v>62</v>
      </c>
      <c r="D682" s="9" t="s">
        <v>58</v>
      </c>
      <c r="E682" s="9" t="s">
        <v>2</v>
      </c>
      <c r="F682" s="9">
        <v>0</v>
      </c>
      <c r="G682" s="5">
        <v>84900</v>
      </c>
      <c r="H682" s="4">
        <v>1</v>
      </c>
      <c r="I682" s="9" t="s">
        <v>69</v>
      </c>
      <c r="J682" s="4">
        <v>24</v>
      </c>
      <c r="K682" s="4" t="s">
        <v>12</v>
      </c>
      <c r="L682" s="4" t="s">
        <v>47</v>
      </c>
      <c r="M682" s="4" t="s">
        <v>18</v>
      </c>
      <c r="N682" s="10">
        <v>41511</v>
      </c>
      <c r="O682" s="6">
        <v>3072.076</v>
      </c>
      <c r="P682" s="15">
        <f>IF(Table1[[#This Row],[Amount Spent]]&gt;3500, 3500,Table1[[#This Row],[Amount Spent]])</f>
        <v>3072.076</v>
      </c>
    </row>
    <row r="683" spans="1:16" x14ac:dyDescent="0.35">
      <c r="A683" s="8">
        <v>683</v>
      </c>
      <c r="B683" s="1" t="s">
        <v>64</v>
      </c>
      <c r="C683" s="8" t="s">
        <v>61</v>
      </c>
      <c r="D683" s="8" t="s">
        <v>58</v>
      </c>
      <c r="E683" s="8" t="s">
        <v>2</v>
      </c>
      <c r="F683" s="8">
        <v>0</v>
      </c>
      <c r="G683" s="2">
        <v>89500</v>
      </c>
      <c r="H683" s="1">
        <v>0</v>
      </c>
      <c r="I683" s="8" t="s">
        <v>69</v>
      </c>
      <c r="J683" s="1">
        <v>24</v>
      </c>
      <c r="K683" s="1" t="s">
        <v>14</v>
      </c>
      <c r="L683" s="1" t="s">
        <v>50</v>
      </c>
      <c r="M683" s="1" t="s">
        <v>34</v>
      </c>
      <c r="N683" s="10">
        <v>42174</v>
      </c>
      <c r="O683" s="3">
        <v>5208.7179999999998</v>
      </c>
      <c r="P683" s="15">
        <f>IF(Table1[[#This Row],[Amount Spent]]&gt;3500, 3500,Table1[[#This Row],[Amount Spent]])</f>
        <v>3500</v>
      </c>
    </row>
    <row r="684" spans="1:16" x14ac:dyDescent="0.35">
      <c r="A684" s="9">
        <v>684</v>
      </c>
      <c r="B684" s="4" t="s">
        <v>63</v>
      </c>
      <c r="C684" s="9" t="s">
        <v>62</v>
      </c>
      <c r="D684" s="9" t="s">
        <v>66</v>
      </c>
      <c r="E684" s="9" t="s">
        <v>70</v>
      </c>
      <c r="F684" s="9">
        <v>1</v>
      </c>
      <c r="G684" s="5">
        <v>11900</v>
      </c>
      <c r="H684" s="4">
        <v>1</v>
      </c>
      <c r="I684" s="9" t="s">
        <v>67</v>
      </c>
      <c r="J684" s="4">
        <v>6</v>
      </c>
      <c r="K684" s="4" t="s">
        <v>12</v>
      </c>
      <c r="L684" s="4" t="s">
        <v>54</v>
      </c>
      <c r="M684" s="4" t="s">
        <v>21</v>
      </c>
      <c r="N684" s="10">
        <v>41103</v>
      </c>
      <c r="O684" s="6">
        <v>143.46700000000001</v>
      </c>
      <c r="P684" s="15">
        <f>IF(Table1[[#This Row],[Amount Spent]]&gt;3500, 3500,Table1[[#This Row],[Amount Spent]])</f>
        <v>143.46700000000001</v>
      </c>
    </row>
    <row r="685" spans="1:16" x14ac:dyDescent="0.35">
      <c r="A685" s="8">
        <v>685</v>
      </c>
      <c r="B685" s="1" t="s">
        <v>65</v>
      </c>
      <c r="C685" s="8" t="s">
        <v>61</v>
      </c>
      <c r="D685" s="8" t="s">
        <v>58</v>
      </c>
      <c r="E685" s="8" t="s">
        <v>2</v>
      </c>
      <c r="F685" s="8">
        <v>0</v>
      </c>
      <c r="G685" s="2">
        <v>65500</v>
      </c>
      <c r="H685" s="1">
        <v>0</v>
      </c>
      <c r="I685" s="8" t="s">
        <v>69</v>
      </c>
      <c r="J685" s="1">
        <v>24</v>
      </c>
      <c r="K685" s="1" t="s">
        <v>15</v>
      </c>
      <c r="L685" s="1" t="s">
        <v>44</v>
      </c>
      <c r="M685" s="1" t="s">
        <v>29</v>
      </c>
      <c r="N685" s="10">
        <v>40146</v>
      </c>
      <c r="O685" s="3">
        <v>1931.347</v>
      </c>
      <c r="P685" s="15">
        <f>IF(Table1[[#This Row],[Amount Spent]]&gt;3500, 3500,Table1[[#This Row],[Amount Spent]])</f>
        <v>1931.347</v>
      </c>
    </row>
    <row r="686" spans="1:16" x14ac:dyDescent="0.35">
      <c r="A686" s="9">
        <v>686</v>
      </c>
      <c r="B686" s="4" t="s">
        <v>63</v>
      </c>
      <c r="C686" s="9" t="s">
        <v>62</v>
      </c>
      <c r="D686" s="9" t="s">
        <v>66</v>
      </c>
      <c r="E686" s="9" t="s">
        <v>70</v>
      </c>
      <c r="F686" s="9">
        <v>1</v>
      </c>
      <c r="G686" s="5">
        <v>17600</v>
      </c>
      <c r="H686" s="4">
        <v>2</v>
      </c>
      <c r="I686" s="9" t="s">
        <v>67</v>
      </c>
      <c r="J686" s="4">
        <v>18</v>
      </c>
      <c r="K686" s="4" t="s">
        <v>14</v>
      </c>
      <c r="L686" s="4" t="s">
        <v>49</v>
      </c>
      <c r="M686" s="4" t="s">
        <v>39</v>
      </c>
      <c r="N686" s="10">
        <v>41693</v>
      </c>
      <c r="O686" s="6">
        <v>163.084</v>
      </c>
      <c r="P686" s="15">
        <f>IF(Table1[[#This Row],[Amount Spent]]&gt;3500, 3500,Table1[[#This Row],[Amount Spent]])</f>
        <v>163.084</v>
      </c>
    </row>
    <row r="687" spans="1:16" x14ac:dyDescent="0.35">
      <c r="A687" s="8">
        <v>687</v>
      </c>
      <c r="B687" s="1" t="s">
        <v>64</v>
      </c>
      <c r="C687" s="8" t="s">
        <v>62</v>
      </c>
      <c r="D687" s="8" t="s">
        <v>58</v>
      </c>
      <c r="E687" s="8" t="s">
        <v>2</v>
      </c>
      <c r="F687" s="8">
        <v>1</v>
      </c>
      <c r="G687" s="2">
        <v>82400</v>
      </c>
      <c r="H687" s="1">
        <v>2</v>
      </c>
      <c r="I687" s="8" t="s">
        <v>68</v>
      </c>
      <c r="J687" s="1">
        <v>18</v>
      </c>
      <c r="K687" s="1" t="s">
        <v>12</v>
      </c>
      <c r="L687" s="1" t="s">
        <v>53</v>
      </c>
      <c r="M687" s="1" t="s">
        <v>19</v>
      </c>
      <c r="N687" s="10">
        <v>41069</v>
      </c>
      <c r="O687" s="3">
        <v>657.46</v>
      </c>
      <c r="P687" s="15">
        <f>IF(Table1[[#This Row],[Amount Spent]]&gt;3500, 3500,Table1[[#This Row],[Amount Spent]])</f>
        <v>657.46</v>
      </c>
    </row>
    <row r="688" spans="1:16" x14ac:dyDescent="0.35">
      <c r="A688" s="9">
        <v>688</v>
      </c>
      <c r="B688" s="4" t="s">
        <v>64</v>
      </c>
      <c r="C688" s="9" t="s">
        <v>62</v>
      </c>
      <c r="D688" s="9" t="s">
        <v>66</v>
      </c>
      <c r="E688" s="9" t="s">
        <v>70</v>
      </c>
      <c r="F688" s="9">
        <v>1</v>
      </c>
      <c r="G688" s="5">
        <v>40400</v>
      </c>
      <c r="H688" s="4">
        <v>1</v>
      </c>
      <c r="I688" s="9" t="s">
        <v>67</v>
      </c>
      <c r="J688" s="4">
        <v>24</v>
      </c>
      <c r="K688" s="4" t="s">
        <v>15</v>
      </c>
      <c r="L688" s="4" t="s">
        <v>52</v>
      </c>
      <c r="M688" s="4" t="s">
        <v>30</v>
      </c>
      <c r="N688" s="10">
        <v>40035</v>
      </c>
      <c r="O688" s="6">
        <v>630.09100000000001</v>
      </c>
      <c r="P688" s="15">
        <f>IF(Table1[[#This Row],[Amount Spent]]&gt;3500, 3500,Table1[[#This Row],[Amount Spent]])</f>
        <v>630.09100000000001</v>
      </c>
    </row>
    <row r="689" spans="1:16" x14ac:dyDescent="0.35">
      <c r="A689" s="8">
        <v>689</v>
      </c>
      <c r="B689" s="1" t="s">
        <v>64</v>
      </c>
      <c r="C689" s="8" t="s">
        <v>61</v>
      </c>
      <c r="D689" s="8" t="s">
        <v>58</v>
      </c>
      <c r="E689" s="8" t="s">
        <v>2</v>
      </c>
      <c r="F689" s="8">
        <v>1</v>
      </c>
      <c r="G689" s="2">
        <v>70000</v>
      </c>
      <c r="H689" s="1">
        <v>0</v>
      </c>
      <c r="I689" s="8" t="s">
        <v>69</v>
      </c>
      <c r="J689" s="1">
        <v>24</v>
      </c>
      <c r="K689" s="1" t="s">
        <v>15</v>
      </c>
      <c r="L689" s="1" t="s">
        <v>52</v>
      </c>
      <c r="M689" s="1" t="s">
        <v>31</v>
      </c>
      <c r="N689" s="10">
        <v>41736</v>
      </c>
      <c r="O689" s="3">
        <v>1974.242</v>
      </c>
      <c r="P689" s="15">
        <f>IF(Table1[[#This Row],[Amount Spent]]&gt;3500, 3500,Table1[[#This Row],[Amount Spent]])</f>
        <v>1974.242</v>
      </c>
    </row>
    <row r="690" spans="1:16" x14ac:dyDescent="0.35">
      <c r="A690" s="9">
        <v>690</v>
      </c>
      <c r="B690" s="4" t="s">
        <v>63</v>
      </c>
      <c r="C690" s="9" t="s">
        <v>62</v>
      </c>
      <c r="D690" s="9" t="s">
        <v>58</v>
      </c>
      <c r="E690" s="9" t="s">
        <v>70</v>
      </c>
      <c r="F690" s="9">
        <v>1</v>
      </c>
      <c r="G690" s="5">
        <v>44700</v>
      </c>
      <c r="H690" s="4">
        <v>1</v>
      </c>
      <c r="I690" s="9" t="s">
        <v>68</v>
      </c>
      <c r="J690" s="4">
        <v>6</v>
      </c>
      <c r="K690" s="4" t="s">
        <v>13</v>
      </c>
      <c r="L690" s="4" t="s">
        <v>48</v>
      </c>
      <c r="M690" s="4" t="s">
        <v>27</v>
      </c>
      <c r="N690" s="10">
        <v>41669</v>
      </c>
      <c r="O690" s="6">
        <v>501.66</v>
      </c>
      <c r="P690" s="15">
        <f>IF(Table1[[#This Row],[Amount Spent]]&gt;3500, 3500,Table1[[#This Row],[Amount Spent]])</f>
        <v>501.66</v>
      </c>
    </row>
    <row r="691" spans="1:16" x14ac:dyDescent="0.35">
      <c r="A691" s="8">
        <v>691</v>
      </c>
      <c r="B691" s="1" t="s">
        <v>64</v>
      </c>
      <c r="C691" s="8" t="s">
        <v>62</v>
      </c>
      <c r="D691" s="8" t="s">
        <v>58</v>
      </c>
      <c r="E691" s="8" t="s">
        <v>70</v>
      </c>
      <c r="F691" s="8">
        <v>1</v>
      </c>
      <c r="G691" s="2">
        <v>47900</v>
      </c>
      <c r="H691" s="1">
        <v>1</v>
      </c>
      <c r="I691" s="8" t="s">
        <v>68</v>
      </c>
      <c r="J691" s="1">
        <v>24</v>
      </c>
      <c r="K691" s="1" t="s">
        <v>13</v>
      </c>
      <c r="L691" s="1" t="s">
        <v>43</v>
      </c>
      <c r="M691" s="1" t="s">
        <v>23</v>
      </c>
      <c r="N691" s="10">
        <v>40218</v>
      </c>
      <c r="O691" s="3">
        <v>661.80499999999995</v>
      </c>
      <c r="P691" s="15">
        <f>IF(Table1[[#This Row],[Amount Spent]]&gt;3500, 3500,Table1[[#This Row],[Amount Spent]])</f>
        <v>661.80499999999995</v>
      </c>
    </row>
    <row r="692" spans="1:16" x14ac:dyDescent="0.35">
      <c r="A692" s="9">
        <v>692</v>
      </c>
      <c r="B692" s="4" t="s">
        <v>63</v>
      </c>
      <c r="C692" s="9" t="s">
        <v>62</v>
      </c>
      <c r="D692" s="9" t="s">
        <v>66</v>
      </c>
      <c r="E692" s="9" t="s">
        <v>2</v>
      </c>
      <c r="F692" s="9">
        <v>1</v>
      </c>
      <c r="G692" s="5">
        <v>63200</v>
      </c>
      <c r="H692" s="4">
        <v>0</v>
      </c>
      <c r="I692" s="9" t="s">
        <v>69</v>
      </c>
      <c r="J692" s="4">
        <v>24</v>
      </c>
      <c r="K692" s="4" t="s">
        <v>14</v>
      </c>
      <c r="L692" s="4" t="s">
        <v>49</v>
      </c>
      <c r="M692" s="4" t="s">
        <v>39</v>
      </c>
      <c r="N692" s="10">
        <v>41869</v>
      </c>
      <c r="O692" s="6">
        <v>1511.777</v>
      </c>
      <c r="P692" s="15">
        <f>IF(Table1[[#This Row],[Amount Spent]]&gt;3500, 3500,Table1[[#This Row],[Amount Spent]])</f>
        <v>1511.777</v>
      </c>
    </row>
    <row r="693" spans="1:16" x14ac:dyDescent="0.35">
      <c r="A693" s="8">
        <v>693</v>
      </c>
      <c r="B693" s="1" t="s">
        <v>64</v>
      </c>
      <c r="C693" s="8" t="s">
        <v>61</v>
      </c>
      <c r="D693" s="8" t="s">
        <v>58</v>
      </c>
      <c r="E693" s="8" t="s">
        <v>2</v>
      </c>
      <c r="F693" s="8">
        <v>0</v>
      </c>
      <c r="G693" s="2">
        <v>86100</v>
      </c>
      <c r="H693" s="1">
        <v>1</v>
      </c>
      <c r="I693" s="8" t="s">
        <v>8</v>
      </c>
      <c r="J693" s="1">
        <v>12</v>
      </c>
      <c r="K693" s="1" t="s">
        <v>13</v>
      </c>
      <c r="L693" s="1" t="s">
        <v>45</v>
      </c>
      <c r="M693" s="1" t="s">
        <v>26</v>
      </c>
      <c r="N693" s="10">
        <v>42144</v>
      </c>
      <c r="O693" s="3">
        <v>1255.373</v>
      </c>
      <c r="P693" s="15">
        <f>IF(Table1[[#This Row],[Amount Spent]]&gt;3500, 3500,Table1[[#This Row],[Amount Spent]])</f>
        <v>1255.373</v>
      </c>
    </row>
    <row r="694" spans="1:16" x14ac:dyDescent="0.35">
      <c r="A694" s="9">
        <v>694</v>
      </c>
      <c r="B694" s="4" t="s">
        <v>65</v>
      </c>
      <c r="C694" s="9" t="s">
        <v>62</v>
      </c>
      <c r="D694" s="9" t="s">
        <v>58</v>
      </c>
      <c r="E694" s="9" t="s">
        <v>70</v>
      </c>
      <c r="F694" s="9">
        <v>1</v>
      </c>
      <c r="G694" s="5">
        <v>14600</v>
      </c>
      <c r="H694" s="4">
        <v>0</v>
      </c>
      <c r="I694" s="9" t="s">
        <v>67</v>
      </c>
      <c r="J694" s="4">
        <v>24</v>
      </c>
      <c r="K694" s="4" t="s">
        <v>13</v>
      </c>
      <c r="L694" s="4" t="s">
        <v>42</v>
      </c>
      <c r="M694" s="4" t="s">
        <v>25</v>
      </c>
      <c r="N694" s="10">
        <v>40491</v>
      </c>
      <c r="O694" s="6">
        <v>467.68099999999998</v>
      </c>
      <c r="P694" s="15">
        <f>IF(Table1[[#This Row],[Amount Spent]]&gt;3500, 3500,Table1[[#This Row],[Amount Spent]])</f>
        <v>467.68099999999998</v>
      </c>
    </row>
    <row r="695" spans="1:16" x14ac:dyDescent="0.35">
      <c r="A695" s="8">
        <v>695</v>
      </c>
      <c r="B695" s="1" t="s">
        <v>64</v>
      </c>
      <c r="C695" s="8" t="s">
        <v>61</v>
      </c>
      <c r="D695" s="8" t="s">
        <v>58</v>
      </c>
      <c r="E695" s="8" t="s">
        <v>70</v>
      </c>
      <c r="F695" s="8">
        <v>1</v>
      </c>
      <c r="G695" s="2">
        <v>62900</v>
      </c>
      <c r="H695" s="1">
        <v>0</v>
      </c>
      <c r="I695" s="8" t="s">
        <v>8</v>
      </c>
      <c r="J695" s="1">
        <v>24</v>
      </c>
      <c r="K695" s="1" t="s">
        <v>12</v>
      </c>
      <c r="L695" s="1" t="s">
        <v>41</v>
      </c>
      <c r="M695" s="1" t="s">
        <v>20</v>
      </c>
      <c r="N695" s="10">
        <v>42161</v>
      </c>
      <c r="O695" s="3">
        <v>2561.114</v>
      </c>
      <c r="P695" s="15">
        <f>IF(Table1[[#This Row],[Amount Spent]]&gt;3500, 3500,Table1[[#This Row],[Amount Spent]])</f>
        <v>2561.114</v>
      </c>
    </row>
    <row r="696" spans="1:16" x14ac:dyDescent="0.35">
      <c r="A696" s="9">
        <v>696</v>
      </c>
      <c r="B696" s="4" t="s">
        <v>63</v>
      </c>
      <c r="C696" s="9" t="s">
        <v>61</v>
      </c>
      <c r="D696" s="9" t="s">
        <v>58</v>
      </c>
      <c r="E696" s="9" t="s">
        <v>70</v>
      </c>
      <c r="F696" s="9">
        <v>1</v>
      </c>
      <c r="G696" s="5">
        <v>23200</v>
      </c>
      <c r="H696" s="4">
        <v>0</v>
      </c>
      <c r="I696" s="9" t="s">
        <v>8</v>
      </c>
      <c r="J696" s="4">
        <v>24</v>
      </c>
      <c r="K696" s="4" t="s">
        <v>15</v>
      </c>
      <c r="L696" s="4" t="s">
        <v>42</v>
      </c>
      <c r="M696" s="4" t="s">
        <v>32</v>
      </c>
      <c r="N696" s="10">
        <v>42136</v>
      </c>
      <c r="O696" s="6">
        <v>533.78499999999997</v>
      </c>
      <c r="P696" s="15">
        <f>IF(Table1[[#This Row],[Amount Spent]]&gt;3500, 3500,Table1[[#This Row],[Amount Spent]])</f>
        <v>533.78499999999997</v>
      </c>
    </row>
    <row r="697" spans="1:16" x14ac:dyDescent="0.35">
      <c r="A697" s="8">
        <v>697</v>
      </c>
      <c r="B697" s="1" t="s">
        <v>64</v>
      </c>
      <c r="C697" s="8" t="s">
        <v>62</v>
      </c>
      <c r="D697" s="8" t="s">
        <v>58</v>
      </c>
      <c r="E697" s="8" t="s">
        <v>70</v>
      </c>
      <c r="F697" s="8">
        <v>0</v>
      </c>
      <c r="G697" s="2">
        <v>52600</v>
      </c>
      <c r="H697" s="1">
        <v>2</v>
      </c>
      <c r="I697" s="8" t="s">
        <v>68</v>
      </c>
      <c r="J697" s="1">
        <v>12</v>
      </c>
      <c r="K697" s="1" t="s">
        <v>15</v>
      </c>
      <c r="L697" s="1" t="s">
        <v>28</v>
      </c>
      <c r="M697" s="1" t="s">
        <v>28</v>
      </c>
      <c r="N697" s="10">
        <v>40665</v>
      </c>
      <c r="O697" s="3">
        <v>1307.0039999999999</v>
      </c>
      <c r="P697" s="15">
        <f>IF(Table1[[#This Row],[Amount Spent]]&gt;3500, 3500,Table1[[#This Row],[Amount Spent]])</f>
        <v>1307.0039999999999</v>
      </c>
    </row>
    <row r="698" spans="1:16" x14ac:dyDescent="0.35">
      <c r="A698" s="9">
        <v>698</v>
      </c>
      <c r="B698" s="4" t="s">
        <v>64</v>
      </c>
      <c r="C698" s="9" t="s">
        <v>61</v>
      </c>
      <c r="D698" s="9" t="s">
        <v>66</v>
      </c>
      <c r="E698" s="9" t="s">
        <v>70</v>
      </c>
      <c r="F698" s="9">
        <v>1</v>
      </c>
      <c r="G698" s="5">
        <v>53900</v>
      </c>
      <c r="H698" s="4">
        <v>1</v>
      </c>
      <c r="I698" s="9" t="s">
        <v>68</v>
      </c>
      <c r="J698" s="4">
        <v>6</v>
      </c>
      <c r="K698" s="4" t="s">
        <v>15</v>
      </c>
      <c r="L698" s="4" t="s">
        <v>44</v>
      </c>
      <c r="M698" s="4" t="s">
        <v>29</v>
      </c>
      <c r="N698" s="10">
        <v>41906</v>
      </c>
      <c r="O698" s="6">
        <v>735.06799999999998</v>
      </c>
      <c r="P698" s="15">
        <f>IF(Table1[[#This Row],[Amount Spent]]&gt;3500, 3500,Table1[[#This Row],[Amount Spent]])</f>
        <v>735.06799999999998</v>
      </c>
    </row>
    <row r="699" spans="1:16" x14ac:dyDescent="0.35">
      <c r="A699" s="8">
        <v>699</v>
      </c>
      <c r="B699" s="1" t="s">
        <v>64</v>
      </c>
      <c r="C699" s="8" t="s">
        <v>61</v>
      </c>
      <c r="D699" s="8" t="s">
        <v>58</v>
      </c>
      <c r="E699" s="8" t="s">
        <v>2</v>
      </c>
      <c r="F699" s="8">
        <v>1</v>
      </c>
      <c r="G699" s="2">
        <v>100100</v>
      </c>
      <c r="H699" s="1">
        <v>2</v>
      </c>
      <c r="I699" s="8" t="s">
        <v>8</v>
      </c>
      <c r="J699" s="1">
        <v>6</v>
      </c>
      <c r="K699" s="1" t="s">
        <v>12</v>
      </c>
      <c r="L699" s="1" t="s">
        <v>47</v>
      </c>
      <c r="M699" s="1" t="s">
        <v>18</v>
      </c>
      <c r="N699" s="10">
        <v>42206</v>
      </c>
      <c r="O699" s="3">
        <v>1596.9090000000001</v>
      </c>
      <c r="P699" s="15">
        <f>IF(Table1[[#This Row],[Amount Spent]]&gt;3500, 3500,Table1[[#This Row],[Amount Spent]])</f>
        <v>1596.9090000000001</v>
      </c>
    </row>
    <row r="700" spans="1:16" x14ac:dyDescent="0.35">
      <c r="A700" s="9">
        <v>700</v>
      </c>
      <c r="B700" s="4" t="s">
        <v>64</v>
      </c>
      <c r="C700" s="9" t="s">
        <v>61</v>
      </c>
      <c r="D700" s="9" t="s">
        <v>66</v>
      </c>
      <c r="E700" s="9" t="s">
        <v>70</v>
      </c>
      <c r="F700" s="9">
        <v>0</v>
      </c>
      <c r="G700" s="5">
        <v>50000</v>
      </c>
      <c r="H700" s="4">
        <v>1</v>
      </c>
      <c r="I700" s="9" t="s">
        <v>8</v>
      </c>
      <c r="J700" s="4">
        <v>6</v>
      </c>
      <c r="K700" s="4" t="s">
        <v>15</v>
      </c>
      <c r="L700" s="4" t="s">
        <v>52</v>
      </c>
      <c r="M700" s="4" t="s">
        <v>31</v>
      </c>
      <c r="N700" s="10">
        <v>42188</v>
      </c>
      <c r="O700" s="6">
        <v>1079.4970000000001</v>
      </c>
      <c r="P700" s="15">
        <f>IF(Table1[[#This Row],[Amount Spent]]&gt;3500, 3500,Table1[[#This Row],[Amount Spent]])</f>
        <v>1079.4970000000001</v>
      </c>
    </row>
    <row r="701" spans="1:16" x14ac:dyDescent="0.35">
      <c r="A701" s="8">
        <v>701</v>
      </c>
      <c r="B701" s="1" t="s">
        <v>65</v>
      </c>
      <c r="C701" s="8" t="s">
        <v>62</v>
      </c>
      <c r="D701" s="8" t="s">
        <v>66</v>
      </c>
      <c r="E701" s="8" t="s">
        <v>2</v>
      </c>
      <c r="F701" s="8">
        <v>1</v>
      </c>
      <c r="G701" s="2">
        <v>97000</v>
      </c>
      <c r="H701" s="1">
        <v>0</v>
      </c>
      <c r="I701" s="8" t="s">
        <v>8</v>
      </c>
      <c r="J701" s="1">
        <v>24</v>
      </c>
      <c r="K701" s="1" t="s">
        <v>13</v>
      </c>
      <c r="L701" s="1" t="s">
        <v>43</v>
      </c>
      <c r="M701" s="1" t="s">
        <v>23</v>
      </c>
      <c r="N701" s="10">
        <v>42245</v>
      </c>
      <c r="O701" s="3">
        <v>2599.1129999999998</v>
      </c>
      <c r="P701" s="15">
        <f>IF(Table1[[#This Row],[Amount Spent]]&gt;3500, 3500,Table1[[#This Row],[Amount Spent]])</f>
        <v>2599.1129999999998</v>
      </c>
    </row>
    <row r="702" spans="1:16" x14ac:dyDescent="0.35">
      <c r="A702" s="9">
        <v>702</v>
      </c>
      <c r="B702" s="4" t="s">
        <v>65</v>
      </c>
      <c r="C702" s="9" t="s">
        <v>62</v>
      </c>
      <c r="D702" s="9" t="s">
        <v>58</v>
      </c>
      <c r="E702" s="9" t="s">
        <v>2</v>
      </c>
      <c r="F702" s="9">
        <v>1</v>
      </c>
      <c r="G702" s="5">
        <v>35000</v>
      </c>
      <c r="H702" s="4">
        <v>0</v>
      </c>
      <c r="I702" s="9" t="s">
        <v>68</v>
      </c>
      <c r="J702" s="4">
        <v>6</v>
      </c>
      <c r="K702" s="4" t="s">
        <v>13</v>
      </c>
      <c r="L702" s="4" t="s">
        <v>43</v>
      </c>
      <c r="M702" s="4" t="s">
        <v>23</v>
      </c>
      <c r="N702" s="10">
        <v>39839</v>
      </c>
      <c r="O702" s="6">
        <v>473.17599999999999</v>
      </c>
      <c r="P702" s="15">
        <f>IF(Table1[[#This Row],[Amount Spent]]&gt;3500, 3500,Table1[[#This Row],[Amount Spent]])</f>
        <v>473.17599999999999</v>
      </c>
    </row>
    <row r="703" spans="1:16" x14ac:dyDescent="0.35">
      <c r="A703" s="8">
        <v>703</v>
      </c>
      <c r="B703" s="1" t="s">
        <v>63</v>
      </c>
      <c r="C703" s="8" t="s">
        <v>61</v>
      </c>
      <c r="D703" s="8" t="s">
        <v>58</v>
      </c>
      <c r="E703" s="8" t="s">
        <v>70</v>
      </c>
      <c r="F703" s="8">
        <v>0</v>
      </c>
      <c r="G703" s="2">
        <v>39600</v>
      </c>
      <c r="H703" s="1">
        <v>0</v>
      </c>
      <c r="I703" s="8" t="s">
        <v>8</v>
      </c>
      <c r="J703" s="1">
        <v>12</v>
      </c>
      <c r="K703" s="1" t="s">
        <v>14</v>
      </c>
      <c r="L703" s="1" t="s">
        <v>40</v>
      </c>
      <c r="M703" s="1" t="s">
        <v>36</v>
      </c>
      <c r="N703" s="10">
        <v>42242</v>
      </c>
      <c r="O703" s="3">
        <v>1085.203</v>
      </c>
      <c r="P703" s="15">
        <f>IF(Table1[[#This Row],[Amount Spent]]&gt;3500, 3500,Table1[[#This Row],[Amount Spent]])</f>
        <v>1085.203</v>
      </c>
    </row>
    <row r="704" spans="1:16" x14ac:dyDescent="0.35">
      <c r="A704" s="9">
        <v>704</v>
      </c>
      <c r="B704" s="4" t="s">
        <v>65</v>
      </c>
      <c r="C704" s="9" t="s">
        <v>62</v>
      </c>
      <c r="D704" s="9" t="s">
        <v>66</v>
      </c>
      <c r="E704" s="9" t="s">
        <v>2</v>
      </c>
      <c r="F704" s="9">
        <v>1</v>
      </c>
      <c r="G704" s="5">
        <v>46900</v>
      </c>
      <c r="H704" s="4">
        <v>0</v>
      </c>
      <c r="I704" s="9" t="s">
        <v>68</v>
      </c>
      <c r="J704" s="4">
        <v>6</v>
      </c>
      <c r="K704" s="4" t="s">
        <v>15</v>
      </c>
      <c r="L704" s="4" t="s">
        <v>52</v>
      </c>
      <c r="M704" s="4" t="s">
        <v>30</v>
      </c>
      <c r="N704" s="10">
        <v>41251</v>
      </c>
      <c r="O704" s="6">
        <v>702.63199999999995</v>
      </c>
      <c r="P704" s="15">
        <f>IF(Table1[[#This Row],[Amount Spent]]&gt;3500, 3500,Table1[[#This Row],[Amount Spent]])</f>
        <v>702.63199999999995</v>
      </c>
    </row>
    <row r="705" spans="1:16" x14ac:dyDescent="0.35">
      <c r="A705" s="8">
        <v>705</v>
      </c>
      <c r="B705" s="1" t="s">
        <v>65</v>
      </c>
      <c r="C705" s="8" t="s">
        <v>61</v>
      </c>
      <c r="D705" s="8" t="s">
        <v>66</v>
      </c>
      <c r="E705" s="8" t="s">
        <v>2</v>
      </c>
      <c r="F705" s="8">
        <v>1</v>
      </c>
      <c r="G705" s="2">
        <v>81800</v>
      </c>
      <c r="H705" s="1">
        <v>0</v>
      </c>
      <c r="I705" s="8" t="s">
        <v>69</v>
      </c>
      <c r="J705" s="1">
        <v>6</v>
      </c>
      <c r="K705" s="1" t="s">
        <v>15</v>
      </c>
      <c r="L705" s="1" t="s">
        <v>44</v>
      </c>
      <c r="M705" s="1" t="s">
        <v>29</v>
      </c>
      <c r="N705" s="10">
        <v>41485</v>
      </c>
      <c r="O705" s="3">
        <v>918.78300000000002</v>
      </c>
      <c r="P705" s="15">
        <f>IF(Table1[[#This Row],[Amount Spent]]&gt;3500, 3500,Table1[[#This Row],[Amount Spent]])</f>
        <v>918.78300000000002</v>
      </c>
    </row>
    <row r="706" spans="1:16" x14ac:dyDescent="0.35">
      <c r="A706" s="9">
        <v>706</v>
      </c>
      <c r="B706" s="4" t="s">
        <v>64</v>
      </c>
      <c r="C706" s="9" t="s">
        <v>61</v>
      </c>
      <c r="D706" s="9" t="s">
        <v>58</v>
      </c>
      <c r="E706" s="9" t="s">
        <v>2</v>
      </c>
      <c r="F706" s="9">
        <v>1</v>
      </c>
      <c r="G706" s="5">
        <v>99200</v>
      </c>
      <c r="H706" s="4">
        <v>3</v>
      </c>
      <c r="I706" s="9" t="s">
        <v>8</v>
      </c>
      <c r="J706" s="4">
        <v>12</v>
      </c>
      <c r="K706" s="4" t="s">
        <v>12</v>
      </c>
      <c r="L706" s="4" t="s">
        <v>54</v>
      </c>
      <c r="M706" s="4" t="s">
        <v>21</v>
      </c>
      <c r="N706" s="10">
        <v>42206</v>
      </c>
      <c r="O706" s="6">
        <v>2796.33</v>
      </c>
      <c r="P706" s="15">
        <f>IF(Table1[[#This Row],[Amount Spent]]&gt;3500, 3500,Table1[[#This Row],[Amount Spent]])</f>
        <v>2796.33</v>
      </c>
    </row>
    <row r="707" spans="1:16" x14ac:dyDescent="0.35">
      <c r="A707" s="8">
        <v>707</v>
      </c>
      <c r="B707" s="1" t="s">
        <v>64</v>
      </c>
      <c r="C707" s="8" t="s">
        <v>62</v>
      </c>
      <c r="D707" s="8" t="s">
        <v>66</v>
      </c>
      <c r="E707" s="8" t="s">
        <v>2</v>
      </c>
      <c r="F707" s="8">
        <v>0</v>
      </c>
      <c r="G707" s="2">
        <v>75800</v>
      </c>
      <c r="H707" s="1">
        <v>1</v>
      </c>
      <c r="I707" s="8" t="s">
        <v>69</v>
      </c>
      <c r="J707" s="1">
        <v>12</v>
      </c>
      <c r="K707" s="1" t="s">
        <v>15</v>
      </c>
      <c r="L707" s="1" t="s">
        <v>52</v>
      </c>
      <c r="M707" s="1" t="s">
        <v>31</v>
      </c>
      <c r="N707" s="10">
        <v>41173</v>
      </c>
      <c r="O707" s="3">
        <v>1829.99</v>
      </c>
      <c r="P707" s="15">
        <f>IF(Table1[[#This Row],[Amount Spent]]&gt;3500, 3500,Table1[[#This Row],[Amount Spent]])</f>
        <v>1829.99</v>
      </c>
    </row>
    <row r="708" spans="1:16" x14ac:dyDescent="0.35">
      <c r="A708" s="9">
        <v>708</v>
      </c>
      <c r="B708" s="4" t="s">
        <v>63</v>
      </c>
      <c r="C708" s="9" t="s">
        <v>62</v>
      </c>
      <c r="D708" s="9" t="s">
        <v>66</v>
      </c>
      <c r="E708" s="9" t="s">
        <v>70</v>
      </c>
      <c r="F708" s="9">
        <v>1</v>
      </c>
      <c r="G708" s="5">
        <v>14500</v>
      </c>
      <c r="H708" s="4">
        <v>1</v>
      </c>
      <c r="I708" s="9" t="s">
        <v>67</v>
      </c>
      <c r="J708" s="4">
        <v>6</v>
      </c>
      <c r="K708" s="4" t="s">
        <v>12</v>
      </c>
      <c r="L708" s="4" t="s">
        <v>41</v>
      </c>
      <c r="M708" s="4" t="s">
        <v>20</v>
      </c>
      <c r="N708" s="10">
        <v>40629</v>
      </c>
      <c r="O708" s="6">
        <v>182.62799999999999</v>
      </c>
      <c r="P708" s="15">
        <f>IF(Table1[[#This Row],[Amount Spent]]&gt;3500, 3500,Table1[[#This Row],[Amount Spent]])</f>
        <v>182.62799999999999</v>
      </c>
    </row>
    <row r="709" spans="1:16" x14ac:dyDescent="0.35">
      <c r="A709" s="8">
        <v>709</v>
      </c>
      <c r="B709" s="1" t="s">
        <v>63</v>
      </c>
      <c r="C709" s="8" t="s">
        <v>62</v>
      </c>
      <c r="D709" s="8" t="s">
        <v>66</v>
      </c>
      <c r="E709" s="8" t="s">
        <v>70</v>
      </c>
      <c r="F709" s="8">
        <v>0</v>
      </c>
      <c r="G709" s="2">
        <v>19700</v>
      </c>
      <c r="H709" s="1">
        <v>2</v>
      </c>
      <c r="I709" s="8" t="s">
        <v>67</v>
      </c>
      <c r="J709" s="1">
        <v>6</v>
      </c>
      <c r="K709" s="1" t="s">
        <v>14</v>
      </c>
      <c r="L709" s="1" t="s">
        <v>50</v>
      </c>
      <c r="M709" s="1" t="s">
        <v>34</v>
      </c>
      <c r="N709" s="10">
        <v>40402</v>
      </c>
      <c r="O709" s="3">
        <v>330.21800000000002</v>
      </c>
      <c r="P709" s="15">
        <f>IF(Table1[[#This Row],[Amount Spent]]&gt;3500, 3500,Table1[[#This Row],[Amount Spent]])</f>
        <v>330.21800000000002</v>
      </c>
    </row>
    <row r="710" spans="1:16" x14ac:dyDescent="0.35">
      <c r="A710" s="9">
        <v>710</v>
      </c>
      <c r="B710" s="4" t="s">
        <v>64</v>
      </c>
      <c r="C710" s="9" t="s">
        <v>61</v>
      </c>
      <c r="D710" s="9" t="s">
        <v>66</v>
      </c>
      <c r="E710" s="9" t="s">
        <v>70</v>
      </c>
      <c r="F710" s="9">
        <v>1</v>
      </c>
      <c r="G710" s="5">
        <v>43200</v>
      </c>
      <c r="H710" s="4">
        <v>0</v>
      </c>
      <c r="I710" s="9" t="s">
        <v>8</v>
      </c>
      <c r="J710" s="4">
        <v>24</v>
      </c>
      <c r="K710" s="4" t="s">
        <v>13</v>
      </c>
      <c r="L710" s="4" t="s">
        <v>56</v>
      </c>
      <c r="M710" s="4" t="s">
        <v>24</v>
      </c>
      <c r="N710" s="10">
        <v>42054</v>
      </c>
      <c r="O710" s="6">
        <v>916.71199999999999</v>
      </c>
      <c r="P710" s="15">
        <f>IF(Table1[[#This Row],[Amount Spent]]&gt;3500, 3500,Table1[[#This Row],[Amount Spent]])</f>
        <v>916.71199999999999</v>
      </c>
    </row>
    <row r="711" spans="1:16" x14ac:dyDescent="0.35">
      <c r="A711" s="8">
        <v>711</v>
      </c>
      <c r="B711" s="1" t="s">
        <v>63</v>
      </c>
      <c r="C711" s="8" t="s">
        <v>61</v>
      </c>
      <c r="D711" s="8" t="s">
        <v>66</v>
      </c>
      <c r="E711" s="8" t="s">
        <v>70</v>
      </c>
      <c r="F711" s="8">
        <v>1</v>
      </c>
      <c r="G711" s="2">
        <v>14400</v>
      </c>
      <c r="H711" s="1">
        <v>0</v>
      </c>
      <c r="I711" s="8" t="s">
        <v>8</v>
      </c>
      <c r="J711" s="1">
        <v>24</v>
      </c>
      <c r="K711" s="1" t="s">
        <v>13</v>
      </c>
      <c r="L711" s="1" t="s">
        <v>56</v>
      </c>
      <c r="M711" s="1" t="s">
        <v>24</v>
      </c>
      <c r="N711" s="10">
        <v>42096</v>
      </c>
      <c r="O711" s="3">
        <v>615.16099999999994</v>
      </c>
      <c r="P711" s="15">
        <f>IF(Table1[[#This Row],[Amount Spent]]&gt;3500, 3500,Table1[[#This Row],[Amount Spent]])</f>
        <v>615.16099999999994</v>
      </c>
    </row>
    <row r="712" spans="1:16" x14ac:dyDescent="0.35">
      <c r="A712" s="9">
        <v>712</v>
      </c>
      <c r="B712" s="4" t="s">
        <v>63</v>
      </c>
      <c r="C712" s="9" t="s">
        <v>61</v>
      </c>
      <c r="D712" s="9" t="s">
        <v>66</v>
      </c>
      <c r="E712" s="9" t="s">
        <v>2</v>
      </c>
      <c r="F712" s="9">
        <v>0</v>
      </c>
      <c r="G712" s="5">
        <v>43500</v>
      </c>
      <c r="H712" s="4">
        <v>1</v>
      </c>
      <c r="I712" s="9" t="s">
        <v>68</v>
      </c>
      <c r="J712" s="4">
        <v>12</v>
      </c>
      <c r="K712" s="4" t="s">
        <v>13</v>
      </c>
      <c r="L712" s="4" t="s">
        <v>42</v>
      </c>
      <c r="M712" s="4" t="s">
        <v>25</v>
      </c>
      <c r="N712" s="10">
        <v>41578</v>
      </c>
      <c r="O712" s="6">
        <v>807.70699999999999</v>
      </c>
      <c r="P712" s="15">
        <f>IF(Table1[[#This Row],[Amount Spent]]&gt;3500, 3500,Table1[[#This Row],[Amount Spent]])</f>
        <v>807.70699999999999</v>
      </c>
    </row>
    <row r="713" spans="1:16" x14ac:dyDescent="0.35">
      <c r="A713" s="8">
        <v>713</v>
      </c>
      <c r="B713" s="1" t="s">
        <v>64</v>
      </c>
      <c r="C713" s="8" t="s">
        <v>61</v>
      </c>
      <c r="D713" s="8" t="s">
        <v>58</v>
      </c>
      <c r="E713" s="8" t="s">
        <v>70</v>
      </c>
      <c r="F713" s="8">
        <v>1</v>
      </c>
      <c r="G713" s="2">
        <v>55500</v>
      </c>
      <c r="H713" s="1">
        <v>3</v>
      </c>
      <c r="I713" s="8" t="s">
        <v>67</v>
      </c>
      <c r="J713" s="1">
        <v>18</v>
      </c>
      <c r="K713" s="1" t="s">
        <v>13</v>
      </c>
      <c r="L713" s="1" t="s">
        <v>56</v>
      </c>
      <c r="M713" s="1" t="s">
        <v>24</v>
      </c>
      <c r="N713" s="10">
        <v>42204</v>
      </c>
      <c r="O713" s="3">
        <v>427.17599999999999</v>
      </c>
      <c r="P713" s="15">
        <f>IF(Table1[[#This Row],[Amount Spent]]&gt;3500, 3500,Table1[[#This Row],[Amount Spent]])</f>
        <v>427.17599999999999</v>
      </c>
    </row>
    <row r="714" spans="1:16" x14ac:dyDescent="0.35">
      <c r="A714" s="9">
        <v>714</v>
      </c>
      <c r="B714" s="4" t="s">
        <v>64</v>
      </c>
      <c r="C714" s="9" t="s">
        <v>62</v>
      </c>
      <c r="D714" s="9" t="s">
        <v>58</v>
      </c>
      <c r="E714" s="9" t="s">
        <v>2</v>
      </c>
      <c r="F714" s="9">
        <v>1</v>
      </c>
      <c r="G714" s="5">
        <v>108100</v>
      </c>
      <c r="H714" s="4">
        <v>1</v>
      </c>
      <c r="I714" s="9" t="s">
        <v>69</v>
      </c>
      <c r="J714" s="4">
        <v>12</v>
      </c>
      <c r="K714" s="4" t="s">
        <v>13</v>
      </c>
      <c r="L714" s="4" t="s">
        <v>43</v>
      </c>
      <c r="M714" s="4" t="s">
        <v>23</v>
      </c>
      <c r="N714" s="10">
        <v>40215</v>
      </c>
      <c r="O714" s="6">
        <v>1133.433</v>
      </c>
      <c r="P714" s="15">
        <f>IF(Table1[[#This Row],[Amount Spent]]&gt;3500, 3500,Table1[[#This Row],[Amount Spent]])</f>
        <v>1133.433</v>
      </c>
    </row>
    <row r="715" spans="1:16" x14ac:dyDescent="0.35">
      <c r="A715" s="8">
        <v>715</v>
      </c>
      <c r="B715" s="1" t="s">
        <v>64</v>
      </c>
      <c r="C715" s="8" t="s">
        <v>62</v>
      </c>
      <c r="D715" s="8" t="s">
        <v>66</v>
      </c>
      <c r="E715" s="8" t="s">
        <v>70</v>
      </c>
      <c r="F715" s="8">
        <v>1</v>
      </c>
      <c r="G715" s="2">
        <v>33200</v>
      </c>
      <c r="H715" s="1">
        <v>1</v>
      </c>
      <c r="I715" s="8" t="s">
        <v>8</v>
      </c>
      <c r="J715" s="1">
        <v>6</v>
      </c>
      <c r="K715" s="1" t="s">
        <v>12</v>
      </c>
      <c r="L715" s="1" t="s">
        <v>55</v>
      </c>
      <c r="M715" s="1" t="s">
        <v>17</v>
      </c>
      <c r="N715" s="10">
        <v>42204</v>
      </c>
      <c r="O715" s="3">
        <v>320.34399999999999</v>
      </c>
      <c r="P715" s="15">
        <f>IF(Table1[[#This Row],[Amount Spent]]&gt;3500, 3500,Table1[[#This Row],[Amount Spent]])</f>
        <v>320.34399999999999</v>
      </c>
    </row>
    <row r="716" spans="1:16" x14ac:dyDescent="0.35">
      <c r="A716" s="9">
        <v>716</v>
      </c>
      <c r="B716" s="4" t="s">
        <v>64</v>
      </c>
      <c r="C716" s="9" t="s">
        <v>61</v>
      </c>
      <c r="D716" s="9" t="s">
        <v>58</v>
      </c>
      <c r="E716" s="9" t="s">
        <v>2</v>
      </c>
      <c r="F716" s="9">
        <v>0</v>
      </c>
      <c r="G716" s="5">
        <v>98900</v>
      </c>
      <c r="H716" s="4">
        <v>0</v>
      </c>
      <c r="I716" s="9" t="s">
        <v>8</v>
      </c>
      <c r="J716" s="4">
        <v>18</v>
      </c>
      <c r="K716" s="4" t="s">
        <v>15</v>
      </c>
      <c r="L716" s="4" t="s">
        <v>52</v>
      </c>
      <c r="M716" s="4" t="s">
        <v>30</v>
      </c>
      <c r="N716" s="10">
        <v>42074</v>
      </c>
      <c r="O716" s="6">
        <v>3126.18</v>
      </c>
      <c r="P716" s="15">
        <f>IF(Table1[[#This Row],[Amount Spent]]&gt;3500, 3500,Table1[[#This Row],[Amount Spent]])</f>
        <v>3126.18</v>
      </c>
    </row>
    <row r="717" spans="1:16" x14ac:dyDescent="0.35">
      <c r="A717" s="8">
        <v>717</v>
      </c>
      <c r="B717" s="1" t="s">
        <v>65</v>
      </c>
      <c r="C717" s="8" t="s">
        <v>62</v>
      </c>
      <c r="D717" s="8" t="s">
        <v>58</v>
      </c>
      <c r="E717" s="8" t="s">
        <v>2</v>
      </c>
      <c r="F717" s="8">
        <v>0</v>
      </c>
      <c r="G717" s="2">
        <v>81400</v>
      </c>
      <c r="H717" s="1">
        <v>0</v>
      </c>
      <c r="I717" s="8" t="s">
        <v>69</v>
      </c>
      <c r="J717" s="1">
        <v>24</v>
      </c>
      <c r="K717" s="1" t="s">
        <v>14</v>
      </c>
      <c r="L717" s="1" t="s">
        <v>40</v>
      </c>
      <c r="M717" s="1" t="s">
        <v>37</v>
      </c>
      <c r="N717" s="10">
        <v>41153</v>
      </c>
      <c r="O717" s="3">
        <v>3000.6179999999999</v>
      </c>
      <c r="P717" s="15">
        <f>IF(Table1[[#This Row],[Amount Spent]]&gt;3500, 3500,Table1[[#This Row],[Amount Spent]])</f>
        <v>3000.6179999999999</v>
      </c>
    </row>
    <row r="718" spans="1:16" x14ac:dyDescent="0.35">
      <c r="A718" s="9">
        <v>718</v>
      </c>
      <c r="B718" s="4" t="s">
        <v>63</v>
      </c>
      <c r="C718" s="9" t="s">
        <v>62</v>
      </c>
      <c r="D718" s="9" t="s">
        <v>66</v>
      </c>
      <c r="E718" s="9" t="s">
        <v>70</v>
      </c>
      <c r="F718" s="9">
        <v>1</v>
      </c>
      <c r="G718" s="5">
        <v>20100</v>
      </c>
      <c r="H718" s="4">
        <v>1</v>
      </c>
      <c r="I718" s="9" t="s">
        <v>67</v>
      </c>
      <c r="J718" s="4">
        <v>12</v>
      </c>
      <c r="K718" s="4" t="s">
        <v>12</v>
      </c>
      <c r="L718" s="4" t="s">
        <v>54</v>
      </c>
      <c r="M718" s="4" t="s">
        <v>21</v>
      </c>
      <c r="N718" s="10">
        <v>40136</v>
      </c>
      <c r="O718" s="6">
        <v>270.50599999999997</v>
      </c>
      <c r="P718" s="15">
        <f>IF(Table1[[#This Row],[Amount Spent]]&gt;3500, 3500,Table1[[#This Row],[Amount Spent]])</f>
        <v>270.50599999999997</v>
      </c>
    </row>
    <row r="719" spans="1:16" x14ac:dyDescent="0.35">
      <c r="A719" s="8">
        <v>719</v>
      </c>
      <c r="B719" s="1" t="s">
        <v>63</v>
      </c>
      <c r="C719" s="8" t="s">
        <v>62</v>
      </c>
      <c r="D719" s="8" t="s">
        <v>66</v>
      </c>
      <c r="E719" s="8" t="s">
        <v>70</v>
      </c>
      <c r="F719" s="8">
        <v>1</v>
      </c>
      <c r="G719" s="2">
        <v>12000</v>
      </c>
      <c r="H719" s="1">
        <v>0</v>
      </c>
      <c r="I719" s="8" t="s">
        <v>67</v>
      </c>
      <c r="J719" s="1">
        <v>6</v>
      </c>
      <c r="K719" s="1" t="s">
        <v>14</v>
      </c>
      <c r="L719" s="1" t="s">
        <v>50</v>
      </c>
      <c r="M719" s="1" t="s">
        <v>34</v>
      </c>
      <c r="N719" s="10">
        <v>41035</v>
      </c>
      <c r="O719" s="3">
        <v>140.29900000000001</v>
      </c>
      <c r="P719" s="15">
        <f>IF(Table1[[#This Row],[Amount Spent]]&gt;3500, 3500,Table1[[#This Row],[Amount Spent]])</f>
        <v>140.29900000000001</v>
      </c>
    </row>
    <row r="720" spans="1:16" x14ac:dyDescent="0.35">
      <c r="A720" s="9">
        <v>720</v>
      </c>
      <c r="B720" s="4" t="s">
        <v>64</v>
      </c>
      <c r="C720" s="9" t="s">
        <v>61</v>
      </c>
      <c r="D720" s="9" t="s">
        <v>66</v>
      </c>
      <c r="E720" s="9" t="s">
        <v>2</v>
      </c>
      <c r="F720" s="9">
        <v>1</v>
      </c>
      <c r="G720" s="5">
        <v>79500</v>
      </c>
      <c r="H720" s="4">
        <v>0</v>
      </c>
      <c r="I720" s="9" t="s">
        <v>69</v>
      </c>
      <c r="J720" s="4">
        <v>18</v>
      </c>
      <c r="K720" s="4" t="s">
        <v>14</v>
      </c>
      <c r="L720" s="4" t="s">
        <v>50</v>
      </c>
      <c r="M720" s="4" t="s">
        <v>34</v>
      </c>
      <c r="N720" s="10">
        <v>41539</v>
      </c>
      <c r="O720" s="6">
        <v>1763.296</v>
      </c>
      <c r="P720" s="15">
        <f>IF(Table1[[#This Row],[Amount Spent]]&gt;3500, 3500,Table1[[#This Row],[Amount Spent]])</f>
        <v>1763.296</v>
      </c>
    </row>
    <row r="721" spans="1:16" x14ac:dyDescent="0.35">
      <c r="A721" s="8">
        <v>721</v>
      </c>
      <c r="B721" s="1" t="s">
        <v>63</v>
      </c>
      <c r="C721" s="8" t="s">
        <v>62</v>
      </c>
      <c r="D721" s="8" t="s">
        <v>58</v>
      </c>
      <c r="E721" s="8" t="s">
        <v>70</v>
      </c>
      <c r="F721" s="8">
        <v>0</v>
      </c>
      <c r="G721" s="2">
        <v>27900</v>
      </c>
      <c r="H721" s="1">
        <v>1</v>
      </c>
      <c r="I721" s="8" t="s">
        <v>8</v>
      </c>
      <c r="J721" s="1">
        <v>12</v>
      </c>
      <c r="K721" s="1" t="s">
        <v>13</v>
      </c>
      <c r="L721" s="1" t="s">
        <v>42</v>
      </c>
      <c r="M721" s="1" t="s">
        <v>25</v>
      </c>
      <c r="N721" s="10">
        <v>42225</v>
      </c>
      <c r="O721" s="3">
        <v>575.98</v>
      </c>
      <c r="P721" s="15">
        <f>IF(Table1[[#This Row],[Amount Spent]]&gt;3500, 3500,Table1[[#This Row],[Amount Spent]])</f>
        <v>575.98</v>
      </c>
    </row>
    <row r="722" spans="1:16" x14ac:dyDescent="0.35">
      <c r="A722" s="9">
        <v>722</v>
      </c>
      <c r="B722" s="4" t="s">
        <v>64</v>
      </c>
      <c r="C722" s="9" t="s">
        <v>61</v>
      </c>
      <c r="D722" s="9" t="s">
        <v>66</v>
      </c>
      <c r="E722" s="9" t="s">
        <v>2</v>
      </c>
      <c r="F722" s="9">
        <v>0</v>
      </c>
      <c r="G722" s="5">
        <v>70500</v>
      </c>
      <c r="H722" s="4">
        <v>1</v>
      </c>
      <c r="I722" s="9" t="s">
        <v>8</v>
      </c>
      <c r="J722" s="4">
        <v>24</v>
      </c>
      <c r="K722" s="4" t="s">
        <v>15</v>
      </c>
      <c r="L722" s="4" t="s">
        <v>52</v>
      </c>
      <c r="M722" s="4" t="s">
        <v>30</v>
      </c>
      <c r="N722" s="10">
        <v>42071</v>
      </c>
      <c r="O722" s="6">
        <v>2145.096</v>
      </c>
      <c r="P722" s="15">
        <f>IF(Table1[[#This Row],[Amount Spent]]&gt;3500, 3500,Table1[[#This Row],[Amount Spent]])</f>
        <v>2145.096</v>
      </c>
    </row>
    <row r="723" spans="1:16" x14ac:dyDescent="0.35">
      <c r="A723" s="8">
        <v>723</v>
      </c>
      <c r="B723" s="1" t="s">
        <v>63</v>
      </c>
      <c r="C723" s="8" t="s">
        <v>61</v>
      </c>
      <c r="D723" s="8" t="s">
        <v>66</v>
      </c>
      <c r="E723" s="8" t="s">
        <v>70</v>
      </c>
      <c r="F723" s="8">
        <v>1</v>
      </c>
      <c r="G723" s="2">
        <v>21200</v>
      </c>
      <c r="H723" s="1">
        <v>0</v>
      </c>
      <c r="I723" s="8" t="s">
        <v>8</v>
      </c>
      <c r="J723" s="1">
        <v>12</v>
      </c>
      <c r="K723" s="1" t="s">
        <v>13</v>
      </c>
      <c r="L723" s="1" t="s">
        <v>45</v>
      </c>
      <c r="M723" s="1" t="s">
        <v>26</v>
      </c>
      <c r="N723" s="10">
        <v>42138</v>
      </c>
      <c r="O723" s="3">
        <v>416.51100000000002</v>
      </c>
      <c r="P723" s="15">
        <f>IF(Table1[[#This Row],[Amount Spent]]&gt;3500, 3500,Table1[[#This Row],[Amount Spent]])</f>
        <v>416.51100000000002</v>
      </c>
    </row>
    <row r="724" spans="1:16" x14ac:dyDescent="0.35">
      <c r="A724" s="9">
        <v>724</v>
      </c>
      <c r="B724" s="4" t="s">
        <v>65</v>
      </c>
      <c r="C724" s="9" t="s">
        <v>62</v>
      </c>
      <c r="D724" s="9" t="s">
        <v>58</v>
      </c>
      <c r="E724" s="9" t="s">
        <v>70</v>
      </c>
      <c r="F724" s="9">
        <v>0</v>
      </c>
      <c r="G724" s="5">
        <v>42600</v>
      </c>
      <c r="H724" s="4">
        <v>0</v>
      </c>
      <c r="I724" s="9" t="s">
        <v>69</v>
      </c>
      <c r="J724" s="4">
        <v>24</v>
      </c>
      <c r="K724" s="4" t="s">
        <v>12</v>
      </c>
      <c r="L724" s="4" t="s">
        <v>54</v>
      </c>
      <c r="M724" s="4" t="s">
        <v>21</v>
      </c>
      <c r="N724" s="10">
        <v>41212</v>
      </c>
      <c r="O724" s="6">
        <v>1789.884</v>
      </c>
      <c r="P724" s="15">
        <f>IF(Table1[[#This Row],[Amount Spent]]&gt;3500, 3500,Table1[[#This Row],[Amount Spent]])</f>
        <v>1789.884</v>
      </c>
    </row>
    <row r="725" spans="1:16" x14ac:dyDescent="0.35">
      <c r="A725" s="8">
        <v>725</v>
      </c>
      <c r="B725" s="1" t="s">
        <v>64</v>
      </c>
      <c r="C725" s="8" t="s">
        <v>61</v>
      </c>
      <c r="D725" s="8" t="s">
        <v>58</v>
      </c>
      <c r="E725" s="8" t="s">
        <v>2</v>
      </c>
      <c r="F725" s="8">
        <v>1</v>
      </c>
      <c r="G725" s="2">
        <v>118500</v>
      </c>
      <c r="H725" s="1">
        <v>1</v>
      </c>
      <c r="I725" s="8" t="s">
        <v>69</v>
      </c>
      <c r="J725" s="1">
        <v>24</v>
      </c>
      <c r="K725" s="1" t="s">
        <v>12</v>
      </c>
      <c r="L725" s="1" t="s">
        <v>54</v>
      </c>
      <c r="M725" s="1" t="s">
        <v>21</v>
      </c>
      <c r="N725" s="10">
        <v>40596</v>
      </c>
      <c r="O725" s="3">
        <v>3063.491</v>
      </c>
      <c r="P725" s="15">
        <f>IF(Table1[[#This Row],[Amount Spent]]&gt;3500, 3500,Table1[[#This Row],[Amount Spent]])</f>
        <v>3063.491</v>
      </c>
    </row>
    <row r="726" spans="1:16" x14ac:dyDescent="0.35">
      <c r="A726" s="9">
        <v>726</v>
      </c>
      <c r="B726" s="4" t="s">
        <v>63</v>
      </c>
      <c r="C726" s="9" t="s">
        <v>62</v>
      </c>
      <c r="D726" s="9" t="s">
        <v>58</v>
      </c>
      <c r="E726" s="9" t="s">
        <v>70</v>
      </c>
      <c r="F726" s="9">
        <v>1</v>
      </c>
      <c r="G726" s="5">
        <v>15600</v>
      </c>
      <c r="H726" s="4">
        <v>1</v>
      </c>
      <c r="I726" s="9" t="s">
        <v>67</v>
      </c>
      <c r="J726" s="4">
        <v>6</v>
      </c>
      <c r="K726" s="4" t="s">
        <v>12</v>
      </c>
      <c r="L726" s="4" t="s">
        <v>54</v>
      </c>
      <c r="M726" s="4" t="s">
        <v>21</v>
      </c>
      <c r="N726" s="10">
        <v>41977</v>
      </c>
      <c r="O726" s="6">
        <v>136.34800000000001</v>
      </c>
      <c r="P726" s="15">
        <f>IF(Table1[[#This Row],[Amount Spent]]&gt;3500, 3500,Table1[[#This Row],[Amount Spent]])</f>
        <v>136.34800000000001</v>
      </c>
    </row>
    <row r="727" spans="1:16" x14ac:dyDescent="0.35">
      <c r="A727" s="8">
        <v>727</v>
      </c>
      <c r="B727" s="1" t="s">
        <v>63</v>
      </c>
      <c r="C727" s="8" t="s">
        <v>62</v>
      </c>
      <c r="D727" s="8" t="s">
        <v>58</v>
      </c>
      <c r="E727" s="8" t="s">
        <v>70</v>
      </c>
      <c r="F727" s="8">
        <v>1</v>
      </c>
      <c r="G727" s="2">
        <v>27200</v>
      </c>
      <c r="H727" s="1">
        <v>2</v>
      </c>
      <c r="I727" s="8" t="s">
        <v>67</v>
      </c>
      <c r="J727" s="1">
        <v>18</v>
      </c>
      <c r="K727" s="1" t="s">
        <v>15</v>
      </c>
      <c r="L727" s="1" t="s">
        <v>52</v>
      </c>
      <c r="M727" s="1" t="s">
        <v>31</v>
      </c>
      <c r="N727" s="10">
        <v>40549</v>
      </c>
      <c r="O727" s="3">
        <v>445.74</v>
      </c>
      <c r="P727" s="15">
        <f>IF(Table1[[#This Row],[Amount Spent]]&gt;3500, 3500,Table1[[#This Row],[Amount Spent]])</f>
        <v>445.74</v>
      </c>
    </row>
    <row r="728" spans="1:16" x14ac:dyDescent="0.35">
      <c r="A728" s="9">
        <v>728</v>
      </c>
      <c r="B728" s="4" t="s">
        <v>63</v>
      </c>
      <c r="C728" s="9" t="s">
        <v>61</v>
      </c>
      <c r="D728" s="9" t="s">
        <v>66</v>
      </c>
      <c r="E728" s="9" t="s">
        <v>70</v>
      </c>
      <c r="F728" s="9">
        <v>1</v>
      </c>
      <c r="G728" s="5">
        <v>26100</v>
      </c>
      <c r="H728" s="4">
        <v>1</v>
      </c>
      <c r="I728" s="9" t="s">
        <v>8</v>
      </c>
      <c r="J728" s="4">
        <v>6</v>
      </c>
      <c r="K728" s="4" t="s">
        <v>13</v>
      </c>
      <c r="L728" s="4" t="s">
        <v>46</v>
      </c>
      <c r="M728" s="4" t="s">
        <v>22</v>
      </c>
      <c r="N728" s="10">
        <v>42068</v>
      </c>
      <c r="O728" s="6">
        <v>494.38499999999999</v>
      </c>
      <c r="P728" s="15">
        <f>IF(Table1[[#This Row],[Amount Spent]]&gt;3500, 3500,Table1[[#This Row],[Amount Spent]])</f>
        <v>494.38499999999999</v>
      </c>
    </row>
    <row r="729" spans="1:16" x14ac:dyDescent="0.35">
      <c r="A729" s="8">
        <v>729</v>
      </c>
      <c r="B729" s="1" t="s">
        <v>64</v>
      </c>
      <c r="C729" s="8" t="s">
        <v>61</v>
      </c>
      <c r="D729" s="8" t="s">
        <v>58</v>
      </c>
      <c r="E729" s="8" t="s">
        <v>70</v>
      </c>
      <c r="F729" s="8">
        <v>1</v>
      </c>
      <c r="G729" s="2">
        <v>55900</v>
      </c>
      <c r="H729" s="1">
        <v>0</v>
      </c>
      <c r="I729" s="8" t="s">
        <v>68</v>
      </c>
      <c r="J729" s="1">
        <v>12</v>
      </c>
      <c r="K729" s="1" t="s">
        <v>13</v>
      </c>
      <c r="L729" s="1" t="s">
        <v>43</v>
      </c>
      <c r="M729" s="1" t="s">
        <v>23</v>
      </c>
      <c r="N729" s="10">
        <v>40576</v>
      </c>
      <c r="O729" s="3">
        <v>963.50300000000004</v>
      </c>
      <c r="P729" s="15">
        <f>IF(Table1[[#This Row],[Amount Spent]]&gt;3500, 3500,Table1[[#This Row],[Amount Spent]])</f>
        <v>963.50300000000004</v>
      </c>
    </row>
    <row r="730" spans="1:16" x14ac:dyDescent="0.35">
      <c r="A730" s="9">
        <v>730</v>
      </c>
      <c r="B730" s="4" t="s">
        <v>63</v>
      </c>
      <c r="C730" s="9" t="s">
        <v>61</v>
      </c>
      <c r="D730" s="9" t="s">
        <v>66</v>
      </c>
      <c r="E730" s="9" t="s">
        <v>2</v>
      </c>
      <c r="F730" s="9">
        <v>1</v>
      </c>
      <c r="G730" s="5">
        <v>27400</v>
      </c>
      <c r="H730" s="4">
        <v>1</v>
      </c>
      <c r="I730" s="9" t="s">
        <v>67</v>
      </c>
      <c r="J730" s="4">
        <v>6</v>
      </c>
      <c r="K730" s="4" t="s">
        <v>15</v>
      </c>
      <c r="L730" s="4" t="s">
        <v>42</v>
      </c>
      <c r="M730" s="4" t="s">
        <v>32</v>
      </c>
      <c r="N730" s="10">
        <v>40719</v>
      </c>
      <c r="O730" s="6">
        <v>277.85399999999998</v>
      </c>
      <c r="P730" s="15">
        <f>IF(Table1[[#This Row],[Amount Spent]]&gt;3500, 3500,Table1[[#This Row],[Amount Spent]])</f>
        <v>277.85399999999998</v>
      </c>
    </row>
    <row r="731" spans="1:16" x14ac:dyDescent="0.35">
      <c r="A731" s="8">
        <v>731</v>
      </c>
      <c r="B731" s="1" t="s">
        <v>64</v>
      </c>
      <c r="C731" s="8" t="s">
        <v>61</v>
      </c>
      <c r="D731" s="8" t="s">
        <v>66</v>
      </c>
      <c r="E731" s="8" t="s">
        <v>70</v>
      </c>
      <c r="F731" s="8">
        <v>0</v>
      </c>
      <c r="G731" s="2">
        <v>59000</v>
      </c>
      <c r="H731" s="1">
        <v>0</v>
      </c>
      <c r="I731" s="8" t="s">
        <v>69</v>
      </c>
      <c r="J731" s="1">
        <v>24</v>
      </c>
      <c r="K731" s="1" t="s">
        <v>15</v>
      </c>
      <c r="L731" s="1" t="s">
        <v>44</v>
      </c>
      <c r="M731" s="1" t="s">
        <v>29</v>
      </c>
      <c r="N731" s="10">
        <v>41123</v>
      </c>
      <c r="O731" s="3">
        <v>3043.7649999999999</v>
      </c>
      <c r="P731" s="15">
        <f>IF(Table1[[#This Row],[Amount Spent]]&gt;3500, 3500,Table1[[#This Row],[Amount Spent]])</f>
        <v>3043.7649999999999</v>
      </c>
    </row>
    <row r="732" spans="1:16" x14ac:dyDescent="0.35">
      <c r="A732" s="9">
        <v>732</v>
      </c>
      <c r="B732" s="4" t="s">
        <v>63</v>
      </c>
      <c r="C732" s="9" t="s">
        <v>62</v>
      </c>
      <c r="D732" s="9" t="s">
        <v>66</v>
      </c>
      <c r="E732" s="9" t="s">
        <v>2</v>
      </c>
      <c r="F732" s="9">
        <v>1</v>
      </c>
      <c r="G732" s="5">
        <v>37100</v>
      </c>
      <c r="H732" s="4">
        <v>2</v>
      </c>
      <c r="I732" s="9" t="s">
        <v>67</v>
      </c>
      <c r="J732" s="4">
        <v>24</v>
      </c>
      <c r="K732" s="4" t="s">
        <v>13</v>
      </c>
      <c r="L732" s="4" t="s">
        <v>45</v>
      </c>
      <c r="M732" s="4" t="s">
        <v>26</v>
      </c>
      <c r="N732" s="10">
        <v>40153</v>
      </c>
      <c r="O732" s="6">
        <v>652.57500000000005</v>
      </c>
      <c r="P732" s="15">
        <f>IF(Table1[[#This Row],[Amount Spent]]&gt;3500, 3500,Table1[[#This Row],[Amount Spent]])</f>
        <v>652.57500000000005</v>
      </c>
    </row>
    <row r="733" spans="1:16" x14ac:dyDescent="0.35">
      <c r="A733" s="8">
        <v>733</v>
      </c>
      <c r="B733" s="1" t="s">
        <v>65</v>
      </c>
      <c r="C733" s="8" t="s">
        <v>61</v>
      </c>
      <c r="D733" s="8" t="s">
        <v>58</v>
      </c>
      <c r="E733" s="8" t="s">
        <v>70</v>
      </c>
      <c r="F733" s="8">
        <v>0</v>
      </c>
      <c r="G733" s="2">
        <v>62000</v>
      </c>
      <c r="H733" s="1">
        <v>0</v>
      </c>
      <c r="I733" s="8" t="s">
        <v>69</v>
      </c>
      <c r="J733" s="1">
        <v>24</v>
      </c>
      <c r="K733" s="1" t="s">
        <v>12</v>
      </c>
      <c r="L733" s="1" t="s">
        <v>53</v>
      </c>
      <c r="M733" s="1" t="s">
        <v>19</v>
      </c>
      <c r="N733" s="10">
        <v>40586</v>
      </c>
      <c r="O733" s="3">
        <v>3293.1570000000002</v>
      </c>
      <c r="P733" s="15">
        <f>IF(Table1[[#This Row],[Amount Spent]]&gt;3500, 3500,Table1[[#This Row],[Amount Spent]])</f>
        <v>3293.1570000000002</v>
      </c>
    </row>
    <row r="734" spans="1:16" x14ac:dyDescent="0.35">
      <c r="A734" s="9">
        <v>734</v>
      </c>
      <c r="B734" s="4" t="s">
        <v>63</v>
      </c>
      <c r="C734" s="9" t="s">
        <v>62</v>
      </c>
      <c r="D734" s="9" t="s">
        <v>58</v>
      </c>
      <c r="E734" s="9" t="s">
        <v>2</v>
      </c>
      <c r="F734" s="9">
        <v>0</v>
      </c>
      <c r="G734" s="5">
        <v>68000</v>
      </c>
      <c r="H734" s="4">
        <v>0</v>
      </c>
      <c r="I734" s="9" t="s">
        <v>69</v>
      </c>
      <c r="J734" s="4">
        <v>24</v>
      </c>
      <c r="K734" s="4" t="s">
        <v>14</v>
      </c>
      <c r="L734" s="4" t="s">
        <v>50</v>
      </c>
      <c r="M734" s="4" t="s">
        <v>35</v>
      </c>
      <c r="N734" s="10">
        <v>40361</v>
      </c>
      <c r="O734" s="6">
        <v>3688.4450000000002</v>
      </c>
      <c r="P734" s="15">
        <f>IF(Table1[[#This Row],[Amount Spent]]&gt;3500, 3500,Table1[[#This Row],[Amount Spent]])</f>
        <v>3500</v>
      </c>
    </row>
    <row r="735" spans="1:16" x14ac:dyDescent="0.35">
      <c r="A735" s="8">
        <v>735</v>
      </c>
      <c r="B735" s="1" t="s">
        <v>63</v>
      </c>
      <c r="C735" s="8" t="s">
        <v>61</v>
      </c>
      <c r="D735" s="8" t="s">
        <v>66</v>
      </c>
      <c r="E735" s="8" t="s">
        <v>70</v>
      </c>
      <c r="F735" s="8">
        <v>1</v>
      </c>
      <c r="G735" s="2">
        <v>15000</v>
      </c>
      <c r="H735" s="1">
        <v>3</v>
      </c>
      <c r="I735" s="8" t="s">
        <v>67</v>
      </c>
      <c r="J735" s="1">
        <v>6</v>
      </c>
      <c r="K735" s="1" t="s">
        <v>14</v>
      </c>
      <c r="L735" s="1" t="s">
        <v>40</v>
      </c>
      <c r="M735" s="1" t="s">
        <v>36</v>
      </c>
      <c r="N735" s="10">
        <v>41094</v>
      </c>
      <c r="O735" s="3">
        <v>37.807000000000002</v>
      </c>
      <c r="P735" s="15">
        <f>IF(Table1[[#This Row],[Amount Spent]]&gt;3500, 3500,Table1[[#This Row],[Amount Spent]])</f>
        <v>37.807000000000002</v>
      </c>
    </row>
    <row r="736" spans="1:16" x14ac:dyDescent="0.35">
      <c r="A736" s="9">
        <v>736</v>
      </c>
      <c r="B736" s="4" t="s">
        <v>64</v>
      </c>
      <c r="C736" s="9" t="s">
        <v>62</v>
      </c>
      <c r="D736" s="9" t="s">
        <v>66</v>
      </c>
      <c r="E736" s="9" t="s">
        <v>2</v>
      </c>
      <c r="F736" s="9">
        <v>0</v>
      </c>
      <c r="G736" s="5">
        <v>45400</v>
      </c>
      <c r="H736" s="4">
        <v>3</v>
      </c>
      <c r="I736" s="9" t="s">
        <v>68</v>
      </c>
      <c r="J736" s="4">
        <v>24</v>
      </c>
      <c r="K736" s="4" t="s">
        <v>15</v>
      </c>
      <c r="L736" s="4" t="s">
        <v>28</v>
      </c>
      <c r="M736" s="4" t="s">
        <v>33</v>
      </c>
      <c r="N736" s="10">
        <v>40770</v>
      </c>
      <c r="O736" s="6">
        <v>1202.643</v>
      </c>
      <c r="P736" s="15">
        <f>IF(Table1[[#This Row],[Amount Spent]]&gt;3500, 3500,Table1[[#This Row],[Amount Spent]])</f>
        <v>1202.643</v>
      </c>
    </row>
    <row r="737" spans="1:16" x14ac:dyDescent="0.35">
      <c r="A737" s="8">
        <v>737</v>
      </c>
      <c r="B737" s="1" t="s">
        <v>65</v>
      </c>
      <c r="C737" s="8" t="s">
        <v>61</v>
      </c>
      <c r="D737" s="8" t="s">
        <v>58</v>
      </c>
      <c r="E737" s="8" t="s">
        <v>2</v>
      </c>
      <c r="F737" s="8">
        <v>1</v>
      </c>
      <c r="G737" s="2">
        <v>56600</v>
      </c>
      <c r="H737" s="1">
        <v>0</v>
      </c>
      <c r="I737" s="8" t="s">
        <v>8</v>
      </c>
      <c r="J737" s="1">
        <v>24</v>
      </c>
      <c r="K737" s="1" t="s">
        <v>13</v>
      </c>
      <c r="L737" s="1" t="s">
        <v>42</v>
      </c>
      <c r="M737" s="1" t="s">
        <v>25</v>
      </c>
      <c r="N737" s="10">
        <v>42109</v>
      </c>
      <c r="O737" s="3">
        <v>1607.4649999999999</v>
      </c>
      <c r="P737" s="15">
        <f>IF(Table1[[#This Row],[Amount Spent]]&gt;3500, 3500,Table1[[#This Row],[Amount Spent]])</f>
        <v>1607.4649999999999</v>
      </c>
    </row>
    <row r="738" spans="1:16" x14ac:dyDescent="0.35">
      <c r="A738" s="9">
        <v>738</v>
      </c>
      <c r="B738" s="4" t="s">
        <v>65</v>
      </c>
      <c r="C738" s="9" t="s">
        <v>62</v>
      </c>
      <c r="D738" s="9" t="s">
        <v>58</v>
      </c>
      <c r="E738" s="9" t="s">
        <v>70</v>
      </c>
      <c r="F738" s="9">
        <v>0</v>
      </c>
      <c r="G738" s="5">
        <v>16300</v>
      </c>
      <c r="H738" s="4">
        <v>0</v>
      </c>
      <c r="I738" s="9" t="s">
        <v>67</v>
      </c>
      <c r="J738" s="4">
        <v>6</v>
      </c>
      <c r="K738" s="4" t="s">
        <v>12</v>
      </c>
      <c r="L738" s="4" t="s">
        <v>47</v>
      </c>
      <c r="M738" s="4" t="s">
        <v>16</v>
      </c>
      <c r="N738" s="10">
        <v>40805</v>
      </c>
      <c r="O738" s="6">
        <v>316.86</v>
      </c>
      <c r="P738" s="15">
        <f>IF(Table1[[#This Row],[Amount Spent]]&gt;3500, 3500,Table1[[#This Row],[Amount Spent]])</f>
        <v>316.86</v>
      </c>
    </row>
    <row r="739" spans="1:16" x14ac:dyDescent="0.35">
      <c r="A739" s="8">
        <v>739</v>
      </c>
      <c r="B739" s="1" t="s">
        <v>64</v>
      </c>
      <c r="C739" s="8" t="s">
        <v>62</v>
      </c>
      <c r="D739" s="8" t="s">
        <v>66</v>
      </c>
      <c r="E739" s="8" t="s">
        <v>70</v>
      </c>
      <c r="F739" s="8">
        <v>0</v>
      </c>
      <c r="G739" s="2">
        <v>45600</v>
      </c>
      <c r="H739" s="1">
        <v>0</v>
      </c>
      <c r="I739" s="8" t="s">
        <v>69</v>
      </c>
      <c r="J739" s="1">
        <v>12</v>
      </c>
      <c r="K739" s="1" t="s">
        <v>12</v>
      </c>
      <c r="L739" s="1" t="s">
        <v>47</v>
      </c>
      <c r="M739" s="1" t="s">
        <v>16</v>
      </c>
      <c r="N739" s="10">
        <v>41175</v>
      </c>
      <c r="O739" s="3">
        <v>1321.529</v>
      </c>
      <c r="P739" s="15">
        <f>IF(Table1[[#This Row],[Amount Spent]]&gt;3500, 3500,Table1[[#This Row],[Amount Spent]])</f>
        <v>1321.529</v>
      </c>
    </row>
    <row r="740" spans="1:16" x14ac:dyDescent="0.35">
      <c r="A740" s="9">
        <v>740</v>
      </c>
      <c r="B740" s="4" t="s">
        <v>63</v>
      </c>
      <c r="C740" s="9" t="s">
        <v>61</v>
      </c>
      <c r="D740" s="9" t="s">
        <v>66</v>
      </c>
      <c r="E740" s="9" t="s">
        <v>70</v>
      </c>
      <c r="F740" s="9">
        <v>1</v>
      </c>
      <c r="G740" s="5">
        <v>14200</v>
      </c>
      <c r="H740" s="4">
        <v>0</v>
      </c>
      <c r="I740" s="9" t="s">
        <v>67</v>
      </c>
      <c r="J740" s="4">
        <v>6</v>
      </c>
      <c r="K740" s="4" t="s">
        <v>13</v>
      </c>
      <c r="L740" s="4" t="s">
        <v>43</v>
      </c>
      <c r="M740" s="4" t="s">
        <v>23</v>
      </c>
      <c r="N740" s="10">
        <v>40261</v>
      </c>
      <c r="O740" s="6">
        <v>250.249</v>
      </c>
      <c r="P740" s="15">
        <f>IF(Table1[[#This Row],[Amount Spent]]&gt;3500, 3500,Table1[[#This Row],[Amount Spent]])</f>
        <v>250.249</v>
      </c>
    </row>
    <row r="741" spans="1:16" x14ac:dyDescent="0.35">
      <c r="A741" s="8">
        <v>741</v>
      </c>
      <c r="B741" s="1" t="s">
        <v>64</v>
      </c>
      <c r="C741" s="8" t="s">
        <v>61</v>
      </c>
      <c r="D741" s="8" t="s">
        <v>58</v>
      </c>
      <c r="E741" s="8" t="s">
        <v>70</v>
      </c>
      <c r="F741" s="8">
        <v>1</v>
      </c>
      <c r="G741" s="2">
        <v>61500</v>
      </c>
      <c r="H741" s="1">
        <v>2</v>
      </c>
      <c r="I741" s="8" t="s">
        <v>68</v>
      </c>
      <c r="J741" s="1">
        <v>24</v>
      </c>
      <c r="K741" s="1" t="s">
        <v>13</v>
      </c>
      <c r="L741" s="1" t="s">
        <v>45</v>
      </c>
      <c r="M741" s="1" t="s">
        <v>26</v>
      </c>
      <c r="N741" s="10">
        <v>40817</v>
      </c>
      <c r="O741" s="3">
        <v>967.80499999999995</v>
      </c>
      <c r="P741" s="15">
        <f>IF(Table1[[#This Row],[Amount Spent]]&gt;3500, 3500,Table1[[#This Row],[Amount Spent]])</f>
        <v>967.80499999999995</v>
      </c>
    </row>
    <row r="742" spans="1:16" x14ac:dyDescent="0.35">
      <c r="A742" s="9">
        <v>742</v>
      </c>
      <c r="B742" s="4" t="s">
        <v>64</v>
      </c>
      <c r="C742" s="9" t="s">
        <v>61</v>
      </c>
      <c r="D742" s="9" t="s">
        <v>58</v>
      </c>
      <c r="E742" s="9" t="s">
        <v>2</v>
      </c>
      <c r="F742" s="9">
        <v>1</v>
      </c>
      <c r="G742" s="5">
        <v>126500</v>
      </c>
      <c r="H742" s="4">
        <v>2</v>
      </c>
      <c r="I742" s="9" t="s">
        <v>69</v>
      </c>
      <c r="J742" s="4">
        <v>18</v>
      </c>
      <c r="K742" s="4" t="s">
        <v>12</v>
      </c>
      <c r="L742" s="4" t="s">
        <v>47</v>
      </c>
      <c r="M742" s="4" t="s">
        <v>18</v>
      </c>
      <c r="N742" s="10">
        <v>41059</v>
      </c>
      <c r="O742" s="6">
        <v>1999.546</v>
      </c>
      <c r="P742" s="15">
        <f>IF(Table1[[#This Row],[Amount Spent]]&gt;3500, 3500,Table1[[#This Row],[Amount Spent]])</f>
        <v>1999.546</v>
      </c>
    </row>
    <row r="743" spans="1:16" x14ac:dyDescent="0.35">
      <c r="A743" s="8">
        <v>743</v>
      </c>
      <c r="B743" s="1" t="s">
        <v>64</v>
      </c>
      <c r="C743" s="8" t="s">
        <v>61</v>
      </c>
      <c r="D743" s="8" t="s">
        <v>58</v>
      </c>
      <c r="E743" s="8" t="s">
        <v>70</v>
      </c>
      <c r="F743" s="8">
        <v>0</v>
      </c>
      <c r="G743" s="2">
        <v>70200</v>
      </c>
      <c r="H743" s="1">
        <v>0</v>
      </c>
      <c r="I743" s="8" t="s">
        <v>69</v>
      </c>
      <c r="J743" s="1">
        <v>12</v>
      </c>
      <c r="K743" s="1" t="s">
        <v>13</v>
      </c>
      <c r="L743" s="1" t="s">
        <v>46</v>
      </c>
      <c r="M743" s="1" t="s">
        <v>22</v>
      </c>
      <c r="N743" s="10">
        <v>40226</v>
      </c>
      <c r="O743" s="3">
        <v>1702.4380000000001</v>
      </c>
      <c r="P743" s="15">
        <f>IF(Table1[[#This Row],[Amount Spent]]&gt;3500, 3500,Table1[[#This Row],[Amount Spent]])</f>
        <v>1702.4380000000001</v>
      </c>
    </row>
    <row r="744" spans="1:16" x14ac:dyDescent="0.35">
      <c r="A744" s="9">
        <v>744</v>
      </c>
      <c r="B744" s="4" t="s">
        <v>63</v>
      </c>
      <c r="C744" s="9" t="s">
        <v>62</v>
      </c>
      <c r="D744" s="9" t="s">
        <v>66</v>
      </c>
      <c r="E744" s="9" t="s">
        <v>70</v>
      </c>
      <c r="F744" s="9">
        <v>1</v>
      </c>
      <c r="G744" s="5">
        <v>13500</v>
      </c>
      <c r="H744" s="4">
        <v>0</v>
      </c>
      <c r="I744" s="9" t="s">
        <v>67</v>
      </c>
      <c r="J744" s="4">
        <v>18</v>
      </c>
      <c r="K744" s="4" t="s">
        <v>15</v>
      </c>
      <c r="L744" s="4" t="s">
        <v>28</v>
      </c>
      <c r="M744" s="4" t="s">
        <v>28</v>
      </c>
      <c r="N744" s="10">
        <v>42208</v>
      </c>
      <c r="O744" s="6">
        <v>295.70800000000003</v>
      </c>
      <c r="P744" s="15">
        <f>IF(Table1[[#This Row],[Amount Spent]]&gt;3500, 3500,Table1[[#This Row],[Amount Spent]])</f>
        <v>295.70800000000003</v>
      </c>
    </row>
    <row r="745" spans="1:16" x14ac:dyDescent="0.35">
      <c r="A745" s="8">
        <v>745</v>
      </c>
      <c r="B745" s="1" t="s">
        <v>64</v>
      </c>
      <c r="C745" s="8" t="s">
        <v>61</v>
      </c>
      <c r="D745" s="8" t="s">
        <v>66</v>
      </c>
      <c r="E745" s="8" t="s">
        <v>2</v>
      </c>
      <c r="F745" s="8">
        <v>1</v>
      </c>
      <c r="G745" s="2">
        <v>118800</v>
      </c>
      <c r="H745" s="1">
        <v>0</v>
      </c>
      <c r="I745" s="8" t="s">
        <v>69</v>
      </c>
      <c r="J745" s="1">
        <v>12</v>
      </c>
      <c r="K745" s="1" t="s">
        <v>12</v>
      </c>
      <c r="L745" s="1" t="s">
        <v>47</v>
      </c>
      <c r="M745" s="1" t="s">
        <v>16</v>
      </c>
      <c r="N745" s="10">
        <v>42125</v>
      </c>
      <c r="O745" s="3">
        <v>2630.9369999999999</v>
      </c>
      <c r="P745" s="15">
        <f>IF(Table1[[#This Row],[Amount Spent]]&gt;3500, 3500,Table1[[#This Row],[Amount Spent]])</f>
        <v>2630.9369999999999</v>
      </c>
    </row>
    <row r="746" spans="1:16" x14ac:dyDescent="0.35">
      <c r="A746" s="9">
        <v>746</v>
      </c>
      <c r="B746" s="4" t="s">
        <v>64</v>
      </c>
      <c r="C746" s="9" t="s">
        <v>62</v>
      </c>
      <c r="D746" s="9" t="s">
        <v>66</v>
      </c>
      <c r="E746" s="9" t="s">
        <v>70</v>
      </c>
      <c r="F746" s="9">
        <v>0</v>
      </c>
      <c r="G746" s="5">
        <v>39000</v>
      </c>
      <c r="H746" s="4">
        <v>3</v>
      </c>
      <c r="I746" s="9" t="s">
        <v>67</v>
      </c>
      <c r="J746" s="4">
        <v>6</v>
      </c>
      <c r="K746" s="4" t="s">
        <v>15</v>
      </c>
      <c r="L746" s="4" t="s">
        <v>28</v>
      </c>
      <c r="M746" s="4" t="s">
        <v>28</v>
      </c>
      <c r="N746" s="10">
        <v>41201</v>
      </c>
      <c r="O746" s="6">
        <v>291.73899999999998</v>
      </c>
      <c r="P746" s="15">
        <f>IF(Table1[[#This Row],[Amount Spent]]&gt;3500, 3500,Table1[[#This Row],[Amount Spent]])</f>
        <v>291.73899999999998</v>
      </c>
    </row>
    <row r="747" spans="1:16" x14ac:dyDescent="0.35">
      <c r="A747" s="8">
        <v>747</v>
      </c>
      <c r="B747" s="1" t="s">
        <v>64</v>
      </c>
      <c r="C747" s="8" t="s">
        <v>61</v>
      </c>
      <c r="D747" s="8" t="s">
        <v>58</v>
      </c>
      <c r="E747" s="8" t="s">
        <v>2</v>
      </c>
      <c r="F747" s="8">
        <v>1</v>
      </c>
      <c r="G747" s="2">
        <v>140700</v>
      </c>
      <c r="H747" s="1">
        <v>3</v>
      </c>
      <c r="I747" s="8" t="s">
        <v>68</v>
      </c>
      <c r="J747" s="1">
        <v>12</v>
      </c>
      <c r="K747" s="1" t="s">
        <v>14</v>
      </c>
      <c r="L747" s="1" t="s">
        <v>49</v>
      </c>
      <c r="M747" s="1" t="s">
        <v>39</v>
      </c>
      <c r="N747" s="10">
        <v>41815</v>
      </c>
      <c r="O747" s="3">
        <v>1001.207</v>
      </c>
      <c r="P747" s="15">
        <f>IF(Table1[[#This Row],[Amount Spent]]&gt;3500, 3500,Table1[[#This Row],[Amount Spent]])</f>
        <v>1001.207</v>
      </c>
    </row>
    <row r="748" spans="1:16" x14ac:dyDescent="0.35">
      <c r="A748" s="9">
        <v>748</v>
      </c>
      <c r="B748" s="4" t="s">
        <v>63</v>
      </c>
      <c r="C748" s="9" t="s">
        <v>61</v>
      </c>
      <c r="D748" s="9" t="s">
        <v>66</v>
      </c>
      <c r="E748" s="9" t="s">
        <v>2</v>
      </c>
      <c r="F748" s="9">
        <v>0</v>
      </c>
      <c r="G748" s="5">
        <v>51600</v>
      </c>
      <c r="H748" s="4">
        <v>0</v>
      </c>
      <c r="I748" s="9" t="s">
        <v>8</v>
      </c>
      <c r="J748" s="4">
        <v>12</v>
      </c>
      <c r="K748" s="4" t="s">
        <v>15</v>
      </c>
      <c r="L748" s="4" t="s">
        <v>28</v>
      </c>
      <c r="M748" s="4" t="s">
        <v>33</v>
      </c>
      <c r="N748" s="10">
        <v>42183</v>
      </c>
      <c r="O748" s="6">
        <v>1081.867</v>
      </c>
      <c r="P748" s="15">
        <f>IF(Table1[[#This Row],[Amount Spent]]&gt;3500, 3500,Table1[[#This Row],[Amount Spent]])</f>
        <v>1081.867</v>
      </c>
    </row>
    <row r="749" spans="1:16" x14ac:dyDescent="0.35">
      <c r="A749" s="8">
        <v>749</v>
      </c>
      <c r="B749" s="1" t="s">
        <v>65</v>
      </c>
      <c r="C749" s="8" t="s">
        <v>62</v>
      </c>
      <c r="D749" s="8" t="s">
        <v>66</v>
      </c>
      <c r="E749" s="8" t="s">
        <v>2</v>
      </c>
      <c r="F749" s="8">
        <v>1</v>
      </c>
      <c r="G749" s="2">
        <v>39700</v>
      </c>
      <c r="H749" s="1">
        <v>0</v>
      </c>
      <c r="I749" s="8" t="s">
        <v>68</v>
      </c>
      <c r="J749" s="1">
        <v>12</v>
      </c>
      <c r="K749" s="1" t="s">
        <v>13</v>
      </c>
      <c r="L749" s="1" t="s">
        <v>56</v>
      </c>
      <c r="M749" s="1" t="s">
        <v>24</v>
      </c>
      <c r="N749" s="10">
        <v>41584</v>
      </c>
      <c r="O749" s="3">
        <v>572.76499999999999</v>
      </c>
      <c r="P749" s="15">
        <f>IF(Table1[[#This Row],[Amount Spent]]&gt;3500, 3500,Table1[[#This Row],[Amount Spent]])</f>
        <v>572.76499999999999</v>
      </c>
    </row>
    <row r="750" spans="1:16" x14ac:dyDescent="0.35">
      <c r="A750" s="9">
        <v>750</v>
      </c>
      <c r="B750" s="4" t="s">
        <v>65</v>
      </c>
      <c r="C750" s="9" t="s">
        <v>62</v>
      </c>
      <c r="D750" s="9" t="s">
        <v>58</v>
      </c>
      <c r="E750" s="9" t="s">
        <v>2</v>
      </c>
      <c r="F750" s="9">
        <v>1</v>
      </c>
      <c r="G750" s="5">
        <v>90500</v>
      </c>
      <c r="H750" s="4">
        <v>0</v>
      </c>
      <c r="I750" s="9" t="s">
        <v>69</v>
      </c>
      <c r="J750" s="4">
        <v>6</v>
      </c>
      <c r="K750" s="4" t="s">
        <v>12</v>
      </c>
      <c r="L750" s="4" t="s">
        <v>47</v>
      </c>
      <c r="M750" s="4" t="s">
        <v>18</v>
      </c>
      <c r="N750" s="10">
        <v>40833</v>
      </c>
      <c r="O750" s="6">
        <v>862.88300000000004</v>
      </c>
      <c r="P750" s="15">
        <f>IF(Table1[[#This Row],[Amount Spent]]&gt;3500, 3500,Table1[[#This Row],[Amount Spent]])</f>
        <v>862.88300000000004</v>
      </c>
    </row>
    <row r="751" spans="1:16" x14ac:dyDescent="0.35">
      <c r="A751" s="8">
        <v>751</v>
      </c>
      <c r="B751" s="1" t="s">
        <v>65</v>
      </c>
      <c r="C751" s="8" t="s">
        <v>61</v>
      </c>
      <c r="D751" s="8" t="s">
        <v>66</v>
      </c>
      <c r="E751" s="8" t="s">
        <v>2</v>
      </c>
      <c r="F751" s="8">
        <v>1</v>
      </c>
      <c r="G751" s="2">
        <v>90200</v>
      </c>
      <c r="H751" s="1">
        <v>0</v>
      </c>
      <c r="I751" s="8" t="s">
        <v>69</v>
      </c>
      <c r="J751" s="1">
        <v>18</v>
      </c>
      <c r="K751" s="1" t="s">
        <v>14</v>
      </c>
      <c r="L751" s="1" t="s">
        <v>51</v>
      </c>
      <c r="M751" s="1" t="s">
        <v>38</v>
      </c>
      <c r="N751" s="10">
        <v>39817</v>
      </c>
      <c r="O751" s="3">
        <v>2183.422</v>
      </c>
      <c r="P751" s="15">
        <f>IF(Table1[[#This Row],[Amount Spent]]&gt;3500, 3500,Table1[[#This Row],[Amount Spent]])</f>
        <v>2183.422</v>
      </c>
    </row>
    <row r="752" spans="1:16" x14ac:dyDescent="0.35">
      <c r="A752" s="9">
        <v>752</v>
      </c>
      <c r="B752" s="4" t="s">
        <v>64</v>
      </c>
      <c r="C752" s="9" t="s">
        <v>62</v>
      </c>
      <c r="D752" s="9" t="s">
        <v>58</v>
      </c>
      <c r="E752" s="9" t="s">
        <v>2</v>
      </c>
      <c r="F752" s="9">
        <v>0</v>
      </c>
      <c r="G752" s="5">
        <v>101700</v>
      </c>
      <c r="H752" s="4">
        <v>1</v>
      </c>
      <c r="I752" s="9" t="s">
        <v>8</v>
      </c>
      <c r="J752" s="4">
        <v>24</v>
      </c>
      <c r="K752" s="4" t="s">
        <v>12</v>
      </c>
      <c r="L752" s="4" t="s">
        <v>53</v>
      </c>
      <c r="M752" s="4" t="s">
        <v>19</v>
      </c>
      <c r="N752" s="10">
        <v>42185</v>
      </c>
      <c r="O752" s="6">
        <v>2551.12</v>
      </c>
      <c r="P752" s="15">
        <f>IF(Table1[[#This Row],[Amount Spent]]&gt;3500, 3500,Table1[[#This Row],[Amount Spent]])</f>
        <v>2551.12</v>
      </c>
    </row>
    <row r="753" spans="1:16" x14ac:dyDescent="0.35">
      <c r="A753" s="8">
        <v>753</v>
      </c>
      <c r="B753" s="1" t="s">
        <v>63</v>
      </c>
      <c r="C753" s="8" t="s">
        <v>62</v>
      </c>
      <c r="D753" s="8" t="s">
        <v>58</v>
      </c>
      <c r="E753" s="8" t="s">
        <v>70</v>
      </c>
      <c r="F753" s="8">
        <v>1</v>
      </c>
      <c r="G753" s="2">
        <v>24400</v>
      </c>
      <c r="H753" s="1">
        <v>1</v>
      </c>
      <c r="I753" s="8" t="s">
        <v>67</v>
      </c>
      <c r="J753" s="1">
        <v>6</v>
      </c>
      <c r="K753" s="1" t="s">
        <v>15</v>
      </c>
      <c r="L753" s="1" t="s">
        <v>52</v>
      </c>
      <c r="M753" s="1" t="s">
        <v>31</v>
      </c>
      <c r="N753" s="10">
        <v>41121</v>
      </c>
      <c r="O753" s="3">
        <v>219.80799999999999</v>
      </c>
      <c r="P753" s="15">
        <f>IF(Table1[[#This Row],[Amount Spent]]&gt;3500, 3500,Table1[[#This Row],[Amount Spent]])</f>
        <v>219.80799999999999</v>
      </c>
    </row>
    <row r="754" spans="1:16" x14ac:dyDescent="0.35">
      <c r="A754" s="9">
        <v>754</v>
      </c>
      <c r="B754" s="4" t="s">
        <v>64</v>
      </c>
      <c r="C754" s="9" t="s">
        <v>62</v>
      </c>
      <c r="D754" s="9" t="s">
        <v>66</v>
      </c>
      <c r="E754" s="9" t="s">
        <v>70</v>
      </c>
      <c r="F754" s="9">
        <v>0</v>
      </c>
      <c r="G754" s="5">
        <v>45500</v>
      </c>
      <c r="H754" s="4">
        <v>1</v>
      </c>
      <c r="I754" s="9" t="s">
        <v>8</v>
      </c>
      <c r="J754" s="4">
        <v>18</v>
      </c>
      <c r="K754" s="4" t="s">
        <v>14</v>
      </c>
      <c r="L754" s="4" t="s">
        <v>40</v>
      </c>
      <c r="M754" s="4" t="s">
        <v>37</v>
      </c>
      <c r="N754" s="10">
        <v>42122</v>
      </c>
      <c r="O754" s="6">
        <v>1623.712</v>
      </c>
      <c r="P754" s="15">
        <f>IF(Table1[[#This Row],[Amount Spent]]&gt;3500, 3500,Table1[[#This Row],[Amount Spent]])</f>
        <v>1623.712</v>
      </c>
    </row>
    <row r="755" spans="1:16" x14ac:dyDescent="0.35">
      <c r="A755" s="8">
        <v>755</v>
      </c>
      <c r="B755" s="1" t="s">
        <v>64</v>
      </c>
      <c r="C755" s="8" t="s">
        <v>61</v>
      </c>
      <c r="D755" s="8" t="s">
        <v>58</v>
      </c>
      <c r="E755" s="8" t="s">
        <v>2</v>
      </c>
      <c r="F755" s="8">
        <v>1</v>
      </c>
      <c r="G755" s="2">
        <v>42700</v>
      </c>
      <c r="H755" s="1">
        <v>0</v>
      </c>
      <c r="I755" s="8" t="s">
        <v>68</v>
      </c>
      <c r="J755" s="1">
        <v>6</v>
      </c>
      <c r="K755" s="1" t="s">
        <v>15</v>
      </c>
      <c r="L755" s="1" t="s">
        <v>28</v>
      </c>
      <c r="M755" s="1" t="s">
        <v>33</v>
      </c>
      <c r="N755" s="10">
        <v>41280</v>
      </c>
      <c r="O755" s="3">
        <v>541.34400000000005</v>
      </c>
      <c r="P755" s="15">
        <f>IF(Table1[[#This Row],[Amount Spent]]&gt;3500, 3500,Table1[[#This Row],[Amount Spent]])</f>
        <v>541.34400000000005</v>
      </c>
    </row>
    <row r="756" spans="1:16" x14ac:dyDescent="0.35">
      <c r="A756" s="9">
        <v>756</v>
      </c>
      <c r="B756" s="4" t="s">
        <v>64</v>
      </c>
      <c r="C756" s="9" t="s">
        <v>62</v>
      </c>
      <c r="D756" s="9" t="s">
        <v>66</v>
      </c>
      <c r="E756" s="9" t="s">
        <v>2</v>
      </c>
      <c r="F756" s="9">
        <v>1</v>
      </c>
      <c r="G756" s="5">
        <v>82300</v>
      </c>
      <c r="H756" s="4">
        <v>2</v>
      </c>
      <c r="I756" s="9" t="s">
        <v>68</v>
      </c>
      <c r="J756" s="4">
        <v>12</v>
      </c>
      <c r="K756" s="4" t="s">
        <v>14</v>
      </c>
      <c r="L756" s="4" t="s">
        <v>51</v>
      </c>
      <c r="M756" s="4" t="s">
        <v>38</v>
      </c>
      <c r="N756" s="10">
        <v>40454</v>
      </c>
      <c r="O756" s="6">
        <v>580.42999999999995</v>
      </c>
      <c r="P756" s="15">
        <f>IF(Table1[[#This Row],[Amount Spent]]&gt;3500, 3500,Table1[[#This Row],[Amount Spent]])</f>
        <v>580.42999999999995</v>
      </c>
    </row>
    <row r="757" spans="1:16" x14ac:dyDescent="0.35">
      <c r="A757" s="8">
        <v>757</v>
      </c>
      <c r="B757" s="1" t="s">
        <v>63</v>
      </c>
      <c r="C757" s="8" t="s">
        <v>62</v>
      </c>
      <c r="D757" s="8" t="s">
        <v>58</v>
      </c>
      <c r="E757" s="8" t="s">
        <v>70</v>
      </c>
      <c r="F757" s="8">
        <v>0</v>
      </c>
      <c r="G757" s="2">
        <v>31900</v>
      </c>
      <c r="H757" s="1">
        <v>0</v>
      </c>
      <c r="I757" s="8" t="s">
        <v>8</v>
      </c>
      <c r="J757" s="1">
        <v>12</v>
      </c>
      <c r="K757" s="1" t="s">
        <v>12</v>
      </c>
      <c r="L757" s="1" t="s">
        <v>53</v>
      </c>
      <c r="M757" s="1" t="s">
        <v>19</v>
      </c>
      <c r="N757" s="10">
        <v>42045</v>
      </c>
      <c r="O757" s="3">
        <v>859.60500000000002</v>
      </c>
      <c r="P757" s="15">
        <f>IF(Table1[[#This Row],[Amount Spent]]&gt;3500, 3500,Table1[[#This Row],[Amount Spent]])</f>
        <v>859.60500000000002</v>
      </c>
    </row>
    <row r="758" spans="1:16" x14ac:dyDescent="0.35">
      <c r="A758" s="9">
        <v>758</v>
      </c>
      <c r="B758" s="4" t="s">
        <v>64</v>
      </c>
      <c r="C758" s="9" t="s">
        <v>62</v>
      </c>
      <c r="D758" s="9" t="s">
        <v>58</v>
      </c>
      <c r="E758" s="9" t="s">
        <v>70</v>
      </c>
      <c r="F758" s="9">
        <v>0</v>
      </c>
      <c r="G758" s="5">
        <v>25300</v>
      </c>
      <c r="H758" s="4">
        <v>1</v>
      </c>
      <c r="I758" s="9" t="s">
        <v>8</v>
      </c>
      <c r="J758" s="4">
        <v>6</v>
      </c>
      <c r="K758" s="4" t="s">
        <v>14</v>
      </c>
      <c r="L758" s="4" t="s">
        <v>50</v>
      </c>
      <c r="M758" s="4" t="s">
        <v>34</v>
      </c>
      <c r="N758" s="10">
        <v>42108</v>
      </c>
      <c r="O758" s="6">
        <v>450.91500000000002</v>
      </c>
      <c r="P758" s="15">
        <f>IF(Table1[[#This Row],[Amount Spent]]&gt;3500, 3500,Table1[[#This Row],[Amount Spent]])</f>
        <v>450.91500000000002</v>
      </c>
    </row>
    <row r="759" spans="1:16" x14ac:dyDescent="0.35">
      <c r="A759" s="8">
        <v>759</v>
      </c>
      <c r="B759" s="1" t="s">
        <v>63</v>
      </c>
      <c r="C759" s="8" t="s">
        <v>62</v>
      </c>
      <c r="D759" s="8" t="s">
        <v>58</v>
      </c>
      <c r="E759" s="8" t="s">
        <v>2</v>
      </c>
      <c r="F759" s="8">
        <v>0</v>
      </c>
      <c r="G759" s="2">
        <v>55900</v>
      </c>
      <c r="H759" s="1">
        <v>1</v>
      </c>
      <c r="I759" s="8" t="s">
        <v>8</v>
      </c>
      <c r="J759" s="1">
        <v>6</v>
      </c>
      <c r="K759" s="1" t="s">
        <v>15</v>
      </c>
      <c r="L759" s="1" t="s">
        <v>42</v>
      </c>
      <c r="M759" s="1" t="s">
        <v>32</v>
      </c>
      <c r="N759" s="10">
        <v>42182</v>
      </c>
      <c r="O759" s="3">
        <v>788.19500000000005</v>
      </c>
      <c r="P759" s="15">
        <f>IF(Table1[[#This Row],[Amount Spent]]&gt;3500, 3500,Table1[[#This Row],[Amount Spent]])</f>
        <v>788.19500000000005</v>
      </c>
    </row>
    <row r="760" spans="1:16" x14ac:dyDescent="0.35">
      <c r="A760" s="9">
        <v>760</v>
      </c>
      <c r="B760" s="4" t="s">
        <v>64</v>
      </c>
      <c r="C760" s="9" t="s">
        <v>62</v>
      </c>
      <c r="D760" s="9" t="s">
        <v>58</v>
      </c>
      <c r="E760" s="9" t="s">
        <v>70</v>
      </c>
      <c r="F760" s="9">
        <v>1</v>
      </c>
      <c r="G760" s="5">
        <v>47900</v>
      </c>
      <c r="H760" s="4">
        <v>0</v>
      </c>
      <c r="I760" s="9" t="s">
        <v>8</v>
      </c>
      <c r="J760" s="4">
        <v>12</v>
      </c>
      <c r="K760" s="4" t="s">
        <v>13</v>
      </c>
      <c r="L760" s="4" t="s">
        <v>45</v>
      </c>
      <c r="M760" s="4" t="s">
        <v>26</v>
      </c>
      <c r="N760" s="10">
        <v>42047</v>
      </c>
      <c r="O760" s="6">
        <v>1090.085</v>
      </c>
      <c r="P760" s="15">
        <f>IF(Table1[[#This Row],[Amount Spent]]&gt;3500, 3500,Table1[[#This Row],[Amount Spent]])</f>
        <v>1090.085</v>
      </c>
    </row>
    <row r="761" spans="1:16" x14ac:dyDescent="0.35">
      <c r="A761" s="8">
        <v>761</v>
      </c>
      <c r="B761" s="1" t="s">
        <v>64</v>
      </c>
      <c r="C761" s="8" t="s">
        <v>62</v>
      </c>
      <c r="D761" s="8" t="s">
        <v>66</v>
      </c>
      <c r="E761" s="8" t="s">
        <v>2</v>
      </c>
      <c r="F761" s="8">
        <v>1</v>
      </c>
      <c r="G761" s="2">
        <v>66300</v>
      </c>
      <c r="H761" s="1">
        <v>2</v>
      </c>
      <c r="I761" s="8" t="s">
        <v>68</v>
      </c>
      <c r="J761" s="1">
        <v>12</v>
      </c>
      <c r="K761" s="1" t="s">
        <v>12</v>
      </c>
      <c r="L761" s="1" t="s">
        <v>47</v>
      </c>
      <c r="M761" s="1" t="s">
        <v>18</v>
      </c>
      <c r="N761" s="10">
        <v>40563</v>
      </c>
      <c r="O761" s="3">
        <v>544.16</v>
      </c>
      <c r="P761" s="15">
        <f>IF(Table1[[#This Row],[Amount Spent]]&gt;3500, 3500,Table1[[#This Row],[Amount Spent]])</f>
        <v>544.16</v>
      </c>
    </row>
    <row r="762" spans="1:16" x14ac:dyDescent="0.35">
      <c r="A762" s="9">
        <v>762</v>
      </c>
      <c r="B762" s="4" t="s">
        <v>64</v>
      </c>
      <c r="C762" s="9" t="s">
        <v>62</v>
      </c>
      <c r="D762" s="9" t="s">
        <v>58</v>
      </c>
      <c r="E762" s="9" t="s">
        <v>2</v>
      </c>
      <c r="F762" s="9">
        <v>0</v>
      </c>
      <c r="G762" s="5">
        <v>118300</v>
      </c>
      <c r="H762" s="4">
        <v>1</v>
      </c>
      <c r="I762" s="9" t="s">
        <v>69</v>
      </c>
      <c r="J762" s="4">
        <v>12</v>
      </c>
      <c r="K762" s="4" t="s">
        <v>14</v>
      </c>
      <c r="L762" s="4" t="s">
        <v>49</v>
      </c>
      <c r="M762" s="4" t="s">
        <v>39</v>
      </c>
      <c r="N762" s="10">
        <v>40308</v>
      </c>
      <c r="O762" s="6">
        <v>2502.3490000000002</v>
      </c>
      <c r="P762" s="15">
        <f>IF(Table1[[#This Row],[Amount Spent]]&gt;3500, 3500,Table1[[#This Row],[Amount Spent]])</f>
        <v>2502.3490000000002</v>
      </c>
    </row>
    <row r="763" spans="1:16" x14ac:dyDescent="0.35">
      <c r="A763" s="8">
        <v>763</v>
      </c>
      <c r="B763" s="1" t="s">
        <v>64</v>
      </c>
      <c r="C763" s="8" t="s">
        <v>62</v>
      </c>
      <c r="D763" s="8" t="s">
        <v>58</v>
      </c>
      <c r="E763" s="8" t="s">
        <v>2</v>
      </c>
      <c r="F763" s="8">
        <v>1</v>
      </c>
      <c r="G763" s="2">
        <v>85500</v>
      </c>
      <c r="H763" s="1">
        <v>2</v>
      </c>
      <c r="I763" s="8" t="s">
        <v>68</v>
      </c>
      <c r="J763" s="1">
        <v>18</v>
      </c>
      <c r="K763" s="1" t="s">
        <v>13</v>
      </c>
      <c r="L763" s="1" t="s">
        <v>48</v>
      </c>
      <c r="M763" s="1" t="s">
        <v>27</v>
      </c>
      <c r="N763" s="10">
        <v>41823</v>
      </c>
      <c r="O763" s="3">
        <v>894.66800000000001</v>
      </c>
      <c r="P763" s="15">
        <f>IF(Table1[[#This Row],[Amount Spent]]&gt;3500, 3500,Table1[[#This Row],[Amount Spent]])</f>
        <v>894.66800000000001</v>
      </c>
    </row>
    <row r="764" spans="1:16" x14ac:dyDescent="0.35">
      <c r="A764" s="9">
        <v>764</v>
      </c>
      <c r="B764" s="4" t="s">
        <v>63</v>
      </c>
      <c r="C764" s="9" t="s">
        <v>61</v>
      </c>
      <c r="D764" s="9" t="s">
        <v>66</v>
      </c>
      <c r="E764" s="9" t="s">
        <v>70</v>
      </c>
      <c r="F764" s="9">
        <v>1</v>
      </c>
      <c r="G764" s="5">
        <v>28400</v>
      </c>
      <c r="H764" s="4">
        <v>3</v>
      </c>
      <c r="I764" s="9" t="s">
        <v>67</v>
      </c>
      <c r="J764" s="4">
        <v>18</v>
      </c>
      <c r="K764" s="4" t="s">
        <v>14</v>
      </c>
      <c r="L764" s="4" t="s">
        <v>50</v>
      </c>
      <c r="M764" s="4" t="s">
        <v>35</v>
      </c>
      <c r="N764" s="10">
        <v>40481</v>
      </c>
      <c r="O764" s="6">
        <v>181.75299999999999</v>
      </c>
      <c r="P764" s="15">
        <f>IF(Table1[[#This Row],[Amount Spent]]&gt;3500, 3500,Table1[[#This Row],[Amount Spent]])</f>
        <v>181.75299999999999</v>
      </c>
    </row>
    <row r="765" spans="1:16" x14ac:dyDescent="0.35">
      <c r="A765" s="8">
        <v>765</v>
      </c>
      <c r="B765" s="1" t="s">
        <v>64</v>
      </c>
      <c r="C765" s="8" t="s">
        <v>62</v>
      </c>
      <c r="D765" s="8" t="s">
        <v>66</v>
      </c>
      <c r="E765" s="8" t="s">
        <v>70</v>
      </c>
      <c r="F765" s="8">
        <v>1</v>
      </c>
      <c r="G765" s="2">
        <v>42200</v>
      </c>
      <c r="H765" s="1">
        <v>0</v>
      </c>
      <c r="I765" s="8" t="s">
        <v>8</v>
      </c>
      <c r="J765" s="1">
        <v>18</v>
      </c>
      <c r="K765" s="1" t="s">
        <v>13</v>
      </c>
      <c r="L765" s="1" t="s">
        <v>43</v>
      </c>
      <c r="M765" s="1" t="s">
        <v>23</v>
      </c>
      <c r="N765" s="10">
        <v>42137</v>
      </c>
      <c r="O765" s="3">
        <v>1753.394</v>
      </c>
      <c r="P765" s="15">
        <f>IF(Table1[[#This Row],[Amount Spent]]&gt;3500, 3500,Table1[[#This Row],[Amount Spent]])</f>
        <v>1753.394</v>
      </c>
    </row>
    <row r="766" spans="1:16" x14ac:dyDescent="0.35">
      <c r="A766" s="9">
        <v>766</v>
      </c>
      <c r="B766" s="4" t="s">
        <v>63</v>
      </c>
      <c r="C766" s="9" t="s">
        <v>61</v>
      </c>
      <c r="D766" s="9" t="s">
        <v>58</v>
      </c>
      <c r="E766" s="9" t="s">
        <v>70</v>
      </c>
      <c r="F766" s="9">
        <v>1</v>
      </c>
      <c r="G766" s="5">
        <v>31900</v>
      </c>
      <c r="H766" s="4">
        <v>0</v>
      </c>
      <c r="I766" s="9" t="s">
        <v>68</v>
      </c>
      <c r="J766" s="4">
        <v>6</v>
      </c>
      <c r="K766" s="4" t="s">
        <v>14</v>
      </c>
      <c r="L766" s="4" t="s">
        <v>40</v>
      </c>
      <c r="M766" s="4" t="s">
        <v>36</v>
      </c>
      <c r="N766" s="10">
        <v>41923</v>
      </c>
      <c r="O766" s="6">
        <v>615.70699999999999</v>
      </c>
      <c r="P766" s="15">
        <f>IF(Table1[[#This Row],[Amount Spent]]&gt;3500, 3500,Table1[[#This Row],[Amount Spent]])</f>
        <v>615.70699999999999</v>
      </c>
    </row>
    <row r="767" spans="1:16" x14ac:dyDescent="0.35">
      <c r="A767" s="8">
        <v>767</v>
      </c>
      <c r="B767" s="1" t="s">
        <v>64</v>
      </c>
      <c r="C767" s="8" t="s">
        <v>62</v>
      </c>
      <c r="D767" s="8" t="s">
        <v>58</v>
      </c>
      <c r="E767" s="8" t="s">
        <v>2</v>
      </c>
      <c r="F767" s="8">
        <v>1</v>
      </c>
      <c r="G767" s="2">
        <v>59100</v>
      </c>
      <c r="H767" s="1">
        <v>1</v>
      </c>
      <c r="I767" s="8" t="s">
        <v>8</v>
      </c>
      <c r="J767" s="1">
        <v>6</v>
      </c>
      <c r="K767" s="1" t="s">
        <v>14</v>
      </c>
      <c r="L767" s="1" t="s">
        <v>40</v>
      </c>
      <c r="M767" s="1" t="s">
        <v>37</v>
      </c>
      <c r="N767" s="10">
        <v>42059</v>
      </c>
      <c r="O767" s="3">
        <v>1425.7809999999999</v>
      </c>
      <c r="P767" s="15">
        <f>IF(Table1[[#This Row],[Amount Spent]]&gt;3500, 3500,Table1[[#This Row],[Amount Spent]])</f>
        <v>1425.7809999999999</v>
      </c>
    </row>
    <row r="768" spans="1:16" x14ac:dyDescent="0.35">
      <c r="A768" s="9">
        <v>768</v>
      </c>
      <c r="B768" s="4" t="s">
        <v>64</v>
      </c>
      <c r="C768" s="9" t="s">
        <v>61</v>
      </c>
      <c r="D768" s="9" t="s">
        <v>66</v>
      </c>
      <c r="E768" s="9" t="s">
        <v>2</v>
      </c>
      <c r="F768" s="9">
        <v>0</v>
      </c>
      <c r="G768" s="5">
        <v>72200</v>
      </c>
      <c r="H768" s="4">
        <v>3</v>
      </c>
      <c r="I768" s="9" t="s">
        <v>68</v>
      </c>
      <c r="J768" s="4">
        <v>18</v>
      </c>
      <c r="K768" s="4" t="s">
        <v>13</v>
      </c>
      <c r="L768" s="4" t="s">
        <v>43</v>
      </c>
      <c r="M768" s="4" t="s">
        <v>23</v>
      </c>
      <c r="N768" s="10">
        <v>40284</v>
      </c>
      <c r="O768" s="6">
        <v>1041.5039999999999</v>
      </c>
      <c r="P768" s="15">
        <f>IF(Table1[[#This Row],[Amount Spent]]&gt;3500, 3500,Table1[[#This Row],[Amount Spent]])</f>
        <v>1041.5039999999999</v>
      </c>
    </row>
    <row r="769" spans="1:16" x14ac:dyDescent="0.35">
      <c r="A769" s="8">
        <v>769</v>
      </c>
      <c r="B769" s="1" t="s">
        <v>64</v>
      </c>
      <c r="C769" s="8" t="s">
        <v>62</v>
      </c>
      <c r="D769" s="8" t="s">
        <v>66</v>
      </c>
      <c r="E769" s="8" t="s">
        <v>2</v>
      </c>
      <c r="F769" s="8">
        <v>1</v>
      </c>
      <c r="G769" s="2">
        <v>60500</v>
      </c>
      <c r="H769" s="1">
        <v>2</v>
      </c>
      <c r="I769" s="8" t="s">
        <v>67</v>
      </c>
      <c r="J769" s="1">
        <v>6</v>
      </c>
      <c r="K769" s="1" t="s">
        <v>12</v>
      </c>
      <c r="L769" s="1" t="s">
        <v>53</v>
      </c>
      <c r="M769" s="1" t="s">
        <v>19</v>
      </c>
      <c r="N769" s="10">
        <v>41923</v>
      </c>
      <c r="O769" s="3">
        <v>408.63799999999998</v>
      </c>
      <c r="P769" s="15">
        <f>IF(Table1[[#This Row],[Amount Spent]]&gt;3500, 3500,Table1[[#This Row],[Amount Spent]])</f>
        <v>408.63799999999998</v>
      </c>
    </row>
    <row r="770" spans="1:16" x14ac:dyDescent="0.35">
      <c r="A770" s="9">
        <v>770</v>
      </c>
      <c r="B770" s="4" t="s">
        <v>63</v>
      </c>
      <c r="C770" s="9" t="s">
        <v>61</v>
      </c>
      <c r="D770" s="9" t="s">
        <v>66</v>
      </c>
      <c r="E770" s="9" t="s">
        <v>2</v>
      </c>
      <c r="F770" s="9">
        <v>1</v>
      </c>
      <c r="G770" s="5">
        <v>36700</v>
      </c>
      <c r="H770" s="4">
        <v>0</v>
      </c>
      <c r="I770" s="9" t="s">
        <v>68</v>
      </c>
      <c r="J770" s="4">
        <v>12</v>
      </c>
      <c r="K770" s="4" t="s">
        <v>12</v>
      </c>
      <c r="L770" s="4" t="s">
        <v>47</v>
      </c>
      <c r="M770" s="4" t="s">
        <v>18</v>
      </c>
      <c r="N770" s="10">
        <v>42225</v>
      </c>
      <c r="O770" s="6">
        <v>730.67</v>
      </c>
      <c r="P770" s="15">
        <f>IF(Table1[[#This Row],[Amount Spent]]&gt;3500, 3500,Table1[[#This Row],[Amount Spent]])</f>
        <v>730.67</v>
      </c>
    </row>
    <row r="771" spans="1:16" x14ac:dyDescent="0.35">
      <c r="A771" s="8">
        <v>771</v>
      </c>
      <c r="B771" s="1" t="s">
        <v>64</v>
      </c>
      <c r="C771" s="8" t="s">
        <v>61</v>
      </c>
      <c r="D771" s="8" t="s">
        <v>58</v>
      </c>
      <c r="E771" s="8" t="s">
        <v>2</v>
      </c>
      <c r="F771" s="8">
        <v>1</v>
      </c>
      <c r="G771" s="2">
        <v>88700</v>
      </c>
      <c r="H771" s="1">
        <v>1</v>
      </c>
      <c r="I771" s="8" t="s">
        <v>8</v>
      </c>
      <c r="J771" s="1">
        <v>18</v>
      </c>
      <c r="K771" s="1" t="s">
        <v>15</v>
      </c>
      <c r="L771" s="1" t="s">
        <v>44</v>
      </c>
      <c r="M771" s="1" t="s">
        <v>29</v>
      </c>
      <c r="N771" s="10">
        <v>42091</v>
      </c>
      <c r="O771" s="3">
        <v>2448.2089999999998</v>
      </c>
      <c r="P771" s="15">
        <f>IF(Table1[[#This Row],[Amount Spent]]&gt;3500, 3500,Table1[[#This Row],[Amount Spent]])</f>
        <v>2448.2089999999998</v>
      </c>
    </row>
    <row r="772" spans="1:16" x14ac:dyDescent="0.35">
      <c r="A772" s="9">
        <v>772</v>
      </c>
      <c r="B772" s="4" t="s">
        <v>64</v>
      </c>
      <c r="C772" s="9" t="s">
        <v>62</v>
      </c>
      <c r="D772" s="9" t="s">
        <v>58</v>
      </c>
      <c r="E772" s="9" t="s">
        <v>70</v>
      </c>
      <c r="F772" s="9">
        <v>1</v>
      </c>
      <c r="G772" s="5">
        <v>51200</v>
      </c>
      <c r="H772" s="4">
        <v>0</v>
      </c>
      <c r="I772" s="9" t="s">
        <v>68</v>
      </c>
      <c r="J772" s="4">
        <v>18</v>
      </c>
      <c r="K772" s="4" t="s">
        <v>12</v>
      </c>
      <c r="L772" s="4" t="s">
        <v>53</v>
      </c>
      <c r="M772" s="4" t="s">
        <v>19</v>
      </c>
      <c r="N772" s="10">
        <v>40994</v>
      </c>
      <c r="O772" s="6">
        <v>1257.383</v>
      </c>
      <c r="P772" s="15">
        <f>IF(Table1[[#This Row],[Amount Spent]]&gt;3500, 3500,Table1[[#This Row],[Amount Spent]])</f>
        <v>1257.383</v>
      </c>
    </row>
    <row r="773" spans="1:16" x14ac:dyDescent="0.35">
      <c r="A773" s="8">
        <v>773</v>
      </c>
      <c r="B773" s="1" t="s">
        <v>64</v>
      </c>
      <c r="C773" s="8" t="s">
        <v>61</v>
      </c>
      <c r="D773" s="8" t="s">
        <v>66</v>
      </c>
      <c r="E773" s="8" t="s">
        <v>70</v>
      </c>
      <c r="F773" s="8">
        <v>1</v>
      </c>
      <c r="G773" s="2">
        <v>60300</v>
      </c>
      <c r="H773" s="1">
        <v>0</v>
      </c>
      <c r="I773" s="8" t="s">
        <v>69</v>
      </c>
      <c r="J773" s="1">
        <v>6</v>
      </c>
      <c r="K773" s="1" t="s">
        <v>12</v>
      </c>
      <c r="L773" s="1" t="s">
        <v>54</v>
      </c>
      <c r="M773" s="1" t="s">
        <v>21</v>
      </c>
      <c r="N773" s="10">
        <v>39973</v>
      </c>
      <c r="O773" s="3">
        <v>700.50199999999995</v>
      </c>
      <c r="P773" s="15">
        <f>IF(Table1[[#This Row],[Amount Spent]]&gt;3500, 3500,Table1[[#This Row],[Amount Spent]])</f>
        <v>700.50199999999995</v>
      </c>
    </row>
    <row r="774" spans="1:16" x14ac:dyDescent="0.35">
      <c r="A774" s="9">
        <v>774</v>
      </c>
      <c r="B774" s="4" t="s">
        <v>65</v>
      </c>
      <c r="C774" s="9" t="s">
        <v>62</v>
      </c>
      <c r="D774" s="9" t="s">
        <v>66</v>
      </c>
      <c r="E774" s="9" t="s">
        <v>70</v>
      </c>
      <c r="F774" s="9">
        <v>1</v>
      </c>
      <c r="G774" s="5">
        <v>29200</v>
      </c>
      <c r="H774" s="4">
        <v>0</v>
      </c>
      <c r="I774" s="9" t="s">
        <v>67</v>
      </c>
      <c r="J774" s="4">
        <v>12</v>
      </c>
      <c r="K774" s="4" t="s">
        <v>12</v>
      </c>
      <c r="L774" s="4" t="s">
        <v>53</v>
      </c>
      <c r="M774" s="4" t="s">
        <v>19</v>
      </c>
      <c r="N774" s="10">
        <v>41938</v>
      </c>
      <c r="O774" s="6">
        <v>556.24</v>
      </c>
      <c r="P774" s="15">
        <f>IF(Table1[[#This Row],[Amount Spent]]&gt;3500, 3500,Table1[[#This Row],[Amount Spent]])</f>
        <v>556.24</v>
      </c>
    </row>
    <row r="775" spans="1:16" x14ac:dyDescent="0.35">
      <c r="A775" s="8">
        <v>775</v>
      </c>
      <c r="B775" s="1" t="s">
        <v>64</v>
      </c>
      <c r="C775" s="8" t="s">
        <v>61</v>
      </c>
      <c r="D775" s="8" t="s">
        <v>58</v>
      </c>
      <c r="E775" s="8" t="s">
        <v>2</v>
      </c>
      <c r="F775" s="8">
        <v>1</v>
      </c>
      <c r="G775" s="2">
        <v>79600</v>
      </c>
      <c r="H775" s="1">
        <v>2</v>
      </c>
      <c r="I775" s="8" t="s">
        <v>8</v>
      </c>
      <c r="J775" s="1">
        <v>6</v>
      </c>
      <c r="K775" s="1" t="s">
        <v>12</v>
      </c>
      <c r="L775" s="1" t="s">
        <v>54</v>
      </c>
      <c r="M775" s="1" t="s">
        <v>21</v>
      </c>
      <c r="N775" s="10">
        <v>42119</v>
      </c>
      <c r="O775" s="3">
        <v>1575.424</v>
      </c>
      <c r="P775" s="15">
        <f>IF(Table1[[#This Row],[Amount Spent]]&gt;3500, 3500,Table1[[#This Row],[Amount Spent]])</f>
        <v>1575.424</v>
      </c>
    </row>
    <row r="776" spans="1:16" x14ac:dyDescent="0.35">
      <c r="A776" s="9">
        <v>776</v>
      </c>
      <c r="B776" s="4" t="s">
        <v>64</v>
      </c>
      <c r="C776" s="9" t="s">
        <v>61</v>
      </c>
      <c r="D776" s="9" t="s">
        <v>58</v>
      </c>
      <c r="E776" s="9" t="s">
        <v>2</v>
      </c>
      <c r="F776" s="9">
        <v>1</v>
      </c>
      <c r="G776" s="5">
        <v>79000</v>
      </c>
      <c r="H776" s="4">
        <v>2</v>
      </c>
      <c r="I776" s="9" t="s">
        <v>68</v>
      </c>
      <c r="J776" s="4">
        <v>18</v>
      </c>
      <c r="K776" s="4" t="s">
        <v>14</v>
      </c>
      <c r="L776" s="4" t="s">
        <v>50</v>
      </c>
      <c r="M776" s="4" t="s">
        <v>35</v>
      </c>
      <c r="N776" s="10">
        <v>41836</v>
      </c>
      <c r="O776" s="6">
        <v>670.50800000000004</v>
      </c>
      <c r="P776" s="15">
        <f>IF(Table1[[#This Row],[Amount Spent]]&gt;3500, 3500,Table1[[#This Row],[Amount Spent]])</f>
        <v>670.50800000000004</v>
      </c>
    </row>
    <row r="777" spans="1:16" x14ac:dyDescent="0.35">
      <c r="A777" s="8">
        <v>777</v>
      </c>
      <c r="B777" s="1" t="s">
        <v>63</v>
      </c>
      <c r="C777" s="8" t="s">
        <v>61</v>
      </c>
      <c r="D777" s="8" t="s">
        <v>66</v>
      </c>
      <c r="E777" s="8" t="s">
        <v>2</v>
      </c>
      <c r="F777" s="8">
        <v>1</v>
      </c>
      <c r="G777" s="2">
        <v>36600</v>
      </c>
      <c r="H777" s="1">
        <v>0</v>
      </c>
      <c r="I777" s="8" t="s">
        <v>8</v>
      </c>
      <c r="J777" s="1">
        <v>6</v>
      </c>
      <c r="K777" s="1" t="s">
        <v>12</v>
      </c>
      <c r="L777" s="1" t="s">
        <v>53</v>
      </c>
      <c r="M777" s="1" t="s">
        <v>19</v>
      </c>
      <c r="N777" s="10">
        <v>42023</v>
      </c>
      <c r="O777" s="3">
        <v>586.62699999999995</v>
      </c>
      <c r="P777" s="15">
        <f>IF(Table1[[#This Row],[Amount Spent]]&gt;3500, 3500,Table1[[#This Row],[Amount Spent]])</f>
        <v>586.62699999999995</v>
      </c>
    </row>
    <row r="778" spans="1:16" x14ac:dyDescent="0.35">
      <c r="A778" s="9">
        <v>778</v>
      </c>
      <c r="B778" s="4" t="s">
        <v>64</v>
      </c>
      <c r="C778" s="9" t="s">
        <v>61</v>
      </c>
      <c r="D778" s="9" t="s">
        <v>66</v>
      </c>
      <c r="E778" s="9" t="s">
        <v>70</v>
      </c>
      <c r="F778" s="9">
        <v>1</v>
      </c>
      <c r="G778" s="5">
        <v>34200</v>
      </c>
      <c r="H778" s="4">
        <v>1</v>
      </c>
      <c r="I778" s="9" t="s">
        <v>67</v>
      </c>
      <c r="J778" s="4">
        <v>18</v>
      </c>
      <c r="K778" s="4" t="s">
        <v>14</v>
      </c>
      <c r="L778" s="4" t="s">
        <v>40</v>
      </c>
      <c r="M778" s="4" t="s">
        <v>36</v>
      </c>
      <c r="N778" s="10">
        <v>40024</v>
      </c>
      <c r="O778" s="6">
        <v>522.63900000000001</v>
      </c>
      <c r="P778" s="15">
        <f>IF(Table1[[#This Row],[Amount Spent]]&gt;3500, 3500,Table1[[#This Row],[Amount Spent]])</f>
        <v>522.63900000000001</v>
      </c>
    </row>
    <row r="779" spans="1:16" x14ac:dyDescent="0.35">
      <c r="A779" s="8">
        <v>779</v>
      </c>
      <c r="B779" s="1" t="s">
        <v>63</v>
      </c>
      <c r="C779" s="8" t="s">
        <v>61</v>
      </c>
      <c r="D779" s="8" t="s">
        <v>66</v>
      </c>
      <c r="E779" s="8" t="s">
        <v>70</v>
      </c>
      <c r="F779" s="8">
        <v>0</v>
      </c>
      <c r="G779" s="2">
        <v>19400</v>
      </c>
      <c r="H779" s="1">
        <v>0</v>
      </c>
      <c r="I779" s="8" t="s">
        <v>67</v>
      </c>
      <c r="J779" s="1">
        <v>6</v>
      </c>
      <c r="K779" s="1" t="s">
        <v>13</v>
      </c>
      <c r="L779" s="1" t="s">
        <v>43</v>
      </c>
      <c r="M779" s="1" t="s">
        <v>23</v>
      </c>
      <c r="N779" s="10">
        <v>40376</v>
      </c>
      <c r="O779" s="3">
        <v>563.43299999999999</v>
      </c>
      <c r="P779" s="15">
        <f>IF(Table1[[#This Row],[Amount Spent]]&gt;3500, 3500,Table1[[#This Row],[Amount Spent]])</f>
        <v>563.43299999999999</v>
      </c>
    </row>
    <row r="780" spans="1:16" x14ac:dyDescent="0.35">
      <c r="A780" s="9">
        <v>780</v>
      </c>
      <c r="B780" s="4" t="s">
        <v>64</v>
      </c>
      <c r="C780" s="9" t="s">
        <v>62</v>
      </c>
      <c r="D780" s="9" t="s">
        <v>58</v>
      </c>
      <c r="E780" s="9" t="s">
        <v>2</v>
      </c>
      <c r="F780" s="9">
        <v>1</v>
      </c>
      <c r="G780" s="5">
        <v>86400</v>
      </c>
      <c r="H780" s="4">
        <v>1</v>
      </c>
      <c r="I780" s="9" t="s">
        <v>69</v>
      </c>
      <c r="J780" s="4">
        <v>12</v>
      </c>
      <c r="K780" s="4" t="s">
        <v>14</v>
      </c>
      <c r="L780" s="4" t="s">
        <v>49</v>
      </c>
      <c r="M780" s="4" t="s">
        <v>39</v>
      </c>
      <c r="N780" s="10">
        <v>41422</v>
      </c>
      <c r="O780" s="6">
        <v>1713.0730000000001</v>
      </c>
      <c r="P780" s="15">
        <f>IF(Table1[[#This Row],[Amount Spent]]&gt;3500, 3500,Table1[[#This Row],[Amount Spent]])</f>
        <v>1713.0730000000001</v>
      </c>
    </row>
    <row r="781" spans="1:16" x14ac:dyDescent="0.35">
      <c r="A781" s="8">
        <v>781</v>
      </c>
      <c r="B781" s="1" t="s">
        <v>63</v>
      </c>
      <c r="C781" s="8" t="s">
        <v>62</v>
      </c>
      <c r="D781" s="8" t="s">
        <v>66</v>
      </c>
      <c r="E781" s="8" t="s">
        <v>70</v>
      </c>
      <c r="F781" s="8">
        <v>1</v>
      </c>
      <c r="G781" s="2">
        <v>11500</v>
      </c>
      <c r="H781" s="1">
        <v>3</v>
      </c>
      <c r="I781" s="8" t="s">
        <v>8</v>
      </c>
      <c r="J781" s="1">
        <v>6</v>
      </c>
      <c r="K781" s="1" t="s">
        <v>13</v>
      </c>
      <c r="L781" s="1" t="s">
        <v>46</v>
      </c>
      <c r="M781" s="1" t="s">
        <v>22</v>
      </c>
      <c r="N781" s="10">
        <v>42050</v>
      </c>
      <c r="O781" s="3">
        <v>156.56700000000001</v>
      </c>
      <c r="P781" s="15">
        <f>IF(Table1[[#This Row],[Amount Spent]]&gt;3500, 3500,Table1[[#This Row],[Amount Spent]])</f>
        <v>156.56700000000001</v>
      </c>
    </row>
    <row r="782" spans="1:16" x14ac:dyDescent="0.35">
      <c r="A782" s="9">
        <v>782</v>
      </c>
      <c r="B782" s="4" t="s">
        <v>63</v>
      </c>
      <c r="C782" s="9" t="s">
        <v>62</v>
      </c>
      <c r="D782" s="9" t="s">
        <v>66</v>
      </c>
      <c r="E782" s="9" t="s">
        <v>70</v>
      </c>
      <c r="F782" s="9">
        <v>1</v>
      </c>
      <c r="G782" s="5">
        <v>24000</v>
      </c>
      <c r="H782" s="4">
        <v>2</v>
      </c>
      <c r="I782" s="9" t="s">
        <v>8</v>
      </c>
      <c r="J782" s="4">
        <v>6</v>
      </c>
      <c r="K782" s="4" t="s">
        <v>13</v>
      </c>
      <c r="L782" s="4" t="s">
        <v>42</v>
      </c>
      <c r="M782" s="4" t="s">
        <v>25</v>
      </c>
      <c r="N782" s="10">
        <v>42044</v>
      </c>
      <c r="O782" s="6">
        <v>362.221</v>
      </c>
      <c r="P782" s="15">
        <f>IF(Table1[[#This Row],[Amount Spent]]&gt;3500, 3500,Table1[[#This Row],[Amount Spent]])</f>
        <v>362.221</v>
      </c>
    </row>
    <row r="783" spans="1:16" x14ac:dyDescent="0.35">
      <c r="A783" s="8">
        <v>783</v>
      </c>
      <c r="B783" s="1" t="s">
        <v>64</v>
      </c>
      <c r="C783" s="8" t="s">
        <v>61</v>
      </c>
      <c r="D783" s="8" t="s">
        <v>58</v>
      </c>
      <c r="E783" s="8" t="s">
        <v>2</v>
      </c>
      <c r="F783" s="8">
        <v>0</v>
      </c>
      <c r="G783" s="2">
        <v>123000</v>
      </c>
      <c r="H783" s="1">
        <v>1</v>
      </c>
      <c r="I783" s="8" t="s">
        <v>69</v>
      </c>
      <c r="J783" s="1">
        <v>24</v>
      </c>
      <c r="K783" s="1" t="s">
        <v>12</v>
      </c>
      <c r="L783" s="1" t="s">
        <v>55</v>
      </c>
      <c r="M783" s="1" t="s">
        <v>17</v>
      </c>
      <c r="N783" s="10">
        <v>41706</v>
      </c>
      <c r="O783" s="3">
        <v>5877.7340000000004</v>
      </c>
      <c r="P783" s="15">
        <f>IF(Table1[[#This Row],[Amount Spent]]&gt;3500, 3500,Table1[[#This Row],[Amount Spent]])</f>
        <v>3500</v>
      </c>
    </row>
    <row r="784" spans="1:16" x14ac:dyDescent="0.35">
      <c r="A784" s="9">
        <v>784</v>
      </c>
      <c r="B784" s="4" t="s">
        <v>64</v>
      </c>
      <c r="C784" s="9" t="s">
        <v>62</v>
      </c>
      <c r="D784" s="9" t="s">
        <v>58</v>
      </c>
      <c r="E784" s="9" t="s">
        <v>2</v>
      </c>
      <c r="F784" s="9">
        <v>1</v>
      </c>
      <c r="G784" s="5">
        <v>71900</v>
      </c>
      <c r="H784" s="4">
        <v>0</v>
      </c>
      <c r="I784" s="9" t="s">
        <v>69</v>
      </c>
      <c r="J784" s="4">
        <v>18</v>
      </c>
      <c r="K784" s="4" t="s">
        <v>13</v>
      </c>
      <c r="L784" s="4" t="s">
        <v>56</v>
      </c>
      <c r="M784" s="4" t="s">
        <v>24</v>
      </c>
      <c r="N784" s="10">
        <v>42015</v>
      </c>
      <c r="O784" s="6">
        <v>1845.7750000000001</v>
      </c>
      <c r="P784" s="15">
        <f>IF(Table1[[#This Row],[Amount Spent]]&gt;3500, 3500,Table1[[#This Row],[Amount Spent]])</f>
        <v>1845.7750000000001</v>
      </c>
    </row>
    <row r="785" spans="1:16" x14ac:dyDescent="0.35">
      <c r="A785" s="8">
        <v>785</v>
      </c>
      <c r="B785" s="1" t="s">
        <v>65</v>
      </c>
      <c r="C785" s="8" t="s">
        <v>62</v>
      </c>
      <c r="D785" s="8" t="s">
        <v>66</v>
      </c>
      <c r="E785" s="8" t="s">
        <v>2</v>
      </c>
      <c r="F785" s="8">
        <v>1</v>
      </c>
      <c r="G785" s="2">
        <v>70900</v>
      </c>
      <c r="H785" s="1">
        <v>0</v>
      </c>
      <c r="I785" s="8" t="s">
        <v>69</v>
      </c>
      <c r="J785" s="1">
        <v>24</v>
      </c>
      <c r="K785" s="1" t="s">
        <v>15</v>
      </c>
      <c r="L785" s="1" t="s">
        <v>52</v>
      </c>
      <c r="M785" s="1" t="s">
        <v>31</v>
      </c>
      <c r="N785" s="10">
        <v>41646</v>
      </c>
      <c r="O785" s="3">
        <v>1684.72</v>
      </c>
      <c r="P785" s="15">
        <f>IF(Table1[[#This Row],[Amount Spent]]&gt;3500, 3500,Table1[[#This Row],[Amount Spent]])</f>
        <v>1684.72</v>
      </c>
    </row>
    <row r="786" spans="1:16" x14ac:dyDescent="0.35">
      <c r="A786" s="9">
        <v>786</v>
      </c>
      <c r="B786" s="4" t="s">
        <v>63</v>
      </c>
      <c r="C786" s="9" t="s">
        <v>61</v>
      </c>
      <c r="D786" s="9" t="s">
        <v>66</v>
      </c>
      <c r="E786" s="9" t="s">
        <v>70</v>
      </c>
      <c r="F786" s="9">
        <v>0</v>
      </c>
      <c r="G786" s="5">
        <v>20300</v>
      </c>
      <c r="H786" s="4">
        <v>2</v>
      </c>
      <c r="I786" s="9" t="s">
        <v>67</v>
      </c>
      <c r="J786" s="4">
        <v>24</v>
      </c>
      <c r="K786" s="4" t="s">
        <v>14</v>
      </c>
      <c r="L786" s="4" t="s">
        <v>51</v>
      </c>
      <c r="M786" s="4" t="s">
        <v>38</v>
      </c>
      <c r="N786" s="10">
        <v>40869</v>
      </c>
      <c r="O786" s="6">
        <v>450.07799999999997</v>
      </c>
      <c r="P786" s="15">
        <f>IF(Table1[[#This Row],[Amount Spent]]&gt;3500, 3500,Table1[[#This Row],[Amount Spent]])</f>
        <v>450.07799999999997</v>
      </c>
    </row>
    <row r="787" spans="1:16" x14ac:dyDescent="0.35">
      <c r="A787" s="8">
        <v>787</v>
      </c>
      <c r="B787" s="1" t="s">
        <v>64</v>
      </c>
      <c r="C787" s="8" t="s">
        <v>61</v>
      </c>
      <c r="D787" s="8" t="s">
        <v>66</v>
      </c>
      <c r="E787" s="8" t="s">
        <v>70</v>
      </c>
      <c r="F787" s="8">
        <v>1</v>
      </c>
      <c r="G787" s="2">
        <v>52100</v>
      </c>
      <c r="H787" s="1">
        <v>0</v>
      </c>
      <c r="I787" s="8" t="s">
        <v>8</v>
      </c>
      <c r="J787" s="1">
        <v>12</v>
      </c>
      <c r="K787" s="1" t="s">
        <v>13</v>
      </c>
      <c r="L787" s="1" t="s">
        <v>43</v>
      </c>
      <c r="M787" s="1" t="s">
        <v>23</v>
      </c>
      <c r="N787" s="10">
        <v>42151</v>
      </c>
      <c r="O787" s="3">
        <v>1668.443</v>
      </c>
      <c r="P787" s="15">
        <f>IF(Table1[[#This Row],[Amount Spent]]&gt;3500, 3500,Table1[[#This Row],[Amount Spent]])</f>
        <v>1668.443</v>
      </c>
    </row>
    <row r="788" spans="1:16" x14ac:dyDescent="0.35">
      <c r="A788" s="9">
        <v>788</v>
      </c>
      <c r="B788" s="4" t="s">
        <v>63</v>
      </c>
      <c r="C788" s="9" t="s">
        <v>62</v>
      </c>
      <c r="D788" s="9" t="s">
        <v>66</v>
      </c>
      <c r="E788" s="9" t="s">
        <v>70</v>
      </c>
      <c r="F788" s="9">
        <v>1</v>
      </c>
      <c r="G788" s="5">
        <v>16900</v>
      </c>
      <c r="H788" s="4">
        <v>2</v>
      </c>
      <c r="I788" s="9" t="s">
        <v>8</v>
      </c>
      <c r="J788" s="4">
        <v>6</v>
      </c>
      <c r="K788" s="4" t="s">
        <v>15</v>
      </c>
      <c r="L788" s="4" t="s">
        <v>52</v>
      </c>
      <c r="M788" s="4" t="s">
        <v>31</v>
      </c>
      <c r="N788" s="10">
        <v>42224</v>
      </c>
      <c r="O788" s="6">
        <v>281.31400000000002</v>
      </c>
      <c r="P788" s="15">
        <f>IF(Table1[[#This Row],[Amount Spent]]&gt;3500, 3500,Table1[[#This Row],[Amount Spent]])</f>
        <v>281.31400000000002</v>
      </c>
    </row>
    <row r="789" spans="1:16" x14ac:dyDescent="0.35">
      <c r="A789" s="8">
        <v>789</v>
      </c>
      <c r="B789" s="1" t="s">
        <v>64</v>
      </c>
      <c r="C789" s="8" t="s">
        <v>61</v>
      </c>
      <c r="D789" s="8" t="s">
        <v>58</v>
      </c>
      <c r="E789" s="8" t="s">
        <v>2</v>
      </c>
      <c r="F789" s="8">
        <v>1</v>
      </c>
      <c r="G789" s="2">
        <v>74500</v>
      </c>
      <c r="H789" s="1">
        <v>2</v>
      </c>
      <c r="I789" s="8" t="s">
        <v>68</v>
      </c>
      <c r="J789" s="1">
        <v>12</v>
      </c>
      <c r="K789" s="1" t="s">
        <v>13</v>
      </c>
      <c r="L789" s="1" t="s">
        <v>45</v>
      </c>
      <c r="M789" s="1" t="s">
        <v>26</v>
      </c>
      <c r="N789" s="10">
        <v>42070</v>
      </c>
      <c r="O789" s="3">
        <v>823.58199999999999</v>
      </c>
      <c r="P789" s="15">
        <f>IF(Table1[[#This Row],[Amount Spent]]&gt;3500, 3500,Table1[[#This Row],[Amount Spent]])</f>
        <v>823.58199999999999</v>
      </c>
    </row>
    <row r="790" spans="1:16" x14ac:dyDescent="0.35">
      <c r="A790" s="9">
        <v>790</v>
      </c>
      <c r="B790" s="4" t="s">
        <v>63</v>
      </c>
      <c r="C790" s="9" t="s">
        <v>61</v>
      </c>
      <c r="D790" s="9" t="s">
        <v>66</v>
      </c>
      <c r="E790" s="9" t="s">
        <v>2</v>
      </c>
      <c r="F790" s="9">
        <v>0</v>
      </c>
      <c r="G790" s="5">
        <v>55000</v>
      </c>
      <c r="H790" s="4">
        <v>0</v>
      </c>
      <c r="I790" s="9" t="s">
        <v>8</v>
      </c>
      <c r="J790" s="4">
        <v>12</v>
      </c>
      <c r="K790" s="4" t="s">
        <v>13</v>
      </c>
      <c r="L790" s="4" t="s">
        <v>46</v>
      </c>
      <c r="M790" s="4" t="s">
        <v>22</v>
      </c>
      <c r="N790" s="10">
        <v>42222</v>
      </c>
      <c r="O790" s="6">
        <v>1161.8689999999999</v>
      </c>
      <c r="P790" s="15">
        <f>IF(Table1[[#This Row],[Amount Spent]]&gt;3500, 3500,Table1[[#This Row],[Amount Spent]])</f>
        <v>1161.8689999999999</v>
      </c>
    </row>
    <row r="791" spans="1:16" x14ac:dyDescent="0.35">
      <c r="A791" s="8">
        <v>791</v>
      </c>
      <c r="B791" s="1" t="s">
        <v>63</v>
      </c>
      <c r="C791" s="8" t="s">
        <v>61</v>
      </c>
      <c r="D791" s="8" t="s">
        <v>66</v>
      </c>
      <c r="E791" s="8" t="s">
        <v>70</v>
      </c>
      <c r="F791" s="8">
        <v>1</v>
      </c>
      <c r="G791" s="2">
        <v>20900</v>
      </c>
      <c r="H791" s="1">
        <v>0</v>
      </c>
      <c r="I791" s="8" t="s">
        <v>8</v>
      </c>
      <c r="J791" s="1">
        <v>6</v>
      </c>
      <c r="K791" s="1" t="s">
        <v>13</v>
      </c>
      <c r="L791" s="1" t="s">
        <v>56</v>
      </c>
      <c r="M791" s="1" t="s">
        <v>24</v>
      </c>
      <c r="N791" s="10">
        <v>42181</v>
      </c>
      <c r="O791" s="3">
        <v>295.74900000000002</v>
      </c>
      <c r="P791" s="15">
        <f>IF(Table1[[#This Row],[Amount Spent]]&gt;3500, 3500,Table1[[#This Row],[Amount Spent]])</f>
        <v>295.74900000000002</v>
      </c>
    </row>
    <row r="792" spans="1:16" x14ac:dyDescent="0.35">
      <c r="A792" s="9">
        <v>792</v>
      </c>
      <c r="B792" s="4" t="s">
        <v>64</v>
      </c>
      <c r="C792" s="9" t="s">
        <v>61</v>
      </c>
      <c r="D792" s="9" t="s">
        <v>58</v>
      </c>
      <c r="E792" s="9" t="s">
        <v>2</v>
      </c>
      <c r="F792" s="9">
        <v>1</v>
      </c>
      <c r="G792" s="5">
        <v>102400</v>
      </c>
      <c r="H792" s="4">
        <v>1</v>
      </c>
      <c r="I792" s="9" t="s">
        <v>8</v>
      </c>
      <c r="J792" s="4">
        <v>12</v>
      </c>
      <c r="K792" s="4" t="s">
        <v>13</v>
      </c>
      <c r="L792" s="4" t="s">
        <v>48</v>
      </c>
      <c r="M792" s="4" t="s">
        <v>27</v>
      </c>
      <c r="N792" s="10">
        <v>42198</v>
      </c>
      <c r="O792" s="6">
        <v>2465.7530000000002</v>
      </c>
      <c r="P792" s="15">
        <f>IF(Table1[[#This Row],[Amount Spent]]&gt;3500, 3500,Table1[[#This Row],[Amount Spent]])</f>
        <v>2465.7530000000002</v>
      </c>
    </row>
    <row r="793" spans="1:16" x14ac:dyDescent="0.35">
      <c r="A793" s="8">
        <v>793</v>
      </c>
      <c r="B793" s="1" t="s">
        <v>64</v>
      </c>
      <c r="C793" s="8" t="s">
        <v>61</v>
      </c>
      <c r="D793" s="8" t="s">
        <v>66</v>
      </c>
      <c r="E793" s="8" t="s">
        <v>70</v>
      </c>
      <c r="F793" s="8">
        <v>0</v>
      </c>
      <c r="G793" s="2">
        <v>53800</v>
      </c>
      <c r="H793" s="1">
        <v>0</v>
      </c>
      <c r="I793" s="8" t="s">
        <v>69</v>
      </c>
      <c r="J793" s="1">
        <v>12</v>
      </c>
      <c r="K793" s="1" t="s">
        <v>13</v>
      </c>
      <c r="L793" s="1" t="s">
        <v>45</v>
      </c>
      <c r="M793" s="1" t="s">
        <v>26</v>
      </c>
      <c r="N793" s="10">
        <v>41392</v>
      </c>
      <c r="O793" s="3">
        <v>1803.115</v>
      </c>
      <c r="P793" s="15">
        <f>IF(Table1[[#This Row],[Amount Spent]]&gt;3500, 3500,Table1[[#This Row],[Amount Spent]])</f>
        <v>1803.115</v>
      </c>
    </row>
    <row r="794" spans="1:16" x14ac:dyDescent="0.35">
      <c r="A794" s="9">
        <v>794</v>
      </c>
      <c r="B794" s="4" t="s">
        <v>64</v>
      </c>
      <c r="C794" s="9" t="s">
        <v>61</v>
      </c>
      <c r="D794" s="9" t="s">
        <v>58</v>
      </c>
      <c r="E794" s="9" t="s">
        <v>2</v>
      </c>
      <c r="F794" s="9">
        <v>1</v>
      </c>
      <c r="G794" s="5">
        <v>98400</v>
      </c>
      <c r="H794" s="4">
        <v>0</v>
      </c>
      <c r="I794" s="9" t="s">
        <v>69</v>
      </c>
      <c r="J794" s="4">
        <v>12</v>
      </c>
      <c r="K794" s="4" t="s">
        <v>13</v>
      </c>
      <c r="L794" s="4" t="s">
        <v>45</v>
      </c>
      <c r="M794" s="4" t="s">
        <v>26</v>
      </c>
      <c r="N794" s="10">
        <v>42000</v>
      </c>
      <c r="O794" s="6">
        <v>1413.7339999999999</v>
      </c>
      <c r="P794" s="15">
        <f>IF(Table1[[#This Row],[Amount Spent]]&gt;3500, 3500,Table1[[#This Row],[Amount Spent]])</f>
        <v>1413.7339999999999</v>
      </c>
    </row>
    <row r="795" spans="1:16" x14ac:dyDescent="0.35">
      <c r="A795" s="8">
        <v>795</v>
      </c>
      <c r="B795" s="1" t="s">
        <v>64</v>
      </c>
      <c r="C795" s="8" t="s">
        <v>62</v>
      </c>
      <c r="D795" s="8" t="s">
        <v>66</v>
      </c>
      <c r="E795" s="8" t="s">
        <v>70</v>
      </c>
      <c r="F795" s="8">
        <v>1</v>
      </c>
      <c r="G795" s="2">
        <v>40700</v>
      </c>
      <c r="H795" s="1">
        <v>3</v>
      </c>
      <c r="I795" s="8" t="s">
        <v>67</v>
      </c>
      <c r="J795" s="1">
        <v>18</v>
      </c>
      <c r="K795" s="1" t="s">
        <v>14</v>
      </c>
      <c r="L795" s="1" t="s">
        <v>51</v>
      </c>
      <c r="M795" s="1" t="s">
        <v>38</v>
      </c>
      <c r="N795" s="10">
        <v>41861</v>
      </c>
      <c r="O795" s="3">
        <v>231.59399999999999</v>
      </c>
      <c r="P795" s="15">
        <f>IF(Table1[[#This Row],[Amount Spent]]&gt;3500, 3500,Table1[[#This Row],[Amount Spent]])</f>
        <v>231.59399999999999</v>
      </c>
    </row>
    <row r="796" spans="1:16" x14ac:dyDescent="0.35">
      <c r="A796" s="9">
        <v>796</v>
      </c>
      <c r="B796" s="4" t="s">
        <v>65</v>
      </c>
      <c r="C796" s="9" t="s">
        <v>62</v>
      </c>
      <c r="D796" s="9" t="s">
        <v>58</v>
      </c>
      <c r="E796" s="9" t="s">
        <v>2</v>
      </c>
      <c r="F796" s="9">
        <v>1</v>
      </c>
      <c r="G796" s="5">
        <v>83700</v>
      </c>
      <c r="H796" s="4">
        <v>0</v>
      </c>
      <c r="I796" s="9" t="s">
        <v>69</v>
      </c>
      <c r="J796" s="4">
        <v>18</v>
      </c>
      <c r="K796" s="4" t="s">
        <v>15</v>
      </c>
      <c r="L796" s="4" t="s">
        <v>52</v>
      </c>
      <c r="M796" s="4" t="s">
        <v>31</v>
      </c>
      <c r="N796" s="10">
        <v>41453</v>
      </c>
      <c r="O796" s="6">
        <v>1581.61</v>
      </c>
      <c r="P796" s="15">
        <f>IF(Table1[[#This Row],[Amount Spent]]&gt;3500, 3500,Table1[[#This Row],[Amount Spent]])</f>
        <v>1581.61</v>
      </c>
    </row>
    <row r="797" spans="1:16" x14ac:dyDescent="0.35">
      <c r="A797" s="8">
        <v>797</v>
      </c>
      <c r="B797" s="1" t="s">
        <v>65</v>
      </c>
      <c r="C797" s="8" t="s">
        <v>61</v>
      </c>
      <c r="D797" s="8" t="s">
        <v>58</v>
      </c>
      <c r="E797" s="8" t="s">
        <v>2</v>
      </c>
      <c r="F797" s="8">
        <v>1</v>
      </c>
      <c r="G797" s="2">
        <v>134500</v>
      </c>
      <c r="H797" s="1">
        <v>0</v>
      </c>
      <c r="I797" s="8" t="s">
        <v>69</v>
      </c>
      <c r="J797" s="1">
        <v>24</v>
      </c>
      <c r="K797" s="1" t="s">
        <v>14</v>
      </c>
      <c r="L797" s="1" t="s">
        <v>50</v>
      </c>
      <c r="M797" s="1" t="s">
        <v>35</v>
      </c>
      <c r="N797" s="10">
        <v>40467</v>
      </c>
      <c r="O797" s="3">
        <v>4557.7539999999999</v>
      </c>
      <c r="P797" s="15">
        <f>IF(Table1[[#This Row],[Amount Spent]]&gt;3500, 3500,Table1[[#This Row],[Amount Spent]])</f>
        <v>3500</v>
      </c>
    </row>
    <row r="798" spans="1:16" x14ac:dyDescent="0.35">
      <c r="A798" s="9">
        <v>798</v>
      </c>
      <c r="B798" s="4" t="s">
        <v>64</v>
      </c>
      <c r="C798" s="9" t="s">
        <v>61</v>
      </c>
      <c r="D798" s="9" t="s">
        <v>58</v>
      </c>
      <c r="E798" s="9" t="s">
        <v>70</v>
      </c>
      <c r="F798" s="9">
        <v>1</v>
      </c>
      <c r="G798" s="5">
        <v>74400</v>
      </c>
      <c r="H798" s="4">
        <v>0</v>
      </c>
      <c r="I798" s="9" t="s">
        <v>69</v>
      </c>
      <c r="J798" s="4">
        <v>12</v>
      </c>
      <c r="K798" s="4" t="s">
        <v>12</v>
      </c>
      <c r="L798" s="4" t="s">
        <v>55</v>
      </c>
      <c r="M798" s="4" t="s">
        <v>17</v>
      </c>
      <c r="N798" s="10">
        <v>42174</v>
      </c>
      <c r="O798" s="6">
        <v>1152.1030000000001</v>
      </c>
      <c r="P798" s="15">
        <f>IF(Table1[[#This Row],[Amount Spent]]&gt;3500, 3500,Table1[[#This Row],[Amount Spent]])</f>
        <v>1152.1030000000001</v>
      </c>
    </row>
    <row r="799" spans="1:16" x14ac:dyDescent="0.35">
      <c r="A799" s="8">
        <v>799</v>
      </c>
      <c r="B799" s="1" t="s">
        <v>64</v>
      </c>
      <c r="C799" s="8" t="s">
        <v>61</v>
      </c>
      <c r="D799" s="8" t="s">
        <v>58</v>
      </c>
      <c r="E799" s="8" t="s">
        <v>2</v>
      </c>
      <c r="F799" s="8">
        <v>0</v>
      </c>
      <c r="G799" s="2">
        <v>111800</v>
      </c>
      <c r="H799" s="1">
        <v>3</v>
      </c>
      <c r="I799" s="8" t="s">
        <v>69</v>
      </c>
      <c r="J799" s="1">
        <v>18</v>
      </c>
      <c r="K799" s="1" t="s">
        <v>12</v>
      </c>
      <c r="L799" s="1" t="s">
        <v>47</v>
      </c>
      <c r="M799" s="1" t="s">
        <v>16</v>
      </c>
      <c r="N799" s="10">
        <v>41247</v>
      </c>
      <c r="O799" s="3">
        <v>2065.4650000000001</v>
      </c>
      <c r="P799" s="15">
        <f>IF(Table1[[#This Row],[Amount Spent]]&gt;3500, 3500,Table1[[#This Row],[Amount Spent]])</f>
        <v>2065.4650000000001</v>
      </c>
    </row>
    <row r="800" spans="1:16" x14ac:dyDescent="0.35">
      <c r="A800" s="9">
        <v>800</v>
      </c>
      <c r="B800" s="4" t="s">
        <v>65</v>
      </c>
      <c r="C800" s="9" t="s">
        <v>62</v>
      </c>
      <c r="D800" s="9" t="s">
        <v>58</v>
      </c>
      <c r="E800" s="9" t="s">
        <v>70</v>
      </c>
      <c r="F800" s="9">
        <v>1</v>
      </c>
      <c r="G800" s="5">
        <v>39600</v>
      </c>
      <c r="H800" s="4">
        <v>0</v>
      </c>
      <c r="I800" s="9" t="s">
        <v>68</v>
      </c>
      <c r="J800" s="4">
        <v>12</v>
      </c>
      <c r="K800" s="4" t="s">
        <v>14</v>
      </c>
      <c r="L800" s="4" t="s">
        <v>49</v>
      </c>
      <c r="M800" s="4" t="s">
        <v>39</v>
      </c>
      <c r="N800" s="10">
        <v>41674</v>
      </c>
      <c r="O800" s="6">
        <v>609.62400000000002</v>
      </c>
      <c r="P800" s="15">
        <f>IF(Table1[[#This Row],[Amount Spent]]&gt;3500, 3500,Table1[[#This Row],[Amount Spent]])</f>
        <v>609.62400000000002</v>
      </c>
    </row>
    <row r="801" spans="1:16" x14ac:dyDescent="0.35">
      <c r="A801" s="8">
        <v>801</v>
      </c>
      <c r="B801" s="1" t="s">
        <v>64</v>
      </c>
      <c r="C801" s="8" t="s">
        <v>61</v>
      </c>
      <c r="D801" s="8" t="s">
        <v>58</v>
      </c>
      <c r="E801" s="8" t="s">
        <v>70</v>
      </c>
      <c r="F801" s="8">
        <v>1</v>
      </c>
      <c r="G801" s="2">
        <v>64200</v>
      </c>
      <c r="H801" s="1">
        <v>0</v>
      </c>
      <c r="I801" s="8" t="s">
        <v>69</v>
      </c>
      <c r="J801" s="1">
        <v>18</v>
      </c>
      <c r="K801" s="1" t="s">
        <v>13</v>
      </c>
      <c r="L801" s="1" t="s">
        <v>48</v>
      </c>
      <c r="M801" s="1" t="s">
        <v>27</v>
      </c>
      <c r="N801" s="10">
        <v>41796</v>
      </c>
      <c r="O801" s="3">
        <v>1641.8589999999999</v>
      </c>
      <c r="P801" s="15">
        <f>IF(Table1[[#This Row],[Amount Spent]]&gt;3500, 3500,Table1[[#This Row],[Amount Spent]])</f>
        <v>1641.8589999999999</v>
      </c>
    </row>
    <row r="802" spans="1:16" x14ac:dyDescent="0.35">
      <c r="A802" s="9">
        <v>802</v>
      </c>
      <c r="B802" s="4" t="s">
        <v>63</v>
      </c>
      <c r="C802" s="9" t="s">
        <v>62</v>
      </c>
      <c r="D802" s="9" t="s">
        <v>66</v>
      </c>
      <c r="E802" s="9" t="s">
        <v>2</v>
      </c>
      <c r="F802" s="9">
        <v>1</v>
      </c>
      <c r="G802" s="5">
        <v>40000</v>
      </c>
      <c r="H802" s="4">
        <v>0</v>
      </c>
      <c r="I802" s="9" t="s">
        <v>8</v>
      </c>
      <c r="J802" s="4">
        <v>6</v>
      </c>
      <c r="K802" s="4" t="s">
        <v>14</v>
      </c>
      <c r="L802" s="4" t="s">
        <v>50</v>
      </c>
      <c r="M802" s="4" t="s">
        <v>35</v>
      </c>
      <c r="N802" s="10">
        <v>42183</v>
      </c>
      <c r="O802" s="6">
        <v>613.32600000000002</v>
      </c>
      <c r="P802" s="15">
        <f>IF(Table1[[#This Row],[Amount Spent]]&gt;3500, 3500,Table1[[#This Row],[Amount Spent]])</f>
        <v>613.32600000000002</v>
      </c>
    </row>
    <row r="803" spans="1:16" x14ac:dyDescent="0.35">
      <c r="A803" s="8">
        <v>803</v>
      </c>
      <c r="B803" s="1" t="s">
        <v>64</v>
      </c>
      <c r="C803" s="8" t="s">
        <v>62</v>
      </c>
      <c r="D803" s="8" t="s">
        <v>58</v>
      </c>
      <c r="E803" s="8" t="s">
        <v>2</v>
      </c>
      <c r="F803" s="8">
        <v>1</v>
      </c>
      <c r="G803" s="2">
        <v>72200</v>
      </c>
      <c r="H803" s="1">
        <v>2</v>
      </c>
      <c r="I803" s="8" t="s">
        <v>68</v>
      </c>
      <c r="J803" s="1">
        <v>18</v>
      </c>
      <c r="K803" s="1" t="s">
        <v>13</v>
      </c>
      <c r="L803" s="1" t="s">
        <v>48</v>
      </c>
      <c r="M803" s="1" t="s">
        <v>27</v>
      </c>
      <c r="N803" s="10">
        <v>41788</v>
      </c>
      <c r="O803" s="3">
        <v>714.55499999999995</v>
      </c>
      <c r="P803" s="15">
        <f>IF(Table1[[#This Row],[Amount Spent]]&gt;3500, 3500,Table1[[#This Row],[Amount Spent]])</f>
        <v>714.55499999999995</v>
      </c>
    </row>
    <row r="804" spans="1:16" x14ac:dyDescent="0.35">
      <c r="A804" s="9">
        <v>804</v>
      </c>
      <c r="B804" s="4" t="s">
        <v>64</v>
      </c>
      <c r="C804" s="9" t="s">
        <v>62</v>
      </c>
      <c r="D804" s="9" t="s">
        <v>66</v>
      </c>
      <c r="E804" s="9" t="s">
        <v>2</v>
      </c>
      <c r="F804" s="9">
        <v>1</v>
      </c>
      <c r="G804" s="5">
        <v>79900</v>
      </c>
      <c r="H804" s="4">
        <v>1</v>
      </c>
      <c r="I804" s="9" t="s">
        <v>68</v>
      </c>
      <c r="J804" s="4">
        <v>12</v>
      </c>
      <c r="K804" s="4" t="s">
        <v>13</v>
      </c>
      <c r="L804" s="4" t="s">
        <v>45</v>
      </c>
      <c r="M804" s="4" t="s">
        <v>26</v>
      </c>
      <c r="N804" s="10">
        <v>40237</v>
      </c>
      <c r="O804" s="6">
        <v>1041.4090000000001</v>
      </c>
      <c r="P804" s="15">
        <f>IF(Table1[[#This Row],[Amount Spent]]&gt;3500, 3500,Table1[[#This Row],[Amount Spent]])</f>
        <v>1041.4090000000001</v>
      </c>
    </row>
    <row r="805" spans="1:16" x14ac:dyDescent="0.35">
      <c r="A805" s="8">
        <v>805</v>
      </c>
      <c r="B805" s="1" t="s">
        <v>65</v>
      </c>
      <c r="C805" s="8" t="s">
        <v>61</v>
      </c>
      <c r="D805" s="8" t="s">
        <v>58</v>
      </c>
      <c r="E805" s="8" t="s">
        <v>2</v>
      </c>
      <c r="F805" s="8">
        <v>1</v>
      </c>
      <c r="G805" s="2">
        <v>77300</v>
      </c>
      <c r="H805" s="1">
        <v>0</v>
      </c>
      <c r="I805" s="8" t="s">
        <v>69</v>
      </c>
      <c r="J805" s="1">
        <v>18</v>
      </c>
      <c r="K805" s="1" t="s">
        <v>15</v>
      </c>
      <c r="L805" s="1" t="s">
        <v>52</v>
      </c>
      <c r="M805" s="1" t="s">
        <v>31</v>
      </c>
      <c r="N805" s="10">
        <v>41267</v>
      </c>
      <c r="O805" s="3">
        <v>1853.2809999999999</v>
      </c>
      <c r="P805" s="15">
        <f>IF(Table1[[#This Row],[Amount Spent]]&gt;3500, 3500,Table1[[#This Row],[Amount Spent]])</f>
        <v>1853.2809999999999</v>
      </c>
    </row>
    <row r="806" spans="1:16" x14ac:dyDescent="0.35">
      <c r="A806" s="9">
        <v>806</v>
      </c>
      <c r="B806" s="4" t="s">
        <v>64</v>
      </c>
      <c r="C806" s="9" t="s">
        <v>61</v>
      </c>
      <c r="D806" s="9" t="s">
        <v>58</v>
      </c>
      <c r="E806" s="9" t="s">
        <v>2</v>
      </c>
      <c r="F806" s="9">
        <v>1</v>
      </c>
      <c r="G806" s="5">
        <v>98500</v>
      </c>
      <c r="H806" s="4">
        <v>0</v>
      </c>
      <c r="I806" s="9" t="s">
        <v>69</v>
      </c>
      <c r="J806" s="4">
        <v>18</v>
      </c>
      <c r="K806" s="4" t="s">
        <v>14</v>
      </c>
      <c r="L806" s="4" t="s">
        <v>40</v>
      </c>
      <c r="M806" s="4" t="s">
        <v>37</v>
      </c>
      <c r="N806" s="10">
        <v>39843</v>
      </c>
      <c r="O806" s="6">
        <v>2033.9570000000001</v>
      </c>
      <c r="P806" s="15">
        <f>IF(Table1[[#This Row],[Amount Spent]]&gt;3500, 3500,Table1[[#This Row],[Amount Spent]])</f>
        <v>2033.9570000000001</v>
      </c>
    </row>
    <row r="807" spans="1:16" x14ac:dyDescent="0.35">
      <c r="A807" s="8">
        <v>807</v>
      </c>
      <c r="B807" s="1" t="s">
        <v>64</v>
      </c>
      <c r="C807" s="8" t="s">
        <v>62</v>
      </c>
      <c r="D807" s="8" t="s">
        <v>66</v>
      </c>
      <c r="E807" s="8" t="s">
        <v>2</v>
      </c>
      <c r="F807" s="8">
        <v>1</v>
      </c>
      <c r="G807" s="2">
        <v>93500</v>
      </c>
      <c r="H807" s="1">
        <v>1</v>
      </c>
      <c r="I807" s="8" t="s">
        <v>69</v>
      </c>
      <c r="J807" s="1">
        <v>18</v>
      </c>
      <c r="K807" s="1" t="s">
        <v>15</v>
      </c>
      <c r="L807" s="1" t="s">
        <v>28</v>
      </c>
      <c r="M807" s="1" t="s">
        <v>28</v>
      </c>
      <c r="N807" s="10">
        <v>39944</v>
      </c>
      <c r="O807" s="3">
        <v>1425.9690000000001</v>
      </c>
      <c r="P807" s="15">
        <f>IF(Table1[[#This Row],[Amount Spent]]&gt;3500, 3500,Table1[[#This Row],[Amount Spent]])</f>
        <v>1425.9690000000001</v>
      </c>
    </row>
    <row r="808" spans="1:16" x14ac:dyDescent="0.35">
      <c r="A808" s="9">
        <v>808</v>
      </c>
      <c r="B808" s="4" t="s">
        <v>64</v>
      </c>
      <c r="C808" s="9" t="s">
        <v>62</v>
      </c>
      <c r="D808" s="9" t="s">
        <v>66</v>
      </c>
      <c r="E808" s="9" t="s">
        <v>70</v>
      </c>
      <c r="F808" s="9">
        <v>0</v>
      </c>
      <c r="G808" s="5">
        <v>49500</v>
      </c>
      <c r="H808" s="4">
        <v>2</v>
      </c>
      <c r="I808" s="9" t="s">
        <v>68</v>
      </c>
      <c r="J808" s="4">
        <v>12</v>
      </c>
      <c r="K808" s="4" t="s">
        <v>15</v>
      </c>
      <c r="L808" s="4" t="s">
        <v>42</v>
      </c>
      <c r="M808" s="4" t="s">
        <v>32</v>
      </c>
      <c r="N808" s="10">
        <v>40804</v>
      </c>
      <c r="O808" s="6">
        <v>1195</v>
      </c>
      <c r="P808" s="15">
        <f>IF(Table1[[#This Row],[Amount Spent]]&gt;3500, 3500,Table1[[#This Row],[Amount Spent]])</f>
        <v>1195</v>
      </c>
    </row>
    <row r="809" spans="1:16" x14ac:dyDescent="0.35">
      <c r="A809" s="8">
        <v>809</v>
      </c>
      <c r="B809" s="1" t="s">
        <v>64</v>
      </c>
      <c r="C809" s="8" t="s">
        <v>61</v>
      </c>
      <c r="D809" s="8" t="s">
        <v>58</v>
      </c>
      <c r="E809" s="8" t="s">
        <v>2</v>
      </c>
      <c r="F809" s="8">
        <v>1</v>
      </c>
      <c r="G809" s="2">
        <v>127000</v>
      </c>
      <c r="H809" s="1">
        <v>0</v>
      </c>
      <c r="I809" s="8" t="s">
        <v>8</v>
      </c>
      <c r="J809" s="1">
        <v>12</v>
      </c>
      <c r="K809" s="1" t="s">
        <v>14</v>
      </c>
      <c r="L809" s="1" t="s">
        <v>50</v>
      </c>
      <c r="M809" s="1" t="s">
        <v>35</v>
      </c>
      <c r="N809" s="10">
        <v>42005</v>
      </c>
      <c r="O809" s="3">
        <v>1821.011</v>
      </c>
      <c r="P809" s="15">
        <f>IF(Table1[[#This Row],[Amount Spent]]&gt;3500, 3500,Table1[[#This Row],[Amount Spent]])</f>
        <v>1821.011</v>
      </c>
    </row>
    <row r="810" spans="1:16" x14ac:dyDescent="0.35">
      <c r="A810" s="9">
        <v>810</v>
      </c>
      <c r="B810" s="4" t="s">
        <v>64</v>
      </c>
      <c r="C810" s="9" t="s">
        <v>61</v>
      </c>
      <c r="D810" s="9" t="s">
        <v>58</v>
      </c>
      <c r="E810" s="9" t="s">
        <v>2</v>
      </c>
      <c r="F810" s="9">
        <v>1</v>
      </c>
      <c r="G810" s="5">
        <v>95100</v>
      </c>
      <c r="H810" s="4">
        <v>2</v>
      </c>
      <c r="I810" s="9" t="s">
        <v>68</v>
      </c>
      <c r="J810" s="4">
        <v>12</v>
      </c>
      <c r="K810" s="4" t="s">
        <v>15</v>
      </c>
      <c r="L810" s="4" t="s">
        <v>28</v>
      </c>
      <c r="M810" s="4" t="s">
        <v>33</v>
      </c>
      <c r="N810" s="10">
        <v>42064</v>
      </c>
      <c r="O810" s="6">
        <v>808.93100000000004</v>
      </c>
      <c r="P810" s="15">
        <f>IF(Table1[[#This Row],[Amount Spent]]&gt;3500, 3500,Table1[[#This Row],[Amount Spent]])</f>
        <v>808.93100000000004</v>
      </c>
    </row>
    <row r="811" spans="1:16" x14ac:dyDescent="0.35">
      <c r="A811" s="8">
        <v>811</v>
      </c>
      <c r="B811" s="1" t="s">
        <v>63</v>
      </c>
      <c r="C811" s="8" t="s">
        <v>62</v>
      </c>
      <c r="D811" s="8" t="s">
        <v>66</v>
      </c>
      <c r="E811" s="8" t="s">
        <v>70</v>
      </c>
      <c r="F811" s="8">
        <v>0</v>
      </c>
      <c r="G811" s="2">
        <v>18400</v>
      </c>
      <c r="H811" s="1">
        <v>1</v>
      </c>
      <c r="I811" s="8" t="s">
        <v>67</v>
      </c>
      <c r="J811" s="1">
        <v>12</v>
      </c>
      <c r="K811" s="1" t="s">
        <v>14</v>
      </c>
      <c r="L811" s="1" t="s">
        <v>50</v>
      </c>
      <c r="M811" s="1" t="s">
        <v>34</v>
      </c>
      <c r="N811" s="10">
        <v>42096</v>
      </c>
      <c r="O811" s="3">
        <v>662.41499999999996</v>
      </c>
      <c r="P811" s="15">
        <f>IF(Table1[[#This Row],[Amount Spent]]&gt;3500, 3500,Table1[[#This Row],[Amount Spent]])</f>
        <v>662.41499999999996</v>
      </c>
    </row>
    <row r="812" spans="1:16" x14ac:dyDescent="0.35">
      <c r="A812" s="9">
        <v>812</v>
      </c>
      <c r="B812" s="4" t="s">
        <v>63</v>
      </c>
      <c r="C812" s="9" t="s">
        <v>62</v>
      </c>
      <c r="D812" s="9" t="s">
        <v>66</v>
      </c>
      <c r="E812" s="9" t="s">
        <v>70</v>
      </c>
      <c r="F812" s="9">
        <v>0</v>
      </c>
      <c r="G812" s="5">
        <v>13500</v>
      </c>
      <c r="H812" s="4">
        <v>2</v>
      </c>
      <c r="I812" s="9" t="s">
        <v>67</v>
      </c>
      <c r="J812" s="4">
        <v>12</v>
      </c>
      <c r="K812" s="4" t="s">
        <v>13</v>
      </c>
      <c r="L812" s="4" t="s">
        <v>56</v>
      </c>
      <c r="M812" s="4" t="s">
        <v>24</v>
      </c>
      <c r="N812" s="10">
        <v>40300</v>
      </c>
      <c r="O812" s="6">
        <v>159.60400000000001</v>
      </c>
      <c r="P812" s="15">
        <f>IF(Table1[[#This Row],[Amount Spent]]&gt;3500, 3500,Table1[[#This Row],[Amount Spent]])</f>
        <v>159.60400000000001</v>
      </c>
    </row>
    <row r="813" spans="1:16" x14ac:dyDescent="0.35">
      <c r="A813" s="8">
        <v>813</v>
      </c>
      <c r="B813" s="1" t="s">
        <v>64</v>
      </c>
      <c r="C813" s="8" t="s">
        <v>61</v>
      </c>
      <c r="D813" s="8" t="s">
        <v>66</v>
      </c>
      <c r="E813" s="8" t="s">
        <v>70</v>
      </c>
      <c r="F813" s="8">
        <v>1</v>
      </c>
      <c r="G813" s="2">
        <v>43800</v>
      </c>
      <c r="H813" s="1">
        <v>0</v>
      </c>
      <c r="I813" s="8" t="s">
        <v>68</v>
      </c>
      <c r="J813" s="1">
        <v>12</v>
      </c>
      <c r="K813" s="1" t="s">
        <v>15</v>
      </c>
      <c r="L813" s="1" t="s">
        <v>28</v>
      </c>
      <c r="M813" s="1" t="s">
        <v>28</v>
      </c>
      <c r="N813" s="10">
        <v>40889</v>
      </c>
      <c r="O813" s="3">
        <v>605.54100000000005</v>
      </c>
      <c r="P813" s="15">
        <f>IF(Table1[[#This Row],[Amount Spent]]&gt;3500, 3500,Table1[[#This Row],[Amount Spent]])</f>
        <v>605.54100000000005</v>
      </c>
    </row>
    <row r="814" spans="1:16" x14ac:dyDescent="0.35">
      <c r="A814" s="9">
        <v>814</v>
      </c>
      <c r="B814" s="4" t="s">
        <v>65</v>
      </c>
      <c r="C814" s="9" t="s">
        <v>61</v>
      </c>
      <c r="D814" s="9" t="s">
        <v>58</v>
      </c>
      <c r="E814" s="9" t="s">
        <v>2</v>
      </c>
      <c r="F814" s="9">
        <v>1</v>
      </c>
      <c r="G814" s="5">
        <v>66300</v>
      </c>
      <c r="H814" s="4">
        <v>0</v>
      </c>
      <c r="I814" s="9" t="s">
        <v>69</v>
      </c>
      <c r="J814" s="4">
        <v>12</v>
      </c>
      <c r="K814" s="4" t="s">
        <v>15</v>
      </c>
      <c r="L814" s="4" t="s">
        <v>28</v>
      </c>
      <c r="M814" s="4" t="s">
        <v>28</v>
      </c>
      <c r="N814" s="10">
        <v>40229</v>
      </c>
      <c r="O814" s="6">
        <v>1087.79</v>
      </c>
      <c r="P814" s="15">
        <f>IF(Table1[[#This Row],[Amount Spent]]&gt;3500, 3500,Table1[[#This Row],[Amount Spent]])</f>
        <v>1087.79</v>
      </c>
    </row>
    <row r="815" spans="1:16" x14ac:dyDescent="0.35">
      <c r="A815" s="8">
        <v>815</v>
      </c>
      <c r="B815" s="1" t="s">
        <v>63</v>
      </c>
      <c r="C815" s="8" t="s">
        <v>62</v>
      </c>
      <c r="D815" s="8" t="s">
        <v>66</v>
      </c>
      <c r="E815" s="8" t="s">
        <v>70</v>
      </c>
      <c r="F815" s="8">
        <v>1</v>
      </c>
      <c r="G815" s="2">
        <v>18800</v>
      </c>
      <c r="H815" s="1">
        <v>2</v>
      </c>
      <c r="I815" s="8" t="s">
        <v>67</v>
      </c>
      <c r="J815" s="1">
        <v>18</v>
      </c>
      <c r="K815" s="1" t="s">
        <v>13</v>
      </c>
      <c r="L815" s="1" t="s">
        <v>43</v>
      </c>
      <c r="M815" s="1" t="s">
        <v>23</v>
      </c>
      <c r="N815" s="10">
        <v>40210</v>
      </c>
      <c r="O815" s="3">
        <v>170.48099999999999</v>
      </c>
      <c r="P815" s="15">
        <f>IF(Table1[[#This Row],[Amount Spent]]&gt;3500, 3500,Table1[[#This Row],[Amount Spent]])</f>
        <v>170.48099999999999</v>
      </c>
    </row>
    <row r="816" spans="1:16" x14ac:dyDescent="0.35">
      <c r="A816" s="9">
        <v>816</v>
      </c>
      <c r="B816" s="4" t="s">
        <v>64</v>
      </c>
      <c r="C816" s="9" t="s">
        <v>61</v>
      </c>
      <c r="D816" s="9" t="s">
        <v>66</v>
      </c>
      <c r="E816" s="9" t="s">
        <v>70</v>
      </c>
      <c r="F816" s="9">
        <v>1</v>
      </c>
      <c r="G816" s="5">
        <v>53900</v>
      </c>
      <c r="H816" s="4">
        <v>0</v>
      </c>
      <c r="I816" s="9" t="s">
        <v>68</v>
      </c>
      <c r="J816" s="4">
        <v>12</v>
      </c>
      <c r="K816" s="4" t="s">
        <v>13</v>
      </c>
      <c r="L816" s="4" t="s">
        <v>46</v>
      </c>
      <c r="M816" s="4" t="s">
        <v>22</v>
      </c>
      <c r="N816" s="10">
        <v>41540</v>
      </c>
      <c r="O816" s="6">
        <v>1060.307</v>
      </c>
      <c r="P816" s="15">
        <f>IF(Table1[[#This Row],[Amount Spent]]&gt;3500, 3500,Table1[[#This Row],[Amount Spent]])</f>
        <v>1060.307</v>
      </c>
    </row>
    <row r="817" spans="1:16" x14ac:dyDescent="0.35">
      <c r="A817" s="8">
        <v>817</v>
      </c>
      <c r="B817" s="1" t="s">
        <v>64</v>
      </c>
      <c r="C817" s="8" t="s">
        <v>61</v>
      </c>
      <c r="D817" s="8" t="s">
        <v>58</v>
      </c>
      <c r="E817" s="8" t="s">
        <v>70</v>
      </c>
      <c r="F817" s="8">
        <v>1</v>
      </c>
      <c r="G817" s="2">
        <v>45800</v>
      </c>
      <c r="H817" s="1">
        <v>0</v>
      </c>
      <c r="I817" s="8" t="s">
        <v>8</v>
      </c>
      <c r="J817" s="1">
        <v>6</v>
      </c>
      <c r="K817" s="1" t="s">
        <v>14</v>
      </c>
      <c r="L817" s="1" t="s">
        <v>40</v>
      </c>
      <c r="M817" s="1" t="s">
        <v>37</v>
      </c>
      <c r="N817" s="10">
        <v>42207</v>
      </c>
      <c r="O817" s="3">
        <v>711.90800000000002</v>
      </c>
      <c r="P817" s="15">
        <f>IF(Table1[[#This Row],[Amount Spent]]&gt;3500, 3500,Table1[[#This Row],[Amount Spent]])</f>
        <v>711.90800000000002</v>
      </c>
    </row>
    <row r="818" spans="1:16" x14ac:dyDescent="0.35">
      <c r="A818" s="9">
        <v>818</v>
      </c>
      <c r="B818" s="4" t="s">
        <v>63</v>
      </c>
      <c r="C818" s="9" t="s">
        <v>61</v>
      </c>
      <c r="D818" s="9" t="s">
        <v>66</v>
      </c>
      <c r="E818" s="9" t="s">
        <v>70</v>
      </c>
      <c r="F818" s="9">
        <v>0</v>
      </c>
      <c r="G818" s="5">
        <v>19000</v>
      </c>
      <c r="H818" s="4">
        <v>0</v>
      </c>
      <c r="I818" s="9" t="s">
        <v>8</v>
      </c>
      <c r="J818" s="4">
        <v>12</v>
      </c>
      <c r="K818" s="4" t="s">
        <v>12</v>
      </c>
      <c r="L818" s="4" t="s">
        <v>47</v>
      </c>
      <c r="M818" s="4" t="s">
        <v>16</v>
      </c>
      <c r="N818" s="10">
        <v>42126</v>
      </c>
      <c r="O818" s="6">
        <v>427.68299999999999</v>
      </c>
      <c r="P818" s="15">
        <f>IF(Table1[[#This Row],[Amount Spent]]&gt;3500, 3500,Table1[[#This Row],[Amount Spent]])</f>
        <v>427.68299999999999</v>
      </c>
    </row>
    <row r="819" spans="1:16" x14ac:dyDescent="0.35">
      <c r="A819" s="8">
        <v>819</v>
      </c>
      <c r="B819" s="1" t="s">
        <v>63</v>
      </c>
      <c r="C819" s="8" t="s">
        <v>62</v>
      </c>
      <c r="D819" s="8" t="s">
        <v>66</v>
      </c>
      <c r="E819" s="8" t="s">
        <v>2</v>
      </c>
      <c r="F819" s="8">
        <v>1</v>
      </c>
      <c r="G819" s="2">
        <v>25500</v>
      </c>
      <c r="H819" s="1">
        <v>2</v>
      </c>
      <c r="I819" s="8" t="s">
        <v>67</v>
      </c>
      <c r="J819" s="1">
        <v>6</v>
      </c>
      <c r="K819" s="1" t="s">
        <v>15</v>
      </c>
      <c r="L819" s="1" t="s">
        <v>28</v>
      </c>
      <c r="M819" s="1" t="s">
        <v>28</v>
      </c>
      <c r="N819" s="10">
        <v>42228</v>
      </c>
      <c r="O819" s="3">
        <v>138.626</v>
      </c>
      <c r="P819" s="15">
        <f>IF(Table1[[#This Row],[Amount Spent]]&gt;3500, 3500,Table1[[#This Row],[Amount Spent]])</f>
        <v>138.626</v>
      </c>
    </row>
    <row r="820" spans="1:16" x14ac:dyDescent="0.35">
      <c r="A820" s="9">
        <v>820</v>
      </c>
      <c r="B820" s="4" t="s">
        <v>65</v>
      </c>
      <c r="C820" s="9" t="s">
        <v>62</v>
      </c>
      <c r="D820" s="9" t="s">
        <v>66</v>
      </c>
      <c r="E820" s="9" t="s">
        <v>2</v>
      </c>
      <c r="F820" s="9">
        <v>0</v>
      </c>
      <c r="G820" s="5">
        <v>64600</v>
      </c>
      <c r="H820" s="4">
        <v>0</v>
      </c>
      <c r="I820" s="9" t="s">
        <v>69</v>
      </c>
      <c r="J820" s="4">
        <v>18</v>
      </c>
      <c r="K820" s="4" t="s">
        <v>15</v>
      </c>
      <c r="L820" s="4" t="s">
        <v>52</v>
      </c>
      <c r="M820" s="4" t="s">
        <v>30</v>
      </c>
      <c r="N820" s="10">
        <v>41262</v>
      </c>
      <c r="O820" s="6">
        <v>2205.806</v>
      </c>
      <c r="P820" s="15">
        <f>IF(Table1[[#This Row],[Amount Spent]]&gt;3500, 3500,Table1[[#This Row],[Amount Spent]])</f>
        <v>2205.806</v>
      </c>
    </row>
    <row r="821" spans="1:16" x14ac:dyDescent="0.35">
      <c r="A821" s="8">
        <v>821</v>
      </c>
      <c r="B821" s="1" t="s">
        <v>64</v>
      </c>
      <c r="C821" s="8" t="s">
        <v>61</v>
      </c>
      <c r="D821" s="8" t="s">
        <v>58</v>
      </c>
      <c r="E821" s="8" t="s">
        <v>2</v>
      </c>
      <c r="F821" s="8">
        <v>1</v>
      </c>
      <c r="G821" s="2">
        <v>82100</v>
      </c>
      <c r="H821" s="1">
        <v>1</v>
      </c>
      <c r="I821" s="8" t="s">
        <v>69</v>
      </c>
      <c r="J821" s="1">
        <v>18</v>
      </c>
      <c r="K821" s="1" t="s">
        <v>13</v>
      </c>
      <c r="L821" s="1" t="s">
        <v>42</v>
      </c>
      <c r="M821" s="1" t="s">
        <v>25</v>
      </c>
      <c r="N821" s="10">
        <v>40904</v>
      </c>
      <c r="O821" s="3">
        <v>1307.874</v>
      </c>
      <c r="P821" s="15">
        <f>IF(Table1[[#This Row],[Amount Spent]]&gt;3500, 3500,Table1[[#This Row],[Amount Spent]])</f>
        <v>1307.874</v>
      </c>
    </row>
    <row r="822" spans="1:16" x14ac:dyDescent="0.35">
      <c r="A822" s="9">
        <v>822</v>
      </c>
      <c r="B822" s="4" t="s">
        <v>65</v>
      </c>
      <c r="C822" s="9" t="s">
        <v>61</v>
      </c>
      <c r="D822" s="9" t="s">
        <v>58</v>
      </c>
      <c r="E822" s="9" t="s">
        <v>70</v>
      </c>
      <c r="F822" s="9">
        <v>1</v>
      </c>
      <c r="G822" s="5">
        <v>51400</v>
      </c>
      <c r="H822" s="4">
        <v>0</v>
      </c>
      <c r="I822" s="9" t="s">
        <v>8</v>
      </c>
      <c r="J822" s="4">
        <v>6</v>
      </c>
      <c r="K822" s="4" t="s">
        <v>12</v>
      </c>
      <c r="L822" s="4" t="s">
        <v>47</v>
      </c>
      <c r="M822" s="4" t="s">
        <v>18</v>
      </c>
      <c r="N822" s="10">
        <v>42050</v>
      </c>
      <c r="O822" s="6">
        <v>694.45500000000004</v>
      </c>
      <c r="P822" s="15">
        <f>IF(Table1[[#This Row],[Amount Spent]]&gt;3500, 3500,Table1[[#This Row],[Amount Spent]])</f>
        <v>694.45500000000004</v>
      </c>
    </row>
    <row r="823" spans="1:16" x14ac:dyDescent="0.35">
      <c r="A823" s="8">
        <v>823</v>
      </c>
      <c r="B823" s="1" t="s">
        <v>64</v>
      </c>
      <c r="C823" s="8" t="s">
        <v>61</v>
      </c>
      <c r="D823" s="8" t="s">
        <v>66</v>
      </c>
      <c r="E823" s="8" t="s">
        <v>70</v>
      </c>
      <c r="F823" s="8">
        <v>0</v>
      </c>
      <c r="G823" s="2">
        <v>65400</v>
      </c>
      <c r="H823" s="1">
        <v>0</v>
      </c>
      <c r="I823" s="8" t="s">
        <v>69</v>
      </c>
      <c r="J823" s="1">
        <v>12</v>
      </c>
      <c r="K823" s="1" t="s">
        <v>13</v>
      </c>
      <c r="L823" s="1" t="s">
        <v>43</v>
      </c>
      <c r="M823" s="1" t="s">
        <v>23</v>
      </c>
      <c r="N823" s="10">
        <v>40041</v>
      </c>
      <c r="O823" s="3">
        <v>2296.453</v>
      </c>
      <c r="P823" s="15">
        <f>IF(Table1[[#This Row],[Amount Spent]]&gt;3500, 3500,Table1[[#This Row],[Amount Spent]])</f>
        <v>2296.453</v>
      </c>
    </row>
    <row r="824" spans="1:16" x14ac:dyDescent="0.35">
      <c r="A824" s="9">
        <v>824</v>
      </c>
      <c r="B824" s="4" t="s">
        <v>64</v>
      </c>
      <c r="C824" s="9" t="s">
        <v>62</v>
      </c>
      <c r="D824" s="9" t="s">
        <v>66</v>
      </c>
      <c r="E824" s="9" t="s">
        <v>2</v>
      </c>
      <c r="F824" s="9">
        <v>0</v>
      </c>
      <c r="G824" s="5">
        <v>60100</v>
      </c>
      <c r="H824" s="4">
        <v>1</v>
      </c>
      <c r="I824" s="9" t="s">
        <v>69</v>
      </c>
      <c r="J824" s="4">
        <v>18</v>
      </c>
      <c r="K824" s="4" t="s">
        <v>15</v>
      </c>
      <c r="L824" s="4" t="s">
        <v>28</v>
      </c>
      <c r="M824" s="4" t="s">
        <v>33</v>
      </c>
      <c r="N824" s="10">
        <v>41854</v>
      </c>
      <c r="O824" s="6">
        <v>1430.491</v>
      </c>
      <c r="P824" s="15">
        <f>IF(Table1[[#This Row],[Amount Spent]]&gt;3500, 3500,Table1[[#This Row],[Amount Spent]])</f>
        <v>1430.491</v>
      </c>
    </row>
    <row r="825" spans="1:16" x14ac:dyDescent="0.35">
      <c r="A825" s="8">
        <v>825</v>
      </c>
      <c r="B825" s="1" t="s">
        <v>65</v>
      </c>
      <c r="C825" s="8" t="s">
        <v>62</v>
      </c>
      <c r="D825" s="8" t="s">
        <v>58</v>
      </c>
      <c r="E825" s="8" t="s">
        <v>2</v>
      </c>
      <c r="F825" s="8">
        <v>1</v>
      </c>
      <c r="G825" s="2">
        <v>77600</v>
      </c>
      <c r="H825" s="1">
        <v>0</v>
      </c>
      <c r="I825" s="8" t="s">
        <v>69</v>
      </c>
      <c r="J825" s="1">
        <v>18</v>
      </c>
      <c r="K825" s="1" t="s">
        <v>12</v>
      </c>
      <c r="L825" s="1" t="s">
        <v>47</v>
      </c>
      <c r="M825" s="1" t="s">
        <v>18</v>
      </c>
      <c r="N825" s="10">
        <v>41753</v>
      </c>
      <c r="O825" s="3">
        <v>2004.491</v>
      </c>
      <c r="P825" s="15">
        <f>IF(Table1[[#This Row],[Amount Spent]]&gt;3500, 3500,Table1[[#This Row],[Amount Spent]])</f>
        <v>2004.491</v>
      </c>
    </row>
    <row r="826" spans="1:16" x14ac:dyDescent="0.35">
      <c r="A826" s="9">
        <v>826</v>
      </c>
      <c r="B826" s="4" t="s">
        <v>63</v>
      </c>
      <c r="C826" s="9" t="s">
        <v>61</v>
      </c>
      <c r="D826" s="9" t="s">
        <v>66</v>
      </c>
      <c r="E826" s="9" t="s">
        <v>2</v>
      </c>
      <c r="F826" s="9">
        <v>1</v>
      </c>
      <c r="G826" s="5">
        <v>69700</v>
      </c>
      <c r="H826" s="4">
        <v>1</v>
      </c>
      <c r="I826" s="9" t="s">
        <v>68</v>
      </c>
      <c r="J826" s="4">
        <v>12</v>
      </c>
      <c r="K826" s="4" t="s">
        <v>15</v>
      </c>
      <c r="L826" s="4" t="s">
        <v>52</v>
      </c>
      <c r="M826" s="4" t="s">
        <v>30</v>
      </c>
      <c r="N826" s="10">
        <v>40474</v>
      </c>
      <c r="O826" s="6">
        <v>1432.328</v>
      </c>
      <c r="P826" s="15">
        <f>IF(Table1[[#This Row],[Amount Spent]]&gt;3500, 3500,Table1[[#This Row],[Amount Spent]])</f>
        <v>1432.328</v>
      </c>
    </row>
    <row r="827" spans="1:16" x14ac:dyDescent="0.35">
      <c r="A827" s="8">
        <v>827</v>
      </c>
      <c r="B827" s="1" t="s">
        <v>63</v>
      </c>
      <c r="C827" s="8" t="s">
        <v>62</v>
      </c>
      <c r="D827" s="8" t="s">
        <v>66</v>
      </c>
      <c r="E827" s="8" t="s">
        <v>70</v>
      </c>
      <c r="F827" s="8">
        <v>0</v>
      </c>
      <c r="G827" s="2">
        <v>17300</v>
      </c>
      <c r="H827" s="1">
        <v>0</v>
      </c>
      <c r="I827" s="8" t="s">
        <v>67</v>
      </c>
      <c r="J827" s="1">
        <v>6</v>
      </c>
      <c r="K827" s="1" t="s">
        <v>13</v>
      </c>
      <c r="L827" s="1" t="s">
        <v>46</v>
      </c>
      <c r="M827" s="1" t="s">
        <v>22</v>
      </c>
      <c r="N827" s="10">
        <v>40997</v>
      </c>
      <c r="O827" s="3">
        <v>410.64499999999998</v>
      </c>
      <c r="P827" s="15">
        <f>IF(Table1[[#This Row],[Amount Spent]]&gt;3500, 3500,Table1[[#This Row],[Amount Spent]])</f>
        <v>410.64499999999998</v>
      </c>
    </row>
    <row r="828" spans="1:16" x14ac:dyDescent="0.35">
      <c r="A828" s="9">
        <v>828</v>
      </c>
      <c r="B828" s="4" t="s">
        <v>64</v>
      </c>
      <c r="C828" s="9" t="s">
        <v>62</v>
      </c>
      <c r="D828" s="9" t="s">
        <v>66</v>
      </c>
      <c r="E828" s="9" t="s">
        <v>2</v>
      </c>
      <c r="F828" s="9">
        <v>1</v>
      </c>
      <c r="G828" s="5">
        <v>66500</v>
      </c>
      <c r="H828" s="4">
        <v>1</v>
      </c>
      <c r="I828" s="9" t="s">
        <v>8</v>
      </c>
      <c r="J828" s="4">
        <v>24</v>
      </c>
      <c r="K828" s="4" t="s">
        <v>15</v>
      </c>
      <c r="L828" s="4" t="s">
        <v>44</v>
      </c>
      <c r="M828" s="4" t="s">
        <v>29</v>
      </c>
      <c r="N828" s="10">
        <v>42124</v>
      </c>
      <c r="O828" s="6">
        <v>1180.9770000000001</v>
      </c>
      <c r="P828" s="15">
        <f>IF(Table1[[#This Row],[Amount Spent]]&gt;3500, 3500,Table1[[#This Row],[Amount Spent]])</f>
        <v>1180.9770000000001</v>
      </c>
    </row>
    <row r="829" spans="1:16" x14ac:dyDescent="0.35">
      <c r="A829" s="8">
        <v>829</v>
      </c>
      <c r="B829" s="1" t="s">
        <v>63</v>
      </c>
      <c r="C829" s="8" t="s">
        <v>62</v>
      </c>
      <c r="D829" s="8" t="s">
        <v>66</v>
      </c>
      <c r="E829" s="8" t="s">
        <v>70</v>
      </c>
      <c r="F829" s="8">
        <v>0</v>
      </c>
      <c r="G829" s="2">
        <v>20700</v>
      </c>
      <c r="H829" s="1">
        <v>1</v>
      </c>
      <c r="I829" s="8" t="s">
        <v>67</v>
      </c>
      <c r="J829" s="1">
        <v>12</v>
      </c>
      <c r="K829" s="1" t="s">
        <v>13</v>
      </c>
      <c r="L829" s="1" t="s">
        <v>45</v>
      </c>
      <c r="M829" s="1" t="s">
        <v>26</v>
      </c>
      <c r="N829" s="10">
        <v>40509</v>
      </c>
      <c r="O829" s="3">
        <v>549.53700000000003</v>
      </c>
      <c r="P829" s="15">
        <f>IF(Table1[[#This Row],[Amount Spent]]&gt;3500, 3500,Table1[[#This Row],[Amount Spent]])</f>
        <v>549.53700000000003</v>
      </c>
    </row>
    <row r="830" spans="1:16" x14ac:dyDescent="0.35">
      <c r="A830" s="9">
        <v>830</v>
      </c>
      <c r="B830" s="4" t="s">
        <v>63</v>
      </c>
      <c r="C830" s="9" t="s">
        <v>62</v>
      </c>
      <c r="D830" s="9" t="s">
        <v>66</v>
      </c>
      <c r="E830" s="9" t="s">
        <v>70</v>
      </c>
      <c r="F830" s="9">
        <v>1</v>
      </c>
      <c r="G830" s="5">
        <v>13100</v>
      </c>
      <c r="H830" s="4">
        <v>0</v>
      </c>
      <c r="I830" s="9" t="s">
        <v>8</v>
      </c>
      <c r="J830" s="4">
        <v>18</v>
      </c>
      <c r="K830" s="4" t="s">
        <v>14</v>
      </c>
      <c r="L830" s="4" t="s">
        <v>49</v>
      </c>
      <c r="M830" s="4" t="s">
        <v>39</v>
      </c>
      <c r="N830" s="10">
        <v>42122</v>
      </c>
      <c r="O830" s="6">
        <v>314.02800000000002</v>
      </c>
      <c r="P830" s="15">
        <f>IF(Table1[[#This Row],[Amount Spent]]&gt;3500, 3500,Table1[[#This Row],[Amount Spent]])</f>
        <v>314.02800000000002</v>
      </c>
    </row>
    <row r="831" spans="1:16" x14ac:dyDescent="0.35">
      <c r="A831" s="8">
        <v>831</v>
      </c>
      <c r="B831" s="1" t="s">
        <v>64</v>
      </c>
      <c r="C831" s="8" t="s">
        <v>61</v>
      </c>
      <c r="D831" s="8" t="s">
        <v>58</v>
      </c>
      <c r="E831" s="8" t="s">
        <v>2</v>
      </c>
      <c r="F831" s="8">
        <v>1</v>
      </c>
      <c r="G831" s="2">
        <v>77700</v>
      </c>
      <c r="H831" s="1">
        <v>0</v>
      </c>
      <c r="I831" s="8" t="s">
        <v>8</v>
      </c>
      <c r="J831" s="1">
        <v>6</v>
      </c>
      <c r="K831" s="1" t="s">
        <v>15</v>
      </c>
      <c r="L831" s="1" t="s">
        <v>28</v>
      </c>
      <c r="M831" s="1" t="s">
        <v>28</v>
      </c>
      <c r="N831" s="10">
        <v>42079</v>
      </c>
      <c r="O831" s="3">
        <v>983.21</v>
      </c>
      <c r="P831" s="15">
        <f>IF(Table1[[#This Row],[Amount Spent]]&gt;3500, 3500,Table1[[#This Row],[Amount Spent]])</f>
        <v>983.21</v>
      </c>
    </row>
    <row r="832" spans="1:16" x14ac:dyDescent="0.35">
      <c r="A832" s="9">
        <v>832</v>
      </c>
      <c r="B832" s="4" t="s">
        <v>64</v>
      </c>
      <c r="C832" s="9" t="s">
        <v>61</v>
      </c>
      <c r="D832" s="9" t="s">
        <v>58</v>
      </c>
      <c r="E832" s="9" t="s">
        <v>2</v>
      </c>
      <c r="F832" s="9">
        <v>1</v>
      </c>
      <c r="G832" s="5">
        <v>65800</v>
      </c>
      <c r="H832" s="4">
        <v>1</v>
      </c>
      <c r="I832" s="9" t="s">
        <v>8</v>
      </c>
      <c r="J832" s="4">
        <v>12</v>
      </c>
      <c r="K832" s="4" t="s">
        <v>13</v>
      </c>
      <c r="L832" s="4" t="s">
        <v>56</v>
      </c>
      <c r="M832" s="4" t="s">
        <v>24</v>
      </c>
      <c r="N832" s="10">
        <v>42019</v>
      </c>
      <c r="O832" s="6">
        <v>1016.741</v>
      </c>
      <c r="P832" s="15">
        <f>IF(Table1[[#This Row],[Amount Spent]]&gt;3500, 3500,Table1[[#This Row],[Amount Spent]])</f>
        <v>1016.741</v>
      </c>
    </row>
    <row r="833" spans="1:16" x14ac:dyDescent="0.35">
      <c r="A833" s="8">
        <v>833</v>
      </c>
      <c r="B833" s="1" t="s">
        <v>63</v>
      </c>
      <c r="C833" s="8" t="s">
        <v>61</v>
      </c>
      <c r="D833" s="8" t="s">
        <v>66</v>
      </c>
      <c r="E833" s="8" t="s">
        <v>70</v>
      </c>
      <c r="F833" s="8">
        <v>1</v>
      </c>
      <c r="G833" s="2">
        <v>21300</v>
      </c>
      <c r="H833" s="1">
        <v>0</v>
      </c>
      <c r="I833" s="8" t="s">
        <v>67</v>
      </c>
      <c r="J833" s="1">
        <v>24</v>
      </c>
      <c r="K833" s="1" t="s">
        <v>12</v>
      </c>
      <c r="L833" s="1" t="s">
        <v>53</v>
      </c>
      <c r="M833" s="1" t="s">
        <v>19</v>
      </c>
      <c r="N833" s="10">
        <v>41287</v>
      </c>
      <c r="O833" s="3">
        <v>676.76499999999999</v>
      </c>
      <c r="P833" s="15">
        <f>IF(Table1[[#This Row],[Amount Spent]]&gt;3500, 3500,Table1[[#This Row],[Amount Spent]])</f>
        <v>676.76499999999999</v>
      </c>
    </row>
    <row r="834" spans="1:16" x14ac:dyDescent="0.35">
      <c r="A834" s="9">
        <v>834</v>
      </c>
      <c r="B834" s="4" t="s">
        <v>65</v>
      </c>
      <c r="C834" s="9" t="s">
        <v>62</v>
      </c>
      <c r="D834" s="9" t="s">
        <v>66</v>
      </c>
      <c r="E834" s="9" t="s">
        <v>70</v>
      </c>
      <c r="F834" s="9">
        <v>0</v>
      </c>
      <c r="G834" s="5">
        <v>19700</v>
      </c>
      <c r="H834" s="4">
        <v>0</v>
      </c>
      <c r="I834" s="9" t="s">
        <v>67</v>
      </c>
      <c r="J834" s="4">
        <v>6</v>
      </c>
      <c r="K834" s="4" t="s">
        <v>14</v>
      </c>
      <c r="L834" s="4" t="s">
        <v>49</v>
      </c>
      <c r="M834" s="4" t="s">
        <v>39</v>
      </c>
      <c r="N834" s="10">
        <v>41927</v>
      </c>
      <c r="O834" s="6">
        <v>535.46299999999997</v>
      </c>
      <c r="P834" s="15">
        <f>IF(Table1[[#This Row],[Amount Spent]]&gt;3500, 3500,Table1[[#This Row],[Amount Spent]])</f>
        <v>535.46299999999997</v>
      </c>
    </row>
    <row r="835" spans="1:16" x14ac:dyDescent="0.35">
      <c r="A835" s="8">
        <v>835</v>
      </c>
      <c r="B835" s="1" t="s">
        <v>63</v>
      </c>
      <c r="C835" s="8" t="s">
        <v>61</v>
      </c>
      <c r="D835" s="8" t="s">
        <v>66</v>
      </c>
      <c r="E835" s="8" t="s">
        <v>70</v>
      </c>
      <c r="F835" s="8">
        <v>1</v>
      </c>
      <c r="G835" s="2">
        <v>17900</v>
      </c>
      <c r="H835" s="1">
        <v>0</v>
      </c>
      <c r="I835" s="8" t="s">
        <v>8</v>
      </c>
      <c r="J835" s="1">
        <v>18</v>
      </c>
      <c r="K835" s="1" t="s">
        <v>13</v>
      </c>
      <c r="L835" s="1" t="s">
        <v>45</v>
      </c>
      <c r="M835" s="1" t="s">
        <v>26</v>
      </c>
      <c r="N835" s="10">
        <v>42005</v>
      </c>
      <c r="O835" s="3">
        <v>395.15699999999998</v>
      </c>
      <c r="P835" s="15">
        <f>IF(Table1[[#This Row],[Amount Spent]]&gt;3500, 3500,Table1[[#This Row],[Amount Spent]])</f>
        <v>395.15699999999998</v>
      </c>
    </row>
    <row r="836" spans="1:16" x14ac:dyDescent="0.35">
      <c r="A836" s="9">
        <v>836</v>
      </c>
      <c r="B836" s="4" t="s">
        <v>65</v>
      </c>
      <c r="C836" s="9" t="s">
        <v>61</v>
      </c>
      <c r="D836" s="9" t="s">
        <v>58</v>
      </c>
      <c r="E836" s="9" t="s">
        <v>2</v>
      </c>
      <c r="F836" s="9">
        <v>1</v>
      </c>
      <c r="G836" s="5">
        <v>116100</v>
      </c>
      <c r="H836" s="4">
        <v>1</v>
      </c>
      <c r="I836" s="9" t="s">
        <v>69</v>
      </c>
      <c r="J836" s="4">
        <v>24</v>
      </c>
      <c r="K836" s="4" t="s">
        <v>12</v>
      </c>
      <c r="L836" s="4" t="s">
        <v>54</v>
      </c>
      <c r="M836" s="4" t="s">
        <v>21</v>
      </c>
      <c r="N836" s="10">
        <v>41617</v>
      </c>
      <c r="O836" s="6">
        <v>2975.17</v>
      </c>
      <c r="P836" s="15">
        <f>IF(Table1[[#This Row],[Amount Spent]]&gt;3500, 3500,Table1[[#This Row],[Amount Spent]])</f>
        <v>2975.17</v>
      </c>
    </row>
    <row r="837" spans="1:16" x14ac:dyDescent="0.35">
      <c r="A837" s="8">
        <v>837</v>
      </c>
      <c r="B837" s="1" t="s">
        <v>64</v>
      </c>
      <c r="C837" s="8" t="s">
        <v>61</v>
      </c>
      <c r="D837" s="8" t="s">
        <v>58</v>
      </c>
      <c r="E837" s="8" t="s">
        <v>70</v>
      </c>
      <c r="F837" s="8">
        <v>1</v>
      </c>
      <c r="G837" s="2">
        <v>62700</v>
      </c>
      <c r="H837" s="1">
        <v>2</v>
      </c>
      <c r="I837" s="8" t="s">
        <v>68</v>
      </c>
      <c r="J837" s="1">
        <v>12</v>
      </c>
      <c r="K837" s="1" t="s">
        <v>13</v>
      </c>
      <c r="L837" s="1" t="s">
        <v>48</v>
      </c>
      <c r="M837" s="1" t="s">
        <v>27</v>
      </c>
      <c r="N837" s="10">
        <v>42066</v>
      </c>
      <c r="O837" s="3">
        <v>703.95500000000004</v>
      </c>
      <c r="P837" s="15">
        <f>IF(Table1[[#This Row],[Amount Spent]]&gt;3500, 3500,Table1[[#This Row],[Amount Spent]])</f>
        <v>703.95500000000004</v>
      </c>
    </row>
    <row r="838" spans="1:16" x14ac:dyDescent="0.35">
      <c r="A838" s="9">
        <v>838</v>
      </c>
      <c r="B838" s="4" t="s">
        <v>63</v>
      </c>
      <c r="C838" s="9" t="s">
        <v>61</v>
      </c>
      <c r="D838" s="9" t="s">
        <v>66</v>
      </c>
      <c r="E838" s="9" t="s">
        <v>70</v>
      </c>
      <c r="F838" s="9">
        <v>0</v>
      </c>
      <c r="G838" s="5">
        <v>25300</v>
      </c>
      <c r="H838" s="4">
        <v>0</v>
      </c>
      <c r="I838" s="9" t="s">
        <v>68</v>
      </c>
      <c r="J838" s="4">
        <v>12</v>
      </c>
      <c r="K838" s="4" t="s">
        <v>14</v>
      </c>
      <c r="L838" s="4" t="s">
        <v>50</v>
      </c>
      <c r="M838" s="4" t="s">
        <v>34</v>
      </c>
      <c r="N838" s="10">
        <v>40119</v>
      </c>
      <c r="O838" s="6">
        <v>590.98099999999999</v>
      </c>
      <c r="P838" s="15">
        <f>IF(Table1[[#This Row],[Amount Spent]]&gt;3500, 3500,Table1[[#This Row],[Amount Spent]])</f>
        <v>590.98099999999999</v>
      </c>
    </row>
    <row r="839" spans="1:16" x14ac:dyDescent="0.35">
      <c r="A839" s="8">
        <v>839</v>
      </c>
      <c r="B839" s="1" t="s">
        <v>63</v>
      </c>
      <c r="C839" s="8" t="s">
        <v>62</v>
      </c>
      <c r="D839" s="8" t="s">
        <v>66</v>
      </c>
      <c r="E839" s="8" t="s">
        <v>70</v>
      </c>
      <c r="F839" s="8">
        <v>0</v>
      </c>
      <c r="G839" s="2">
        <v>13600</v>
      </c>
      <c r="H839" s="1">
        <v>1</v>
      </c>
      <c r="I839" s="8" t="s">
        <v>8</v>
      </c>
      <c r="J839" s="1">
        <v>18</v>
      </c>
      <c r="K839" s="1" t="s">
        <v>13</v>
      </c>
      <c r="L839" s="1" t="s">
        <v>48</v>
      </c>
      <c r="M839" s="1" t="s">
        <v>27</v>
      </c>
      <c r="N839" s="10">
        <v>42165</v>
      </c>
      <c r="O839" s="3">
        <v>349.137</v>
      </c>
      <c r="P839" s="15">
        <f>IF(Table1[[#This Row],[Amount Spent]]&gt;3500, 3500,Table1[[#This Row],[Amount Spent]])</f>
        <v>349.137</v>
      </c>
    </row>
    <row r="840" spans="1:16" x14ac:dyDescent="0.35">
      <c r="A840" s="9">
        <v>840</v>
      </c>
      <c r="B840" s="4" t="s">
        <v>64</v>
      </c>
      <c r="C840" s="9" t="s">
        <v>62</v>
      </c>
      <c r="D840" s="9" t="s">
        <v>58</v>
      </c>
      <c r="E840" s="9" t="s">
        <v>2</v>
      </c>
      <c r="F840" s="9">
        <v>1</v>
      </c>
      <c r="G840" s="5">
        <v>97500</v>
      </c>
      <c r="H840" s="4">
        <v>1</v>
      </c>
      <c r="I840" s="9" t="s">
        <v>69</v>
      </c>
      <c r="J840" s="4">
        <v>12</v>
      </c>
      <c r="K840" s="4" t="s">
        <v>14</v>
      </c>
      <c r="L840" s="4" t="s">
        <v>49</v>
      </c>
      <c r="M840" s="4" t="s">
        <v>39</v>
      </c>
      <c r="N840" s="10">
        <v>41579</v>
      </c>
      <c r="O840" s="6">
        <v>1279.9490000000001</v>
      </c>
      <c r="P840" s="15">
        <f>IF(Table1[[#This Row],[Amount Spent]]&gt;3500, 3500,Table1[[#This Row],[Amount Spent]])</f>
        <v>1279.9490000000001</v>
      </c>
    </row>
    <row r="841" spans="1:16" x14ac:dyDescent="0.35">
      <c r="A841" s="8">
        <v>841</v>
      </c>
      <c r="B841" s="1" t="s">
        <v>64</v>
      </c>
      <c r="C841" s="8" t="s">
        <v>62</v>
      </c>
      <c r="D841" s="8" t="s">
        <v>58</v>
      </c>
      <c r="E841" s="8" t="s">
        <v>70</v>
      </c>
      <c r="F841" s="8">
        <v>1</v>
      </c>
      <c r="G841" s="2">
        <v>68400</v>
      </c>
      <c r="H841" s="1">
        <v>0</v>
      </c>
      <c r="I841" s="8" t="s">
        <v>69</v>
      </c>
      <c r="J841" s="1">
        <v>12</v>
      </c>
      <c r="K841" s="1" t="s">
        <v>12</v>
      </c>
      <c r="L841" s="1" t="s">
        <v>47</v>
      </c>
      <c r="M841" s="1" t="s">
        <v>18</v>
      </c>
      <c r="N841" s="10">
        <v>40349</v>
      </c>
      <c r="O841" s="3">
        <v>1304.252</v>
      </c>
      <c r="P841" s="15">
        <f>IF(Table1[[#This Row],[Amount Spent]]&gt;3500, 3500,Table1[[#This Row],[Amount Spent]])</f>
        <v>1304.252</v>
      </c>
    </row>
    <row r="842" spans="1:16" x14ac:dyDescent="0.35">
      <c r="A842" s="9">
        <v>842</v>
      </c>
      <c r="B842" s="4" t="s">
        <v>64</v>
      </c>
      <c r="C842" s="9" t="s">
        <v>62</v>
      </c>
      <c r="D842" s="9" t="s">
        <v>58</v>
      </c>
      <c r="E842" s="9" t="s">
        <v>2</v>
      </c>
      <c r="F842" s="9">
        <v>1</v>
      </c>
      <c r="G842" s="5">
        <v>131500</v>
      </c>
      <c r="H842" s="4">
        <v>3</v>
      </c>
      <c r="I842" s="9" t="s">
        <v>8</v>
      </c>
      <c r="J842" s="4">
        <v>6</v>
      </c>
      <c r="K842" s="4" t="s">
        <v>13</v>
      </c>
      <c r="L842" s="4" t="s">
        <v>46</v>
      </c>
      <c r="M842" s="4" t="s">
        <v>22</v>
      </c>
      <c r="N842" s="10">
        <v>42171</v>
      </c>
      <c r="O842" s="6">
        <v>2840.2179999999998</v>
      </c>
      <c r="P842" s="15">
        <f>IF(Table1[[#This Row],[Amount Spent]]&gt;3500, 3500,Table1[[#This Row],[Amount Spent]])</f>
        <v>2840.2179999999998</v>
      </c>
    </row>
    <row r="843" spans="1:16" x14ac:dyDescent="0.35">
      <c r="A843" s="8">
        <v>843</v>
      </c>
      <c r="B843" s="1" t="s">
        <v>63</v>
      </c>
      <c r="C843" s="8" t="s">
        <v>61</v>
      </c>
      <c r="D843" s="8" t="s">
        <v>66</v>
      </c>
      <c r="E843" s="8" t="s">
        <v>70</v>
      </c>
      <c r="F843" s="8">
        <v>1</v>
      </c>
      <c r="G843" s="2">
        <v>19600</v>
      </c>
      <c r="H843" s="1">
        <v>0</v>
      </c>
      <c r="I843" s="8" t="s">
        <v>67</v>
      </c>
      <c r="J843" s="1">
        <v>12</v>
      </c>
      <c r="K843" s="1" t="s">
        <v>14</v>
      </c>
      <c r="L843" s="1" t="s">
        <v>50</v>
      </c>
      <c r="M843" s="1" t="s">
        <v>35</v>
      </c>
      <c r="N843" s="10">
        <v>40025</v>
      </c>
      <c r="O843" s="3">
        <v>395.31900000000002</v>
      </c>
      <c r="P843" s="15">
        <f>IF(Table1[[#This Row],[Amount Spent]]&gt;3500, 3500,Table1[[#This Row],[Amount Spent]])</f>
        <v>395.31900000000002</v>
      </c>
    </row>
    <row r="844" spans="1:16" x14ac:dyDescent="0.35">
      <c r="A844" s="9">
        <v>844</v>
      </c>
      <c r="B844" s="4" t="s">
        <v>65</v>
      </c>
      <c r="C844" s="9" t="s">
        <v>62</v>
      </c>
      <c r="D844" s="9" t="s">
        <v>58</v>
      </c>
      <c r="E844" s="9" t="s">
        <v>2</v>
      </c>
      <c r="F844" s="9">
        <v>1</v>
      </c>
      <c r="G844" s="5">
        <v>51000</v>
      </c>
      <c r="H844" s="4">
        <v>0</v>
      </c>
      <c r="I844" s="9" t="s">
        <v>68</v>
      </c>
      <c r="J844" s="4">
        <v>12</v>
      </c>
      <c r="K844" s="4" t="s">
        <v>15</v>
      </c>
      <c r="L844" s="4" t="s">
        <v>28</v>
      </c>
      <c r="M844" s="4" t="s">
        <v>33</v>
      </c>
      <c r="N844" s="10">
        <v>41636</v>
      </c>
      <c r="O844" s="6">
        <v>1025.3440000000001</v>
      </c>
      <c r="P844" s="15">
        <f>IF(Table1[[#This Row],[Amount Spent]]&gt;3500, 3500,Table1[[#This Row],[Amount Spent]])</f>
        <v>1025.3440000000001</v>
      </c>
    </row>
    <row r="845" spans="1:16" x14ac:dyDescent="0.35">
      <c r="A845" s="8">
        <v>845</v>
      </c>
      <c r="B845" s="1" t="s">
        <v>63</v>
      </c>
      <c r="C845" s="8" t="s">
        <v>62</v>
      </c>
      <c r="D845" s="8" t="s">
        <v>66</v>
      </c>
      <c r="E845" s="8" t="s">
        <v>2</v>
      </c>
      <c r="F845" s="8">
        <v>0</v>
      </c>
      <c r="G845" s="2">
        <v>47200</v>
      </c>
      <c r="H845" s="1">
        <v>1</v>
      </c>
      <c r="I845" s="8" t="s">
        <v>68</v>
      </c>
      <c r="J845" s="1">
        <v>12</v>
      </c>
      <c r="K845" s="1" t="s">
        <v>12</v>
      </c>
      <c r="L845" s="1" t="s">
        <v>53</v>
      </c>
      <c r="M845" s="1" t="s">
        <v>19</v>
      </c>
      <c r="N845" s="10">
        <v>39902</v>
      </c>
      <c r="O845" s="3">
        <v>1271.71</v>
      </c>
      <c r="P845" s="15">
        <f>IF(Table1[[#This Row],[Amount Spent]]&gt;3500, 3500,Table1[[#This Row],[Amount Spent]])</f>
        <v>1271.71</v>
      </c>
    </row>
    <row r="846" spans="1:16" x14ac:dyDescent="0.35">
      <c r="A846" s="9">
        <v>846</v>
      </c>
      <c r="B846" s="4" t="s">
        <v>64</v>
      </c>
      <c r="C846" s="9" t="s">
        <v>61</v>
      </c>
      <c r="D846" s="9" t="s">
        <v>66</v>
      </c>
      <c r="E846" s="9" t="s">
        <v>70</v>
      </c>
      <c r="F846" s="9">
        <v>0</v>
      </c>
      <c r="G846" s="5">
        <v>36700</v>
      </c>
      <c r="H846" s="4">
        <v>1</v>
      </c>
      <c r="I846" s="9" t="s">
        <v>68</v>
      </c>
      <c r="J846" s="4">
        <v>24</v>
      </c>
      <c r="K846" s="4" t="s">
        <v>12</v>
      </c>
      <c r="L846" s="4" t="s">
        <v>41</v>
      </c>
      <c r="M846" s="4" t="s">
        <v>20</v>
      </c>
      <c r="N846" s="10">
        <v>41327</v>
      </c>
      <c r="O846" s="6">
        <v>1218.01</v>
      </c>
      <c r="P846" s="15">
        <f>IF(Table1[[#This Row],[Amount Spent]]&gt;3500, 3500,Table1[[#This Row],[Amount Spent]])</f>
        <v>1218.01</v>
      </c>
    </row>
    <row r="847" spans="1:16" x14ac:dyDescent="0.35">
      <c r="A847" s="8">
        <v>847</v>
      </c>
      <c r="B847" s="1" t="s">
        <v>64</v>
      </c>
      <c r="C847" s="8" t="s">
        <v>61</v>
      </c>
      <c r="D847" s="8" t="s">
        <v>58</v>
      </c>
      <c r="E847" s="8" t="s">
        <v>2</v>
      </c>
      <c r="F847" s="8">
        <v>1</v>
      </c>
      <c r="G847" s="2">
        <v>83900</v>
      </c>
      <c r="H847" s="1">
        <v>0</v>
      </c>
      <c r="I847" s="8" t="s">
        <v>69</v>
      </c>
      <c r="J847" s="1">
        <v>24</v>
      </c>
      <c r="K847" s="1" t="s">
        <v>14</v>
      </c>
      <c r="L847" s="1" t="s">
        <v>51</v>
      </c>
      <c r="M847" s="1" t="s">
        <v>38</v>
      </c>
      <c r="N847" s="10">
        <v>42008</v>
      </c>
      <c r="O847" s="3">
        <v>1721.248</v>
      </c>
      <c r="P847" s="15">
        <f>IF(Table1[[#This Row],[Amount Spent]]&gt;3500, 3500,Table1[[#This Row],[Amount Spent]])</f>
        <v>1721.248</v>
      </c>
    </row>
    <row r="848" spans="1:16" x14ac:dyDescent="0.35">
      <c r="A848" s="9">
        <v>848</v>
      </c>
      <c r="B848" s="4" t="s">
        <v>65</v>
      </c>
      <c r="C848" s="9" t="s">
        <v>62</v>
      </c>
      <c r="D848" s="9" t="s">
        <v>58</v>
      </c>
      <c r="E848" s="9" t="s">
        <v>2</v>
      </c>
      <c r="F848" s="9">
        <v>0</v>
      </c>
      <c r="G848" s="5">
        <v>78900</v>
      </c>
      <c r="H848" s="4">
        <v>0</v>
      </c>
      <c r="I848" s="9" t="s">
        <v>69</v>
      </c>
      <c r="J848" s="4">
        <v>18</v>
      </c>
      <c r="K848" s="4" t="s">
        <v>12</v>
      </c>
      <c r="L848" s="4" t="s">
        <v>47</v>
      </c>
      <c r="M848" s="4" t="s">
        <v>16</v>
      </c>
      <c r="N848" s="10">
        <v>40790</v>
      </c>
      <c r="O848" s="6">
        <v>2233.0770000000002</v>
      </c>
      <c r="P848" s="15">
        <f>IF(Table1[[#This Row],[Amount Spent]]&gt;3500, 3500,Table1[[#This Row],[Amount Spent]])</f>
        <v>2233.0770000000002</v>
      </c>
    </row>
    <row r="849" spans="1:16" x14ac:dyDescent="0.35">
      <c r="A849" s="8">
        <v>849</v>
      </c>
      <c r="B849" s="1" t="s">
        <v>64</v>
      </c>
      <c r="C849" s="8" t="s">
        <v>62</v>
      </c>
      <c r="D849" s="8" t="s">
        <v>58</v>
      </c>
      <c r="E849" s="8" t="s">
        <v>70</v>
      </c>
      <c r="F849" s="8">
        <v>1</v>
      </c>
      <c r="G849" s="2">
        <v>48400</v>
      </c>
      <c r="H849" s="1">
        <v>0</v>
      </c>
      <c r="I849" s="8" t="s">
        <v>68</v>
      </c>
      <c r="J849" s="1">
        <v>12</v>
      </c>
      <c r="K849" s="1" t="s">
        <v>15</v>
      </c>
      <c r="L849" s="1" t="s">
        <v>42</v>
      </c>
      <c r="M849" s="1" t="s">
        <v>32</v>
      </c>
      <c r="N849" s="10">
        <v>41625</v>
      </c>
      <c r="O849" s="3">
        <v>991.90499999999997</v>
      </c>
      <c r="P849" s="15">
        <f>IF(Table1[[#This Row],[Amount Spent]]&gt;3500, 3500,Table1[[#This Row],[Amount Spent]])</f>
        <v>991.90499999999997</v>
      </c>
    </row>
    <row r="850" spans="1:16" x14ac:dyDescent="0.35">
      <c r="A850" s="9">
        <v>850</v>
      </c>
      <c r="B850" s="4" t="s">
        <v>64</v>
      </c>
      <c r="C850" s="9" t="s">
        <v>61</v>
      </c>
      <c r="D850" s="9" t="s">
        <v>58</v>
      </c>
      <c r="E850" s="9" t="s">
        <v>2</v>
      </c>
      <c r="F850" s="9">
        <v>1</v>
      </c>
      <c r="G850" s="5">
        <v>77100</v>
      </c>
      <c r="H850" s="4">
        <v>2</v>
      </c>
      <c r="I850" s="9" t="s">
        <v>68</v>
      </c>
      <c r="J850" s="4">
        <v>6</v>
      </c>
      <c r="K850" s="4" t="s">
        <v>13</v>
      </c>
      <c r="L850" s="4" t="s">
        <v>45</v>
      </c>
      <c r="M850" s="4" t="s">
        <v>26</v>
      </c>
      <c r="N850" s="10">
        <v>42172</v>
      </c>
      <c r="O850" s="6">
        <v>567.75099999999998</v>
      </c>
      <c r="P850" s="15">
        <f>IF(Table1[[#This Row],[Amount Spent]]&gt;3500, 3500,Table1[[#This Row],[Amount Spent]])</f>
        <v>567.75099999999998</v>
      </c>
    </row>
    <row r="851" spans="1:16" x14ac:dyDescent="0.35">
      <c r="A851" s="8">
        <v>851</v>
      </c>
      <c r="B851" s="1" t="s">
        <v>65</v>
      </c>
      <c r="C851" s="8" t="s">
        <v>62</v>
      </c>
      <c r="D851" s="8" t="s">
        <v>66</v>
      </c>
      <c r="E851" s="8" t="s">
        <v>70</v>
      </c>
      <c r="F851" s="8">
        <v>1</v>
      </c>
      <c r="G851" s="2">
        <v>37000</v>
      </c>
      <c r="H851" s="1">
        <v>1</v>
      </c>
      <c r="I851" s="8" t="s">
        <v>8</v>
      </c>
      <c r="J851" s="1">
        <v>6</v>
      </c>
      <c r="K851" s="1" t="s">
        <v>15</v>
      </c>
      <c r="L851" s="1" t="s">
        <v>28</v>
      </c>
      <c r="M851" s="1" t="s">
        <v>28</v>
      </c>
      <c r="N851" s="10">
        <v>42230</v>
      </c>
      <c r="O851" s="3">
        <v>632.35599999999999</v>
      </c>
      <c r="P851" s="15">
        <f>IF(Table1[[#This Row],[Amount Spent]]&gt;3500, 3500,Table1[[#This Row],[Amount Spent]])</f>
        <v>632.35599999999999</v>
      </c>
    </row>
    <row r="852" spans="1:16" x14ac:dyDescent="0.35">
      <c r="A852" s="9">
        <v>852</v>
      </c>
      <c r="B852" s="4" t="s">
        <v>64</v>
      </c>
      <c r="C852" s="9" t="s">
        <v>62</v>
      </c>
      <c r="D852" s="9" t="s">
        <v>58</v>
      </c>
      <c r="E852" s="9" t="s">
        <v>2</v>
      </c>
      <c r="F852" s="9">
        <v>0</v>
      </c>
      <c r="G852" s="5">
        <v>77600</v>
      </c>
      <c r="H852" s="4">
        <v>3</v>
      </c>
      <c r="I852" s="9" t="s">
        <v>68</v>
      </c>
      <c r="J852" s="4">
        <v>12</v>
      </c>
      <c r="K852" s="4" t="s">
        <v>15</v>
      </c>
      <c r="L852" s="4" t="s">
        <v>52</v>
      </c>
      <c r="M852" s="4" t="s">
        <v>31</v>
      </c>
      <c r="N852" s="10">
        <v>42120</v>
      </c>
      <c r="O852" s="6">
        <v>857.57500000000005</v>
      </c>
      <c r="P852" s="15">
        <f>IF(Table1[[#This Row],[Amount Spent]]&gt;3500, 3500,Table1[[#This Row],[Amount Spent]])</f>
        <v>857.57500000000005</v>
      </c>
    </row>
    <row r="853" spans="1:16" x14ac:dyDescent="0.35">
      <c r="A853" s="8">
        <v>853</v>
      </c>
      <c r="B853" s="1" t="s">
        <v>63</v>
      </c>
      <c r="C853" s="8" t="s">
        <v>62</v>
      </c>
      <c r="D853" s="8" t="s">
        <v>66</v>
      </c>
      <c r="E853" s="8" t="s">
        <v>70</v>
      </c>
      <c r="F853" s="8">
        <v>0</v>
      </c>
      <c r="G853" s="2">
        <v>18400</v>
      </c>
      <c r="H853" s="1">
        <v>1</v>
      </c>
      <c r="I853" s="8" t="s">
        <v>67</v>
      </c>
      <c r="J853" s="1">
        <v>6</v>
      </c>
      <c r="K853" s="1" t="s">
        <v>14</v>
      </c>
      <c r="L853" s="1" t="s">
        <v>49</v>
      </c>
      <c r="M853" s="1" t="s">
        <v>39</v>
      </c>
      <c r="N853" s="10">
        <v>40181</v>
      </c>
      <c r="O853" s="3">
        <v>303.45400000000001</v>
      </c>
      <c r="P853" s="15">
        <f>IF(Table1[[#This Row],[Amount Spent]]&gt;3500, 3500,Table1[[#This Row],[Amount Spent]])</f>
        <v>303.45400000000001</v>
      </c>
    </row>
    <row r="854" spans="1:16" x14ac:dyDescent="0.35">
      <c r="A854" s="9">
        <v>854</v>
      </c>
      <c r="B854" s="4" t="s">
        <v>63</v>
      </c>
      <c r="C854" s="9" t="s">
        <v>62</v>
      </c>
      <c r="D854" s="9" t="s">
        <v>66</v>
      </c>
      <c r="E854" s="9" t="s">
        <v>70</v>
      </c>
      <c r="F854" s="9">
        <v>0</v>
      </c>
      <c r="G854" s="5">
        <v>10200</v>
      </c>
      <c r="H854" s="4">
        <v>2</v>
      </c>
      <c r="I854" s="9" t="s">
        <v>67</v>
      </c>
      <c r="J854" s="4">
        <v>18</v>
      </c>
      <c r="K854" s="4" t="s">
        <v>13</v>
      </c>
      <c r="L854" s="4" t="s">
        <v>43</v>
      </c>
      <c r="M854" s="4" t="s">
        <v>23</v>
      </c>
      <c r="N854" s="10">
        <v>41349</v>
      </c>
      <c r="O854" s="6">
        <v>213.261</v>
      </c>
      <c r="P854" s="15">
        <f>IF(Table1[[#This Row],[Amount Spent]]&gt;3500, 3500,Table1[[#This Row],[Amount Spent]])</f>
        <v>213.261</v>
      </c>
    </row>
    <row r="855" spans="1:16" x14ac:dyDescent="0.35">
      <c r="A855" s="8">
        <v>855</v>
      </c>
      <c r="B855" s="1" t="s">
        <v>64</v>
      </c>
      <c r="C855" s="8" t="s">
        <v>61</v>
      </c>
      <c r="D855" s="8" t="s">
        <v>66</v>
      </c>
      <c r="E855" s="8" t="s">
        <v>70</v>
      </c>
      <c r="F855" s="8">
        <v>0</v>
      </c>
      <c r="G855" s="2">
        <v>52200</v>
      </c>
      <c r="H855" s="1">
        <v>0</v>
      </c>
      <c r="I855" s="8" t="s">
        <v>69</v>
      </c>
      <c r="J855" s="1">
        <v>24</v>
      </c>
      <c r="K855" s="1" t="s">
        <v>12</v>
      </c>
      <c r="L855" s="1" t="s">
        <v>41</v>
      </c>
      <c r="M855" s="1" t="s">
        <v>20</v>
      </c>
      <c r="N855" s="10">
        <v>41741</v>
      </c>
      <c r="O855" s="3">
        <v>1908.8679999999999</v>
      </c>
      <c r="P855" s="15">
        <f>IF(Table1[[#This Row],[Amount Spent]]&gt;3500, 3500,Table1[[#This Row],[Amount Spent]])</f>
        <v>1908.8679999999999</v>
      </c>
    </row>
    <row r="856" spans="1:16" x14ac:dyDescent="0.35">
      <c r="A856" s="9">
        <v>856</v>
      </c>
      <c r="B856" s="4" t="s">
        <v>64</v>
      </c>
      <c r="C856" s="9" t="s">
        <v>61</v>
      </c>
      <c r="D856" s="9" t="s">
        <v>58</v>
      </c>
      <c r="E856" s="9" t="s">
        <v>2</v>
      </c>
      <c r="F856" s="9">
        <v>0</v>
      </c>
      <c r="G856" s="5">
        <v>108000</v>
      </c>
      <c r="H856" s="4">
        <v>3</v>
      </c>
      <c r="I856" s="9" t="s">
        <v>69</v>
      </c>
      <c r="J856" s="4">
        <v>24</v>
      </c>
      <c r="K856" s="4" t="s">
        <v>13</v>
      </c>
      <c r="L856" s="4" t="s">
        <v>46</v>
      </c>
      <c r="M856" s="4" t="s">
        <v>22</v>
      </c>
      <c r="N856" s="10">
        <v>40991</v>
      </c>
      <c r="O856" s="6">
        <v>1849.49</v>
      </c>
      <c r="P856" s="15">
        <f>IF(Table1[[#This Row],[Amount Spent]]&gt;3500, 3500,Table1[[#This Row],[Amount Spent]])</f>
        <v>1849.49</v>
      </c>
    </row>
    <row r="857" spans="1:16" x14ac:dyDescent="0.35">
      <c r="A857" s="8">
        <v>857</v>
      </c>
      <c r="B857" s="1" t="s">
        <v>64</v>
      </c>
      <c r="C857" s="8" t="s">
        <v>62</v>
      </c>
      <c r="D857" s="8" t="s">
        <v>58</v>
      </c>
      <c r="E857" s="8" t="s">
        <v>2</v>
      </c>
      <c r="F857" s="8">
        <v>0</v>
      </c>
      <c r="G857" s="2">
        <v>102800</v>
      </c>
      <c r="H857" s="1">
        <v>2</v>
      </c>
      <c r="I857" s="8" t="s">
        <v>69</v>
      </c>
      <c r="J857" s="1">
        <v>18</v>
      </c>
      <c r="K857" s="1" t="s">
        <v>14</v>
      </c>
      <c r="L857" s="1" t="s">
        <v>51</v>
      </c>
      <c r="M857" s="1" t="s">
        <v>38</v>
      </c>
      <c r="N857" s="10">
        <v>42084</v>
      </c>
      <c r="O857" s="3">
        <v>2238.2280000000001</v>
      </c>
      <c r="P857" s="15">
        <f>IF(Table1[[#This Row],[Amount Spent]]&gt;3500, 3500,Table1[[#This Row],[Amount Spent]])</f>
        <v>2238.2280000000001</v>
      </c>
    </row>
    <row r="858" spans="1:16" x14ac:dyDescent="0.35">
      <c r="A858" s="9">
        <v>858</v>
      </c>
      <c r="B858" s="4" t="s">
        <v>65</v>
      </c>
      <c r="C858" s="9" t="s">
        <v>61</v>
      </c>
      <c r="D858" s="9" t="s">
        <v>58</v>
      </c>
      <c r="E858" s="9" t="s">
        <v>70</v>
      </c>
      <c r="F858" s="9">
        <v>1</v>
      </c>
      <c r="G858" s="5">
        <v>69100</v>
      </c>
      <c r="H858" s="4">
        <v>0</v>
      </c>
      <c r="I858" s="9" t="s">
        <v>69</v>
      </c>
      <c r="J858" s="4">
        <v>12</v>
      </c>
      <c r="K858" s="4" t="s">
        <v>12</v>
      </c>
      <c r="L858" s="4" t="s">
        <v>47</v>
      </c>
      <c r="M858" s="4" t="s">
        <v>16</v>
      </c>
      <c r="N858" s="10">
        <v>41848</v>
      </c>
      <c r="O858" s="6">
        <v>1477.1410000000001</v>
      </c>
      <c r="P858" s="15">
        <f>IF(Table1[[#This Row],[Amount Spent]]&gt;3500, 3500,Table1[[#This Row],[Amount Spent]])</f>
        <v>1477.1410000000001</v>
      </c>
    </row>
    <row r="859" spans="1:16" x14ac:dyDescent="0.35">
      <c r="A859" s="8">
        <v>859</v>
      </c>
      <c r="B859" s="1" t="s">
        <v>63</v>
      </c>
      <c r="C859" s="8" t="s">
        <v>62</v>
      </c>
      <c r="D859" s="8" t="s">
        <v>66</v>
      </c>
      <c r="E859" s="8" t="s">
        <v>2</v>
      </c>
      <c r="F859" s="8">
        <v>1</v>
      </c>
      <c r="G859" s="2">
        <v>25900</v>
      </c>
      <c r="H859" s="1">
        <v>1</v>
      </c>
      <c r="I859" s="8" t="s">
        <v>67</v>
      </c>
      <c r="J859" s="1">
        <v>6</v>
      </c>
      <c r="K859" s="1" t="s">
        <v>12</v>
      </c>
      <c r="L859" s="1" t="s">
        <v>55</v>
      </c>
      <c r="M859" s="1" t="s">
        <v>17</v>
      </c>
      <c r="N859" s="10">
        <v>41662</v>
      </c>
      <c r="O859" s="3">
        <v>242.12899999999999</v>
      </c>
      <c r="P859" s="15">
        <f>IF(Table1[[#This Row],[Amount Spent]]&gt;3500, 3500,Table1[[#This Row],[Amount Spent]])</f>
        <v>242.12899999999999</v>
      </c>
    </row>
    <row r="860" spans="1:16" x14ac:dyDescent="0.35">
      <c r="A860" s="9">
        <v>860</v>
      </c>
      <c r="B860" s="4" t="s">
        <v>63</v>
      </c>
      <c r="C860" s="9" t="s">
        <v>61</v>
      </c>
      <c r="D860" s="9" t="s">
        <v>66</v>
      </c>
      <c r="E860" s="9" t="s">
        <v>2</v>
      </c>
      <c r="F860" s="9">
        <v>1</v>
      </c>
      <c r="G860" s="5">
        <v>45800</v>
      </c>
      <c r="H860" s="4">
        <v>0</v>
      </c>
      <c r="I860" s="9" t="s">
        <v>68</v>
      </c>
      <c r="J860" s="4">
        <v>6</v>
      </c>
      <c r="K860" s="4" t="s">
        <v>15</v>
      </c>
      <c r="L860" s="4" t="s">
        <v>42</v>
      </c>
      <c r="M860" s="4" t="s">
        <v>32</v>
      </c>
      <c r="N860" s="10">
        <v>41197</v>
      </c>
      <c r="O860" s="6">
        <v>489.20800000000003</v>
      </c>
      <c r="P860" s="15">
        <f>IF(Table1[[#This Row],[Amount Spent]]&gt;3500, 3500,Table1[[#This Row],[Amount Spent]])</f>
        <v>489.20800000000003</v>
      </c>
    </row>
    <row r="861" spans="1:16" x14ac:dyDescent="0.35">
      <c r="A861" s="8">
        <v>861</v>
      </c>
      <c r="B861" s="1" t="s">
        <v>65</v>
      </c>
      <c r="C861" s="8" t="s">
        <v>62</v>
      </c>
      <c r="D861" s="8" t="s">
        <v>58</v>
      </c>
      <c r="E861" s="8" t="s">
        <v>2</v>
      </c>
      <c r="F861" s="8">
        <v>0</v>
      </c>
      <c r="G861" s="2">
        <v>100100</v>
      </c>
      <c r="H861" s="1">
        <v>0</v>
      </c>
      <c r="I861" s="8" t="s">
        <v>69</v>
      </c>
      <c r="J861" s="1">
        <v>12</v>
      </c>
      <c r="K861" s="1" t="s">
        <v>15</v>
      </c>
      <c r="L861" s="1" t="s">
        <v>52</v>
      </c>
      <c r="M861" s="1" t="s">
        <v>30</v>
      </c>
      <c r="N861" s="10">
        <v>40165</v>
      </c>
      <c r="O861" s="3">
        <v>3103.7020000000002</v>
      </c>
      <c r="P861" s="15">
        <f>IF(Table1[[#This Row],[Amount Spent]]&gt;3500, 3500,Table1[[#This Row],[Amount Spent]])</f>
        <v>3103.7020000000002</v>
      </c>
    </row>
    <row r="862" spans="1:16" x14ac:dyDescent="0.35">
      <c r="A862" s="9">
        <v>862</v>
      </c>
      <c r="B862" s="4" t="s">
        <v>63</v>
      </c>
      <c r="C862" s="9" t="s">
        <v>62</v>
      </c>
      <c r="D862" s="9" t="s">
        <v>58</v>
      </c>
      <c r="E862" s="9" t="s">
        <v>70</v>
      </c>
      <c r="F862" s="9">
        <v>0</v>
      </c>
      <c r="G862" s="5">
        <v>16300</v>
      </c>
      <c r="H862" s="4">
        <v>0</v>
      </c>
      <c r="I862" s="9" t="s">
        <v>8</v>
      </c>
      <c r="J862" s="4">
        <v>12</v>
      </c>
      <c r="K862" s="4" t="s">
        <v>13</v>
      </c>
      <c r="L862" s="4" t="s">
        <v>42</v>
      </c>
      <c r="M862" s="4" t="s">
        <v>25</v>
      </c>
      <c r="N862" s="10">
        <v>42159</v>
      </c>
      <c r="O862" s="6">
        <v>359.71199999999999</v>
      </c>
      <c r="P862" s="15">
        <f>IF(Table1[[#This Row],[Amount Spent]]&gt;3500, 3500,Table1[[#This Row],[Amount Spent]])</f>
        <v>359.71199999999999</v>
      </c>
    </row>
    <row r="863" spans="1:16" x14ac:dyDescent="0.35">
      <c r="A863" s="8">
        <v>863</v>
      </c>
      <c r="B863" s="1" t="s">
        <v>63</v>
      </c>
      <c r="C863" s="8" t="s">
        <v>62</v>
      </c>
      <c r="D863" s="8" t="s">
        <v>66</v>
      </c>
      <c r="E863" s="8" t="s">
        <v>2</v>
      </c>
      <c r="F863" s="8">
        <v>0</v>
      </c>
      <c r="G863" s="2">
        <v>32700</v>
      </c>
      <c r="H863" s="1">
        <v>1</v>
      </c>
      <c r="I863" s="8" t="s">
        <v>8</v>
      </c>
      <c r="J863" s="1">
        <v>18</v>
      </c>
      <c r="K863" s="1" t="s">
        <v>14</v>
      </c>
      <c r="L863" s="1" t="s">
        <v>40</v>
      </c>
      <c r="M863" s="1" t="s">
        <v>37</v>
      </c>
      <c r="N863" s="10">
        <v>42179</v>
      </c>
      <c r="O863" s="3">
        <v>1276.2529999999999</v>
      </c>
      <c r="P863" s="15">
        <f>IF(Table1[[#This Row],[Amount Spent]]&gt;3500, 3500,Table1[[#This Row],[Amount Spent]])</f>
        <v>1276.2529999999999</v>
      </c>
    </row>
    <row r="864" spans="1:16" x14ac:dyDescent="0.35">
      <c r="A864" s="9">
        <v>864</v>
      </c>
      <c r="B864" s="4" t="s">
        <v>64</v>
      </c>
      <c r="C864" s="9" t="s">
        <v>62</v>
      </c>
      <c r="D864" s="9" t="s">
        <v>66</v>
      </c>
      <c r="E864" s="9" t="s">
        <v>70</v>
      </c>
      <c r="F864" s="9">
        <v>1</v>
      </c>
      <c r="G864" s="5">
        <v>32700</v>
      </c>
      <c r="H864" s="4">
        <v>2</v>
      </c>
      <c r="I864" s="9" t="s">
        <v>67</v>
      </c>
      <c r="J864" s="4">
        <v>6</v>
      </c>
      <c r="K864" s="4" t="s">
        <v>13</v>
      </c>
      <c r="L864" s="4" t="s">
        <v>43</v>
      </c>
      <c r="M864" s="4" t="s">
        <v>23</v>
      </c>
      <c r="N864" s="10">
        <v>40060</v>
      </c>
      <c r="O864" s="6">
        <v>272.80399999999997</v>
      </c>
      <c r="P864" s="15">
        <f>IF(Table1[[#This Row],[Amount Spent]]&gt;3500, 3500,Table1[[#This Row],[Amount Spent]])</f>
        <v>272.80399999999997</v>
      </c>
    </row>
    <row r="865" spans="1:16" x14ac:dyDescent="0.35">
      <c r="A865" s="8">
        <v>865</v>
      </c>
      <c r="B865" s="1" t="s">
        <v>64</v>
      </c>
      <c r="C865" s="8" t="s">
        <v>61</v>
      </c>
      <c r="D865" s="8" t="s">
        <v>58</v>
      </c>
      <c r="E865" s="8" t="s">
        <v>2</v>
      </c>
      <c r="F865" s="8">
        <v>1</v>
      </c>
      <c r="G865" s="2">
        <v>71600</v>
      </c>
      <c r="H865" s="1">
        <v>1</v>
      </c>
      <c r="I865" s="8" t="s">
        <v>8</v>
      </c>
      <c r="J865" s="1">
        <v>12</v>
      </c>
      <c r="K865" s="1" t="s">
        <v>12</v>
      </c>
      <c r="L865" s="1" t="s">
        <v>55</v>
      </c>
      <c r="M865" s="1" t="s">
        <v>17</v>
      </c>
      <c r="N865" s="10">
        <v>42146</v>
      </c>
      <c r="O865" s="3">
        <v>1197.9090000000001</v>
      </c>
      <c r="P865" s="15">
        <f>IF(Table1[[#This Row],[Amount Spent]]&gt;3500, 3500,Table1[[#This Row],[Amount Spent]])</f>
        <v>1197.9090000000001</v>
      </c>
    </row>
    <row r="866" spans="1:16" x14ac:dyDescent="0.35">
      <c r="A866" s="9">
        <v>866</v>
      </c>
      <c r="B866" s="4" t="s">
        <v>63</v>
      </c>
      <c r="C866" s="9" t="s">
        <v>62</v>
      </c>
      <c r="D866" s="9" t="s">
        <v>66</v>
      </c>
      <c r="E866" s="9" t="s">
        <v>70</v>
      </c>
      <c r="F866" s="9">
        <v>1</v>
      </c>
      <c r="G866" s="5">
        <v>26700</v>
      </c>
      <c r="H866" s="4">
        <v>1</v>
      </c>
      <c r="I866" s="9" t="s">
        <v>8</v>
      </c>
      <c r="J866" s="4">
        <v>12</v>
      </c>
      <c r="K866" s="4" t="s">
        <v>14</v>
      </c>
      <c r="L866" s="4" t="s">
        <v>51</v>
      </c>
      <c r="M866" s="4" t="s">
        <v>38</v>
      </c>
      <c r="N866" s="10">
        <v>42157</v>
      </c>
      <c r="O866" s="6">
        <v>458.62599999999998</v>
      </c>
      <c r="P866" s="15">
        <f>IF(Table1[[#This Row],[Amount Spent]]&gt;3500, 3500,Table1[[#This Row],[Amount Spent]])</f>
        <v>458.62599999999998</v>
      </c>
    </row>
    <row r="867" spans="1:16" x14ac:dyDescent="0.35">
      <c r="A867" s="8">
        <v>867</v>
      </c>
      <c r="B867" s="1" t="s">
        <v>63</v>
      </c>
      <c r="C867" s="8" t="s">
        <v>62</v>
      </c>
      <c r="D867" s="8" t="s">
        <v>66</v>
      </c>
      <c r="E867" s="8" t="s">
        <v>70</v>
      </c>
      <c r="F867" s="8">
        <v>1</v>
      </c>
      <c r="G867" s="2">
        <v>16300</v>
      </c>
      <c r="H867" s="1">
        <v>1</v>
      </c>
      <c r="I867" s="8" t="s">
        <v>8</v>
      </c>
      <c r="J867" s="1">
        <v>12</v>
      </c>
      <c r="K867" s="1" t="s">
        <v>12</v>
      </c>
      <c r="L867" s="1" t="s">
        <v>55</v>
      </c>
      <c r="M867" s="1" t="s">
        <v>17</v>
      </c>
      <c r="N867" s="10">
        <v>42062</v>
      </c>
      <c r="O867" s="3">
        <v>470.38200000000001</v>
      </c>
      <c r="P867" s="15">
        <f>IF(Table1[[#This Row],[Amount Spent]]&gt;3500, 3500,Table1[[#This Row],[Amount Spent]])</f>
        <v>470.38200000000001</v>
      </c>
    </row>
    <row r="868" spans="1:16" x14ac:dyDescent="0.35">
      <c r="A868" s="9">
        <v>868</v>
      </c>
      <c r="B868" s="4" t="s">
        <v>63</v>
      </c>
      <c r="C868" s="9" t="s">
        <v>61</v>
      </c>
      <c r="D868" s="9" t="s">
        <v>66</v>
      </c>
      <c r="E868" s="9" t="s">
        <v>2</v>
      </c>
      <c r="F868" s="9">
        <v>1</v>
      </c>
      <c r="G868" s="5">
        <v>45500</v>
      </c>
      <c r="H868" s="4">
        <v>0</v>
      </c>
      <c r="I868" s="9" t="s">
        <v>68</v>
      </c>
      <c r="J868" s="4">
        <v>6</v>
      </c>
      <c r="K868" s="4" t="s">
        <v>12</v>
      </c>
      <c r="L868" s="4" t="s">
        <v>55</v>
      </c>
      <c r="M868" s="4" t="s">
        <v>17</v>
      </c>
      <c r="N868" s="10">
        <v>40289</v>
      </c>
      <c r="O868" s="6">
        <v>754.24099999999999</v>
      </c>
      <c r="P868" s="15">
        <f>IF(Table1[[#This Row],[Amount Spent]]&gt;3500, 3500,Table1[[#This Row],[Amount Spent]])</f>
        <v>754.24099999999999</v>
      </c>
    </row>
    <row r="869" spans="1:16" x14ac:dyDescent="0.35">
      <c r="A869" s="8">
        <v>869</v>
      </c>
      <c r="B869" s="1" t="s">
        <v>63</v>
      </c>
      <c r="C869" s="8" t="s">
        <v>62</v>
      </c>
      <c r="D869" s="8" t="s">
        <v>58</v>
      </c>
      <c r="E869" s="8" t="s">
        <v>70</v>
      </c>
      <c r="F869" s="8">
        <v>0</v>
      </c>
      <c r="G869" s="2">
        <v>33200</v>
      </c>
      <c r="H869" s="1">
        <v>2</v>
      </c>
      <c r="I869" s="8" t="s">
        <v>68</v>
      </c>
      <c r="J869" s="1">
        <v>12</v>
      </c>
      <c r="K869" s="1" t="s">
        <v>13</v>
      </c>
      <c r="L869" s="1" t="s">
        <v>56</v>
      </c>
      <c r="M869" s="1" t="s">
        <v>24</v>
      </c>
      <c r="N869" s="10">
        <v>39927</v>
      </c>
      <c r="O869" s="3">
        <v>606.67200000000003</v>
      </c>
      <c r="P869" s="15">
        <f>IF(Table1[[#This Row],[Amount Spent]]&gt;3500, 3500,Table1[[#This Row],[Amount Spent]])</f>
        <v>606.67200000000003</v>
      </c>
    </row>
    <row r="870" spans="1:16" x14ac:dyDescent="0.35">
      <c r="A870" s="9">
        <v>870</v>
      </c>
      <c r="B870" s="4" t="s">
        <v>64</v>
      </c>
      <c r="C870" s="9" t="s">
        <v>62</v>
      </c>
      <c r="D870" s="9" t="s">
        <v>66</v>
      </c>
      <c r="E870" s="9" t="s">
        <v>2</v>
      </c>
      <c r="F870" s="9">
        <v>1</v>
      </c>
      <c r="G870" s="5">
        <v>72900</v>
      </c>
      <c r="H870" s="4">
        <v>3</v>
      </c>
      <c r="I870" s="9" t="s">
        <v>67</v>
      </c>
      <c r="J870" s="4">
        <v>6</v>
      </c>
      <c r="K870" s="4" t="s">
        <v>12</v>
      </c>
      <c r="L870" s="4" t="s">
        <v>53</v>
      </c>
      <c r="M870" s="4" t="s">
        <v>19</v>
      </c>
      <c r="N870" s="10">
        <v>41342</v>
      </c>
      <c r="O870" s="6">
        <v>252.16399999999999</v>
      </c>
      <c r="P870" s="15">
        <f>IF(Table1[[#This Row],[Amount Spent]]&gt;3500, 3500,Table1[[#This Row],[Amount Spent]])</f>
        <v>252.16399999999999</v>
      </c>
    </row>
    <row r="871" spans="1:16" x14ac:dyDescent="0.35">
      <c r="A871" s="8">
        <v>871</v>
      </c>
      <c r="B871" s="1" t="s">
        <v>64</v>
      </c>
      <c r="C871" s="8" t="s">
        <v>62</v>
      </c>
      <c r="D871" s="8" t="s">
        <v>66</v>
      </c>
      <c r="E871" s="8" t="s">
        <v>2</v>
      </c>
      <c r="F871" s="8">
        <v>1</v>
      </c>
      <c r="G871" s="2">
        <v>96700</v>
      </c>
      <c r="H871" s="1">
        <v>2</v>
      </c>
      <c r="I871" s="8" t="s">
        <v>68</v>
      </c>
      <c r="J871" s="1">
        <v>12</v>
      </c>
      <c r="K871" s="1" t="s">
        <v>14</v>
      </c>
      <c r="L871" s="1" t="s">
        <v>40</v>
      </c>
      <c r="M871" s="1" t="s">
        <v>37</v>
      </c>
      <c r="N871" s="10">
        <v>40303</v>
      </c>
      <c r="O871" s="3">
        <v>1231.328</v>
      </c>
      <c r="P871" s="15">
        <f>IF(Table1[[#This Row],[Amount Spent]]&gt;3500, 3500,Table1[[#This Row],[Amount Spent]])</f>
        <v>1231.328</v>
      </c>
    </row>
    <row r="872" spans="1:16" x14ac:dyDescent="0.35">
      <c r="A872" s="9">
        <v>872</v>
      </c>
      <c r="B872" s="4" t="s">
        <v>63</v>
      </c>
      <c r="C872" s="9" t="s">
        <v>62</v>
      </c>
      <c r="D872" s="9" t="s">
        <v>66</v>
      </c>
      <c r="E872" s="9" t="s">
        <v>70</v>
      </c>
      <c r="F872" s="9">
        <v>1</v>
      </c>
      <c r="G872" s="5">
        <v>16900</v>
      </c>
      <c r="H872" s="4">
        <v>1</v>
      </c>
      <c r="I872" s="9" t="s">
        <v>67</v>
      </c>
      <c r="J872" s="4">
        <v>6</v>
      </c>
      <c r="K872" s="4" t="s">
        <v>13</v>
      </c>
      <c r="L872" s="4" t="s">
        <v>46</v>
      </c>
      <c r="M872" s="4" t="s">
        <v>22</v>
      </c>
      <c r="N872" s="10">
        <v>40743</v>
      </c>
      <c r="O872" s="6">
        <v>247.334</v>
      </c>
      <c r="P872" s="15">
        <f>IF(Table1[[#This Row],[Amount Spent]]&gt;3500, 3500,Table1[[#This Row],[Amount Spent]])</f>
        <v>247.334</v>
      </c>
    </row>
    <row r="873" spans="1:16" x14ac:dyDescent="0.35">
      <c r="A873" s="8">
        <v>873</v>
      </c>
      <c r="B873" s="1" t="s">
        <v>64</v>
      </c>
      <c r="C873" s="8" t="s">
        <v>61</v>
      </c>
      <c r="D873" s="8" t="s">
        <v>66</v>
      </c>
      <c r="E873" s="8" t="s">
        <v>2</v>
      </c>
      <c r="F873" s="8">
        <v>0</v>
      </c>
      <c r="G873" s="2">
        <v>52800</v>
      </c>
      <c r="H873" s="1">
        <v>2</v>
      </c>
      <c r="I873" s="8" t="s">
        <v>68</v>
      </c>
      <c r="J873" s="1">
        <v>12</v>
      </c>
      <c r="K873" s="1" t="s">
        <v>14</v>
      </c>
      <c r="L873" s="1" t="s">
        <v>49</v>
      </c>
      <c r="M873" s="1" t="s">
        <v>39</v>
      </c>
      <c r="N873" s="10">
        <v>41905</v>
      </c>
      <c r="O873" s="3">
        <v>926.47900000000004</v>
      </c>
      <c r="P873" s="15">
        <f>IF(Table1[[#This Row],[Amount Spent]]&gt;3500, 3500,Table1[[#This Row],[Amount Spent]])</f>
        <v>926.47900000000004</v>
      </c>
    </row>
    <row r="874" spans="1:16" x14ac:dyDescent="0.35">
      <c r="A874" s="9">
        <v>874</v>
      </c>
      <c r="B874" s="4" t="s">
        <v>64</v>
      </c>
      <c r="C874" s="9" t="s">
        <v>61</v>
      </c>
      <c r="D874" s="9" t="s">
        <v>58</v>
      </c>
      <c r="E874" s="9" t="s">
        <v>2</v>
      </c>
      <c r="F874" s="9">
        <v>1</v>
      </c>
      <c r="G874" s="5">
        <v>60500</v>
      </c>
      <c r="H874" s="4">
        <v>3</v>
      </c>
      <c r="I874" s="9" t="s">
        <v>67</v>
      </c>
      <c r="J874" s="4">
        <v>12</v>
      </c>
      <c r="K874" s="4" t="s">
        <v>15</v>
      </c>
      <c r="L874" s="4" t="s">
        <v>28</v>
      </c>
      <c r="M874" s="4" t="s">
        <v>28</v>
      </c>
      <c r="N874" s="10">
        <v>41759</v>
      </c>
      <c r="O874" s="6">
        <v>339.63900000000001</v>
      </c>
      <c r="P874" s="15">
        <f>IF(Table1[[#This Row],[Amount Spent]]&gt;3500, 3500,Table1[[#This Row],[Amount Spent]])</f>
        <v>339.63900000000001</v>
      </c>
    </row>
    <row r="875" spans="1:16" x14ac:dyDescent="0.35">
      <c r="A875" s="8">
        <v>875</v>
      </c>
      <c r="B875" s="1" t="s">
        <v>65</v>
      </c>
      <c r="C875" s="8" t="s">
        <v>62</v>
      </c>
      <c r="D875" s="8" t="s">
        <v>58</v>
      </c>
      <c r="E875" s="8" t="s">
        <v>2</v>
      </c>
      <c r="F875" s="8">
        <v>1</v>
      </c>
      <c r="G875" s="2">
        <v>26700</v>
      </c>
      <c r="H875" s="1">
        <v>0</v>
      </c>
      <c r="I875" s="8" t="s">
        <v>67</v>
      </c>
      <c r="J875" s="1">
        <v>24</v>
      </c>
      <c r="K875" s="1" t="s">
        <v>12</v>
      </c>
      <c r="L875" s="1" t="s">
        <v>47</v>
      </c>
      <c r="M875" s="1" t="s">
        <v>16</v>
      </c>
      <c r="N875" s="10">
        <v>40005</v>
      </c>
      <c r="O875" s="3">
        <v>1119.8019999999999</v>
      </c>
      <c r="P875" s="15">
        <f>IF(Table1[[#This Row],[Amount Spent]]&gt;3500, 3500,Table1[[#This Row],[Amount Spent]])</f>
        <v>1119.8019999999999</v>
      </c>
    </row>
    <row r="876" spans="1:16" x14ac:dyDescent="0.35">
      <c r="A876" s="9">
        <v>876</v>
      </c>
      <c r="B876" s="4" t="s">
        <v>64</v>
      </c>
      <c r="C876" s="9" t="s">
        <v>61</v>
      </c>
      <c r="D876" s="9" t="s">
        <v>66</v>
      </c>
      <c r="E876" s="9" t="s">
        <v>70</v>
      </c>
      <c r="F876" s="9">
        <v>1</v>
      </c>
      <c r="G876" s="5">
        <v>63600</v>
      </c>
      <c r="H876" s="4">
        <v>0</v>
      </c>
      <c r="I876" s="9" t="s">
        <v>69</v>
      </c>
      <c r="J876" s="4">
        <v>6</v>
      </c>
      <c r="K876" s="4" t="s">
        <v>15</v>
      </c>
      <c r="L876" s="4" t="s">
        <v>42</v>
      </c>
      <c r="M876" s="4" t="s">
        <v>32</v>
      </c>
      <c r="N876" s="10">
        <v>40251</v>
      </c>
      <c r="O876" s="6">
        <v>1317.7329999999999</v>
      </c>
      <c r="P876" s="15">
        <f>IF(Table1[[#This Row],[Amount Spent]]&gt;3500, 3500,Table1[[#This Row],[Amount Spent]])</f>
        <v>1317.7329999999999</v>
      </c>
    </row>
    <row r="877" spans="1:16" x14ac:dyDescent="0.35">
      <c r="A877" s="8">
        <v>877</v>
      </c>
      <c r="B877" s="1" t="s">
        <v>63</v>
      </c>
      <c r="C877" s="8" t="s">
        <v>62</v>
      </c>
      <c r="D877" s="8" t="s">
        <v>58</v>
      </c>
      <c r="E877" s="8" t="s">
        <v>70</v>
      </c>
      <c r="F877" s="8">
        <v>1</v>
      </c>
      <c r="G877" s="2">
        <v>27100</v>
      </c>
      <c r="H877" s="1">
        <v>2</v>
      </c>
      <c r="I877" s="8" t="s">
        <v>67</v>
      </c>
      <c r="J877" s="1">
        <v>24</v>
      </c>
      <c r="K877" s="1" t="s">
        <v>13</v>
      </c>
      <c r="L877" s="1" t="s">
        <v>43</v>
      </c>
      <c r="M877" s="1" t="s">
        <v>23</v>
      </c>
      <c r="N877" s="10">
        <v>40966</v>
      </c>
      <c r="O877" s="3">
        <v>437.14600000000002</v>
      </c>
      <c r="P877" s="15">
        <f>IF(Table1[[#This Row],[Amount Spent]]&gt;3500, 3500,Table1[[#This Row],[Amount Spent]])</f>
        <v>437.14600000000002</v>
      </c>
    </row>
    <row r="878" spans="1:16" x14ac:dyDescent="0.35">
      <c r="A878" s="9">
        <v>878</v>
      </c>
      <c r="B878" s="4" t="s">
        <v>64</v>
      </c>
      <c r="C878" s="9" t="s">
        <v>62</v>
      </c>
      <c r="D878" s="9" t="s">
        <v>66</v>
      </c>
      <c r="E878" s="9" t="s">
        <v>70</v>
      </c>
      <c r="F878" s="9">
        <v>1</v>
      </c>
      <c r="G878" s="5">
        <v>27200</v>
      </c>
      <c r="H878" s="4">
        <v>3</v>
      </c>
      <c r="I878" s="9" t="s">
        <v>67</v>
      </c>
      <c r="J878" s="4">
        <v>24</v>
      </c>
      <c r="K878" s="4" t="s">
        <v>14</v>
      </c>
      <c r="L878" s="4" t="s">
        <v>40</v>
      </c>
      <c r="M878" s="4" t="s">
        <v>37</v>
      </c>
      <c r="N878" s="10">
        <v>39899</v>
      </c>
      <c r="O878" s="6">
        <v>243.38499999999999</v>
      </c>
      <c r="P878" s="15">
        <f>IF(Table1[[#This Row],[Amount Spent]]&gt;3500, 3500,Table1[[#This Row],[Amount Spent]])</f>
        <v>243.38499999999999</v>
      </c>
    </row>
    <row r="879" spans="1:16" x14ac:dyDescent="0.35">
      <c r="A879" s="8">
        <v>879</v>
      </c>
      <c r="B879" s="1" t="s">
        <v>64</v>
      </c>
      <c r="C879" s="8" t="s">
        <v>62</v>
      </c>
      <c r="D879" s="8" t="s">
        <v>66</v>
      </c>
      <c r="E879" s="8" t="s">
        <v>2</v>
      </c>
      <c r="F879" s="8">
        <v>1</v>
      </c>
      <c r="G879" s="2">
        <v>87700</v>
      </c>
      <c r="H879" s="1">
        <v>3</v>
      </c>
      <c r="I879" s="8" t="s">
        <v>8</v>
      </c>
      <c r="J879" s="1">
        <v>24</v>
      </c>
      <c r="K879" s="1" t="s">
        <v>15</v>
      </c>
      <c r="L879" s="1" t="s">
        <v>52</v>
      </c>
      <c r="M879" s="1" t="s">
        <v>31</v>
      </c>
      <c r="N879" s="10">
        <v>42057</v>
      </c>
      <c r="O879" s="3">
        <v>2445.67</v>
      </c>
      <c r="P879" s="15">
        <f>IF(Table1[[#This Row],[Amount Spent]]&gt;3500, 3500,Table1[[#This Row],[Amount Spent]])</f>
        <v>2445.67</v>
      </c>
    </row>
    <row r="880" spans="1:16" x14ac:dyDescent="0.35">
      <c r="A880" s="9">
        <v>880</v>
      </c>
      <c r="B880" s="4" t="s">
        <v>64</v>
      </c>
      <c r="C880" s="9" t="s">
        <v>61</v>
      </c>
      <c r="D880" s="9" t="s">
        <v>58</v>
      </c>
      <c r="E880" s="9" t="s">
        <v>70</v>
      </c>
      <c r="F880" s="9">
        <v>0</v>
      </c>
      <c r="G880" s="5">
        <v>68700</v>
      </c>
      <c r="H880" s="4">
        <v>1</v>
      </c>
      <c r="I880" s="9" t="s">
        <v>8</v>
      </c>
      <c r="J880" s="4">
        <v>24</v>
      </c>
      <c r="K880" s="4" t="s">
        <v>14</v>
      </c>
      <c r="L880" s="4" t="s">
        <v>40</v>
      </c>
      <c r="M880" s="4" t="s">
        <v>36</v>
      </c>
      <c r="N880" s="10">
        <v>42244</v>
      </c>
      <c r="O880" s="6">
        <v>1699.212</v>
      </c>
      <c r="P880" s="15">
        <f>IF(Table1[[#This Row],[Amount Spent]]&gt;3500, 3500,Table1[[#This Row],[Amount Spent]])</f>
        <v>1699.212</v>
      </c>
    </row>
    <row r="881" spans="1:16" x14ac:dyDescent="0.35">
      <c r="A881" s="8">
        <v>881</v>
      </c>
      <c r="B881" s="1" t="s">
        <v>64</v>
      </c>
      <c r="C881" s="8" t="s">
        <v>61</v>
      </c>
      <c r="D881" s="8" t="s">
        <v>58</v>
      </c>
      <c r="E881" s="8" t="s">
        <v>70</v>
      </c>
      <c r="F881" s="8">
        <v>1</v>
      </c>
      <c r="G881" s="2">
        <v>60200</v>
      </c>
      <c r="H881" s="1">
        <v>3</v>
      </c>
      <c r="I881" s="8" t="s">
        <v>8</v>
      </c>
      <c r="J881" s="1">
        <v>12</v>
      </c>
      <c r="K881" s="1" t="s">
        <v>15</v>
      </c>
      <c r="L881" s="1" t="s">
        <v>52</v>
      </c>
      <c r="M881" s="1" t="s">
        <v>31</v>
      </c>
      <c r="N881" s="10">
        <v>42102</v>
      </c>
      <c r="O881" s="3">
        <v>1363.5909999999999</v>
      </c>
      <c r="P881" s="15">
        <f>IF(Table1[[#This Row],[Amount Spent]]&gt;3500, 3500,Table1[[#This Row],[Amount Spent]])</f>
        <v>1363.5909999999999</v>
      </c>
    </row>
    <row r="882" spans="1:16" x14ac:dyDescent="0.35">
      <c r="A882" s="9">
        <v>882</v>
      </c>
      <c r="B882" s="4" t="s">
        <v>63</v>
      </c>
      <c r="C882" s="9" t="s">
        <v>62</v>
      </c>
      <c r="D882" s="9" t="s">
        <v>66</v>
      </c>
      <c r="E882" s="9" t="s">
        <v>2</v>
      </c>
      <c r="F882" s="9">
        <v>1</v>
      </c>
      <c r="G882" s="5">
        <v>47300</v>
      </c>
      <c r="H882" s="4">
        <v>0</v>
      </c>
      <c r="I882" s="9" t="s">
        <v>8</v>
      </c>
      <c r="J882" s="4">
        <v>6</v>
      </c>
      <c r="K882" s="4" t="s">
        <v>14</v>
      </c>
      <c r="L882" s="4" t="s">
        <v>40</v>
      </c>
      <c r="M882" s="4" t="s">
        <v>37</v>
      </c>
      <c r="N882" s="10">
        <v>42165</v>
      </c>
      <c r="O882" s="6">
        <v>639.60900000000004</v>
      </c>
      <c r="P882" s="15">
        <f>IF(Table1[[#This Row],[Amount Spent]]&gt;3500, 3500,Table1[[#This Row],[Amount Spent]])</f>
        <v>639.60900000000004</v>
      </c>
    </row>
    <row r="883" spans="1:16" x14ac:dyDescent="0.35">
      <c r="A883" s="8">
        <v>883</v>
      </c>
      <c r="B883" s="1" t="s">
        <v>65</v>
      </c>
      <c r="C883" s="8" t="s">
        <v>61</v>
      </c>
      <c r="D883" s="8" t="s">
        <v>58</v>
      </c>
      <c r="E883" s="8" t="s">
        <v>70</v>
      </c>
      <c r="F883" s="8">
        <v>0</v>
      </c>
      <c r="G883" s="2">
        <v>61000</v>
      </c>
      <c r="H883" s="1">
        <v>0</v>
      </c>
      <c r="I883" s="8" t="s">
        <v>69</v>
      </c>
      <c r="J883" s="1">
        <v>6</v>
      </c>
      <c r="K883" s="1" t="s">
        <v>12</v>
      </c>
      <c r="L883" s="1" t="s">
        <v>53</v>
      </c>
      <c r="M883" s="1" t="s">
        <v>19</v>
      </c>
      <c r="N883" s="10">
        <v>41330</v>
      </c>
      <c r="O883" s="3">
        <v>974.51199999999994</v>
      </c>
      <c r="P883" s="15">
        <f>IF(Table1[[#This Row],[Amount Spent]]&gt;3500, 3500,Table1[[#This Row],[Amount Spent]])</f>
        <v>974.51199999999994</v>
      </c>
    </row>
    <row r="884" spans="1:16" x14ac:dyDescent="0.35">
      <c r="A884" s="9">
        <v>884</v>
      </c>
      <c r="B884" s="4" t="s">
        <v>64</v>
      </c>
      <c r="C884" s="9" t="s">
        <v>61</v>
      </c>
      <c r="D884" s="9" t="s">
        <v>58</v>
      </c>
      <c r="E884" s="9" t="s">
        <v>2</v>
      </c>
      <c r="F884" s="9">
        <v>1</v>
      </c>
      <c r="G884" s="5">
        <v>84200</v>
      </c>
      <c r="H884" s="4">
        <v>0</v>
      </c>
      <c r="I884" s="9" t="s">
        <v>69</v>
      </c>
      <c r="J884" s="4">
        <v>24</v>
      </c>
      <c r="K884" s="4" t="s">
        <v>14</v>
      </c>
      <c r="L884" s="4" t="s">
        <v>51</v>
      </c>
      <c r="M884" s="4" t="s">
        <v>38</v>
      </c>
      <c r="N884" s="10">
        <v>39928</v>
      </c>
      <c r="O884" s="6">
        <v>1654.133</v>
      </c>
      <c r="P884" s="15">
        <f>IF(Table1[[#This Row],[Amount Spent]]&gt;3500, 3500,Table1[[#This Row],[Amount Spent]])</f>
        <v>1654.133</v>
      </c>
    </row>
    <row r="885" spans="1:16" x14ac:dyDescent="0.35">
      <c r="A885" s="8">
        <v>885</v>
      </c>
      <c r="B885" s="1" t="s">
        <v>64</v>
      </c>
      <c r="C885" s="8" t="s">
        <v>62</v>
      </c>
      <c r="D885" s="8" t="s">
        <v>58</v>
      </c>
      <c r="E885" s="8" t="s">
        <v>2</v>
      </c>
      <c r="F885" s="8">
        <v>1</v>
      </c>
      <c r="G885" s="2">
        <v>86900</v>
      </c>
      <c r="H885" s="1">
        <v>0</v>
      </c>
      <c r="I885" s="8" t="s">
        <v>69</v>
      </c>
      <c r="J885" s="1">
        <v>18</v>
      </c>
      <c r="K885" s="1" t="s">
        <v>12</v>
      </c>
      <c r="L885" s="1" t="s">
        <v>41</v>
      </c>
      <c r="M885" s="1" t="s">
        <v>20</v>
      </c>
      <c r="N885" s="10">
        <v>41907</v>
      </c>
      <c r="O885" s="3">
        <v>2229.7489999999998</v>
      </c>
      <c r="P885" s="15">
        <f>IF(Table1[[#This Row],[Amount Spent]]&gt;3500, 3500,Table1[[#This Row],[Amount Spent]])</f>
        <v>2229.7489999999998</v>
      </c>
    </row>
    <row r="886" spans="1:16" x14ac:dyDescent="0.35">
      <c r="A886" s="9">
        <v>886</v>
      </c>
      <c r="B886" s="4" t="s">
        <v>63</v>
      </c>
      <c r="C886" s="9" t="s">
        <v>62</v>
      </c>
      <c r="D886" s="9" t="s">
        <v>66</v>
      </c>
      <c r="E886" s="9" t="s">
        <v>70</v>
      </c>
      <c r="F886" s="9">
        <v>0</v>
      </c>
      <c r="G886" s="5">
        <v>21700</v>
      </c>
      <c r="H886" s="4">
        <v>3</v>
      </c>
      <c r="I886" s="9" t="s">
        <v>8</v>
      </c>
      <c r="J886" s="4">
        <v>24</v>
      </c>
      <c r="K886" s="4" t="s">
        <v>12</v>
      </c>
      <c r="L886" s="4" t="s">
        <v>54</v>
      </c>
      <c r="M886" s="4" t="s">
        <v>21</v>
      </c>
      <c r="N886" s="10">
        <v>42222</v>
      </c>
      <c r="O886" s="6">
        <v>707.7</v>
      </c>
      <c r="P886" s="15">
        <f>IF(Table1[[#This Row],[Amount Spent]]&gt;3500, 3500,Table1[[#This Row],[Amount Spent]])</f>
        <v>707.7</v>
      </c>
    </row>
    <row r="887" spans="1:16" x14ac:dyDescent="0.35">
      <c r="A887" s="8">
        <v>887</v>
      </c>
      <c r="B887" s="1" t="s">
        <v>63</v>
      </c>
      <c r="C887" s="8" t="s">
        <v>61</v>
      </c>
      <c r="D887" s="8" t="s">
        <v>66</v>
      </c>
      <c r="E887" s="8" t="s">
        <v>70</v>
      </c>
      <c r="F887" s="8">
        <v>1</v>
      </c>
      <c r="G887" s="2">
        <v>17600</v>
      </c>
      <c r="H887" s="1">
        <v>0</v>
      </c>
      <c r="I887" s="8" t="s">
        <v>8</v>
      </c>
      <c r="J887" s="1">
        <v>6</v>
      </c>
      <c r="K887" s="1" t="s">
        <v>13</v>
      </c>
      <c r="L887" s="1" t="s">
        <v>45</v>
      </c>
      <c r="M887" s="1" t="s">
        <v>26</v>
      </c>
      <c r="N887" s="10">
        <v>42158</v>
      </c>
      <c r="O887" s="3">
        <v>245.00800000000001</v>
      </c>
      <c r="P887" s="15">
        <f>IF(Table1[[#This Row],[Amount Spent]]&gt;3500, 3500,Table1[[#This Row],[Amount Spent]])</f>
        <v>245.00800000000001</v>
      </c>
    </row>
    <row r="888" spans="1:16" x14ac:dyDescent="0.35">
      <c r="A888" s="9">
        <v>888</v>
      </c>
      <c r="B888" s="4" t="s">
        <v>64</v>
      </c>
      <c r="C888" s="9" t="s">
        <v>61</v>
      </c>
      <c r="D888" s="9" t="s">
        <v>58</v>
      </c>
      <c r="E888" s="9" t="s">
        <v>70</v>
      </c>
      <c r="F888" s="9">
        <v>0</v>
      </c>
      <c r="G888" s="5">
        <v>50100</v>
      </c>
      <c r="H888" s="4">
        <v>1</v>
      </c>
      <c r="I888" s="9" t="s">
        <v>69</v>
      </c>
      <c r="J888" s="4">
        <v>18</v>
      </c>
      <c r="K888" s="4" t="s">
        <v>13</v>
      </c>
      <c r="L888" s="4" t="s">
        <v>45</v>
      </c>
      <c r="M888" s="4" t="s">
        <v>26</v>
      </c>
      <c r="N888" s="10">
        <v>40742</v>
      </c>
      <c r="O888" s="6">
        <v>1070.54</v>
      </c>
      <c r="P888" s="15">
        <f>IF(Table1[[#This Row],[Amount Spent]]&gt;3500, 3500,Table1[[#This Row],[Amount Spent]])</f>
        <v>1070.54</v>
      </c>
    </row>
    <row r="889" spans="1:16" x14ac:dyDescent="0.35">
      <c r="A889" s="8">
        <v>889</v>
      </c>
      <c r="B889" s="1" t="s">
        <v>64</v>
      </c>
      <c r="C889" s="8" t="s">
        <v>62</v>
      </c>
      <c r="D889" s="8" t="s">
        <v>66</v>
      </c>
      <c r="E889" s="8" t="s">
        <v>70</v>
      </c>
      <c r="F889" s="8">
        <v>1</v>
      </c>
      <c r="G889" s="2">
        <v>42700</v>
      </c>
      <c r="H889" s="1">
        <v>0</v>
      </c>
      <c r="I889" s="8" t="s">
        <v>68</v>
      </c>
      <c r="J889" s="1">
        <v>12</v>
      </c>
      <c r="K889" s="1" t="s">
        <v>13</v>
      </c>
      <c r="L889" s="1" t="s">
        <v>45</v>
      </c>
      <c r="M889" s="1" t="s">
        <v>26</v>
      </c>
      <c r="N889" s="10">
        <v>40788</v>
      </c>
      <c r="O889" s="3">
        <v>826.84799999999996</v>
      </c>
      <c r="P889" s="15">
        <f>IF(Table1[[#This Row],[Amount Spent]]&gt;3500, 3500,Table1[[#This Row],[Amount Spent]])</f>
        <v>826.84799999999996</v>
      </c>
    </row>
    <row r="890" spans="1:16" x14ac:dyDescent="0.35">
      <c r="A890" s="9">
        <v>890</v>
      </c>
      <c r="B890" s="4" t="s">
        <v>64</v>
      </c>
      <c r="C890" s="9" t="s">
        <v>61</v>
      </c>
      <c r="D890" s="9" t="s">
        <v>66</v>
      </c>
      <c r="E890" s="9" t="s">
        <v>70</v>
      </c>
      <c r="F890" s="9">
        <v>1</v>
      </c>
      <c r="G890" s="5">
        <v>41800</v>
      </c>
      <c r="H890" s="4">
        <v>3</v>
      </c>
      <c r="I890" s="9" t="s">
        <v>67</v>
      </c>
      <c r="J890" s="4">
        <v>24</v>
      </c>
      <c r="K890" s="4" t="s">
        <v>15</v>
      </c>
      <c r="L890" s="4" t="s">
        <v>52</v>
      </c>
      <c r="M890" s="4" t="s">
        <v>31</v>
      </c>
      <c r="N890" s="10">
        <v>41331</v>
      </c>
      <c r="O890" s="6">
        <v>300.73599999999999</v>
      </c>
      <c r="P890" s="15">
        <f>IF(Table1[[#This Row],[Amount Spent]]&gt;3500, 3500,Table1[[#This Row],[Amount Spent]])</f>
        <v>300.73599999999999</v>
      </c>
    </row>
    <row r="891" spans="1:16" x14ac:dyDescent="0.35">
      <c r="A891" s="8">
        <v>891</v>
      </c>
      <c r="B891" s="1" t="s">
        <v>63</v>
      </c>
      <c r="C891" s="8" t="s">
        <v>61</v>
      </c>
      <c r="D891" s="8" t="s">
        <v>66</v>
      </c>
      <c r="E891" s="8" t="s">
        <v>2</v>
      </c>
      <c r="F891" s="8">
        <v>0</v>
      </c>
      <c r="G891" s="2">
        <v>53600</v>
      </c>
      <c r="H891" s="1">
        <v>3</v>
      </c>
      <c r="I891" s="8" t="s">
        <v>68</v>
      </c>
      <c r="J891" s="1">
        <v>24</v>
      </c>
      <c r="K891" s="1" t="s">
        <v>15</v>
      </c>
      <c r="L891" s="1" t="s">
        <v>42</v>
      </c>
      <c r="M891" s="1" t="s">
        <v>32</v>
      </c>
      <c r="N891" s="10">
        <v>40386</v>
      </c>
      <c r="O891" s="3">
        <v>1560.11</v>
      </c>
      <c r="P891" s="15">
        <f>IF(Table1[[#This Row],[Amount Spent]]&gt;3500, 3500,Table1[[#This Row],[Amount Spent]])</f>
        <v>1560.11</v>
      </c>
    </row>
    <row r="892" spans="1:16" x14ac:dyDescent="0.35">
      <c r="A892" s="9">
        <v>892</v>
      </c>
      <c r="B892" s="4" t="s">
        <v>64</v>
      </c>
      <c r="C892" s="9" t="s">
        <v>61</v>
      </c>
      <c r="D892" s="9" t="s">
        <v>58</v>
      </c>
      <c r="E892" s="9" t="s">
        <v>2</v>
      </c>
      <c r="F892" s="9">
        <v>1</v>
      </c>
      <c r="G892" s="5">
        <v>96900</v>
      </c>
      <c r="H892" s="4">
        <v>0</v>
      </c>
      <c r="I892" s="9" t="s">
        <v>69</v>
      </c>
      <c r="J892" s="4">
        <v>6</v>
      </c>
      <c r="K892" s="4" t="s">
        <v>14</v>
      </c>
      <c r="L892" s="4" t="s">
        <v>51</v>
      </c>
      <c r="M892" s="4" t="s">
        <v>38</v>
      </c>
      <c r="N892" s="10">
        <v>40068</v>
      </c>
      <c r="O892" s="6">
        <v>1159.2170000000001</v>
      </c>
      <c r="P892" s="15">
        <f>IF(Table1[[#This Row],[Amount Spent]]&gt;3500, 3500,Table1[[#This Row],[Amount Spent]])</f>
        <v>1159.2170000000001</v>
      </c>
    </row>
    <row r="893" spans="1:16" x14ac:dyDescent="0.35">
      <c r="A893" s="8">
        <v>893</v>
      </c>
      <c r="B893" s="1" t="s">
        <v>63</v>
      </c>
      <c r="C893" s="8" t="s">
        <v>61</v>
      </c>
      <c r="D893" s="8" t="s">
        <v>66</v>
      </c>
      <c r="E893" s="8" t="s">
        <v>70</v>
      </c>
      <c r="F893" s="8">
        <v>1</v>
      </c>
      <c r="G893" s="2">
        <v>10200</v>
      </c>
      <c r="H893" s="1">
        <v>0</v>
      </c>
      <c r="I893" s="8" t="s">
        <v>8</v>
      </c>
      <c r="J893" s="1">
        <v>24</v>
      </c>
      <c r="K893" s="1" t="s">
        <v>12</v>
      </c>
      <c r="L893" s="1" t="s">
        <v>47</v>
      </c>
      <c r="M893" s="1" t="s">
        <v>16</v>
      </c>
      <c r="N893" s="10">
        <v>42098</v>
      </c>
      <c r="O893" s="3">
        <v>361.78899999999999</v>
      </c>
      <c r="P893" s="15">
        <f>IF(Table1[[#This Row],[Amount Spent]]&gt;3500, 3500,Table1[[#This Row],[Amount Spent]])</f>
        <v>361.78899999999999</v>
      </c>
    </row>
    <row r="894" spans="1:16" x14ac:dyDescent="0.35">
      <c r="A894" s="9">
        <v>894</v>
      </c>
      <c r="B894" s="4" t="s">
        <v>64</v>
      </c>
      <c r="C894" s="9" t="s">
        <v>61</v>
      </c>
      <c r="D894" s="9" t="s">
        <v>66</v>
      </c>
      <c r="E894" s="9" t="s">
        <v>70</v>
      </c>
      <c r="F894" s="9">
        <v>0</v>
      </c>
      <c r="G894" s="5">
        <v>49000</v>
      </c>
      <c r="H894" s="4">
        <v>0</v>
      </c>
      <c r="I894" s="9" t="s">
        <v>69</v>
      </c>
      <c r="J894" s="4">
        <v>18</v>
      </c>
      <c r="K894" s="4" t="s">
        <v>12</v>
      </c>
      <c r="L894" s="4" t="s">
        <v>47</v>
      </c>
      <c r="M894" s="4" t="s">
        <v>16</v>
      </c>
      <c r="N894" s="10">
        <v>40704</v>
      </c>
      <c r="O894" s="6">
        <v>1523.3789999999999</v>
      </c>
      <c r="P894" s="15">
        <f>IF(Table1[[#This Row],[Amount Spent]]&gt;3500, 3500,Table1[[#This Row],[Amount Spent]])</f>
        <v>1523.3789999999999</v>
      </c>
    </row>
    <row r="895" spans="1:16" x14ac:dyDescent="0.35">
      <c r="A895" s="8">
        <v>895</v>
      </c>
      <c r="B895" s="1" t="s">
        <v>65</v>
      </c>
      <c r="C895" s="8" t="s">
        <v>61</v>
      </c>
      <c r="D895" s="8" t="s">
        <v>58</v>
      </c>
      <c r="E895" s="8" t="s">
        <v>2</v>
      </c>
      <c r="F895" s="8">
        <v>0</v>
      </c>
      <c r="G895" s="2">
        <v>74500</v>
      </c>
      <c r="H895" s="1">
        <v>0</v>
      </c>
      <c r="I895" s="8" t="s">
        <v>8</v>
      </c>
      <c r="J895" s="1">
        <v>18</v>
      </c>
      <c r="K895" s="1" t="s">
        <v>14</v>
      </c>
      <c r="L895" s="1" t="s">
        <v>50</v>
      </c>
      <c r="M895" s="1" t="s">
        <v>35</v>
      </c>
      <c r="N895" s="10">
        <v>42010</v>
      </c>
      <c r="O895" s="3">
        <v>1413.2239999999999</v>
      </c>
      <c r="P895" s="15">
        <f>IF(Table1[[#This Row],[Amount Spent]]&gt;3500, 3500,Table1[[#This Row],[Amount Spent]])</f>
        <v>1413.2239999999999</v>
      </c>
    </row>
    <row r="896" spans="1:16" x14ac:dyDescent="0.35">
      <c r="A896" s="9">
        <v>896</v>
      </c>
      <c r="B896" s="4" t="s">
        <v>63</v>
      </c>
      <c r="C896" s="9" t="s">
        <v>61</v>
      </c>
      <c r="D896" s="9" t="s">
        <v>66</v>
      </c>
      <c r="E896" s="9" t="s">
        <v>70</v>
      </c>
      <c r="F896" s="9">
        <v>1</v>
      </c>
      <c r="G896" s="5">
        <v>19800</v>
      </c>
      <c r="H896" s="4">
        <v>2</v>
      </c>
      <c r="I896" s="9" t="s">
        <v>67</v>
      </c>
      <c r="J896" s="4">
        <v>12</v>
      </c>
      <c r="K896" s="4" t="s">
        <v>13</v>
      </c>
      <c r="L896" s="4" t="s">
        <v>42</v>
      </c>
      <c r="M896" s="4" t="s">
        <v>25</v>
      </c>
      <c r="N896" s="10">
        <v>41868</v>
      </c>
      <c r="O896" s="6">
        <v>209.422</v>
      </c>
      <c r="P896" s="15">
        <f>IF(Table1[[#This Row],[Amount Spent]]&gt;3500, 3500,Table1[[#This Row],[Amount Spent]])</f>
        <v>209.422</v>
      </c>
    </row>
    <row r="897" spans="1:16" x14ac:dyDescent="0.35">
      <c r="A897" s="8">
        <v>897</v>
      </c>
      <c r="B897" s="1" t="s">
        <v>65</v>
      </c>
      <c r="C897" s="8" t="s">
        <v>62</v>
      </c>
      <c r="D897" s="8" t="s">
        <v>66</v>
      </c>
      <c r="E897" s="8" t="s">
        <v>70</v>
      </c>
      <c r="F897" s="8">
        <v>0</v>
      </c>
      <c r="G897" s="2">
        <v>13900</v>
      </c>
      <c r="H897" s="1">
        <v>0</v>
      </c>
      <c r="I897" s="8" t="s">
        <v>67</v>
      </c>
      <c r="J897" s="1">
        <v>6</v>
      </c>
      <c r="K897" s="1" t="s">
        <v>15</v>
      </c>
      <c r="L897" s="1" t="s">
        <v>28</v>
      </c>
      <c r="M897" s="1" t="s">
        <v>33</v>
      </c>
      <c r="N897" s="10">
        <v>41005</v>
      </c>
      <c r="O897" s="3">
        <v>191.18299999999999</v>
      </c>
      <c r="P897" s="15">
        <f>IF(Table1[[#This Row],[Amount Spent]]&gt;3500, 3500,Table1[[#This Row],[Amount Spent]])</f>
        <v>191.18299999999999</v>
      </c>
    </row>
    <row r="898" spans="1:16" x14ac:dyDescent="0.35">
      <c r="A898" s="9">
        <v>898</v>
      </c>
      <c r="B898" s="4" t="s">
        <v>64</v>
      </c>
      <c r="C898" s="9" t="s">
        <v>61</v>
      </c>
      <c r="D898" s="9" t="s">
        <v>66</v>
      </c>
      <c r="E898" s="9" t="s">
        <v>70</v>
      </c>
      <c r="F898" s="9">
        <v>1</v>
      </c>
      <c r="G898" s="5">
        <v>42300</v>
      </c>
      <c r="H898" s="4">
        <v>0</v>
      </c>
      <c r="I898" s="9" t="s">
        <v>68</v>
      </c>
      <c r="J898" s="4">
        <v>24</v>
      </c>
      <c r="K898" s="4" t="s">
        <v>15</v>
      </c>
      <c r="L898" s="4" t="s">
        <v>28</v>
      </c>
      <c r="M898" s="4" t="s">
        <v>33</v>
      </c>
      <c r="N898" s="10">
        <v>41888</v>
      </c>
      <c r="O898" s="6">
        <v>1050.981</v>
      </c>
      <c r="P898" s="15">
        <f>IF(Table1[[#This Row],[Amount Spent]]&gt;3500, 3500,Table1[[#This Row],[Amount Spent]])</f>
        <v>1050.981</v>
      </c>
    </row>
    <row r="899" spans="1:16" x14ac:dyDescent="0.35">
      <c r="A899" s="8">
        <v>899</v>
      </c>
      <c r="B899" s="1" t="s">
        <v>65</v>
      </c>
      <c r="C899" s="8" t="s">
        <v>62</v>
      </c>
      <c r="D899" s="8" t="s">
        <v>58</v>
      </c>
      <c r="E899" s="8" t="s">
        <v>2</v>
      </c>
      <c r="F899" s="8">
        <v>1</v>
      </c>
      <c r="G899" s="2">
        <v>52200</v>
      </c>
      <c r="H899" s="1">
        <v>1</v>
      </c>
      <c r="I899" s="8" t="s">
        <v>68</v>
      </c>
      <c r="J899" s="1">
        <v>12</v>
      </c>
      <c r="K899" s="1" t="s">
        <v>13</v>
      </c>
      <c r="L899" s="1" t="s">
        <v>42</v>
      </c>
      <c r="M899" s="1" t="s">
        <v>25</v>
      </c>
      <c r="N899" s="10">
        <v>40326</v>
      </c>
      <c r="O899" s="3">
        <v>668.87300000000005</v>
      </c>
      <c r="P899" s="15">
        <f>IF(Table1[[#This Row],[Amount Spent]]&gt;3500, 3500,Table1[[#This Row],[Amount Spent]])</f>
        <v>668.87300000000005</v>
      </c>
    </row>
    <row r="900" spans="1:16" x14ac:dyDescent="0.35">
      <c r="A900" s="9">
        <v>900</v>
      </c>
      <c r="B900" s="4" t="s">
        <v>63</v>
      </c>
      <c r="C900" s="9" t="s">
        <v>62</v>
      </c>
      <c r="D900" s="9" t="s">
        <v>58</v>
      </c>
      <c r="E900" s="9" t="s">
        <v>2</v>
      </c>
      <c r="F900" s="9">
        <v>0</v>
      </c>
      <c r="G900" s="5">
        <v>70900</v>
      </c>
      <c r="H900" s="4">
        <v>0</v>
      </c>
      <c r="I900" s="9" t="s">
        <v>8</v>
      </c>
      <c r="J900" s="4">
        <v>6</v>
      </c>
      <c r="K900" s="4" t="s">
        <v>15</v>
      </c>
      <c r="L900" s="4" t="s">
        <v>42</v>
      </c>
      <c r="M900" s="4" t="s">
        <v>32</v>
      </c>
      <c r="N900" s="10">
        <v>42238</v>
      </c>
      <c r="O900" s="6">
        <v>689.98299999999995</v>
      </c>
      <c r="P900" s="15">
        <f>IF(Table1[[#This Row],[Amount Spent]]&gt;3500, 3500,Table1[[#This Row],[Amount Spent]])</f>
        <v>689.98299999999995</v>
      </c>
    </row>
    <row r="901" spans="1:16" x14ac:dyDescent="0.35">
      <c r="A901" s="8">
        <v>901</v>
      </c>
      <c r="B901" s="1" t="s">
        <v>65</v>
      </c>
      <c r="C901" s="8" t="s">
        <v>62</v>
      </c>
      <c r="D901" s="8" t="s">
        <v>58</v>
      </c>
      <c r="E901" s="8" t="s">
        <v>70</v>
      </c>
      <c r="F901" s="8">
        <v>1</v>
      </c>
      <c r="G901" s="2">
        <v>24400</v>
      </c>
      <c r="H901" s="1">
        <v>0</v>
      </c>
      <c r="I901" s="8" t="s">
        <v>67</v>
      </c>
      <c r="J901" s="1">
        <v>6</v>
      </c>
      <c r="K901" s="1" t="s">
        <v>15</v>
      </c>
      <c r="L901" s="1" t="s">
        <v>28</v>
      </c>
      <c r="M901" s="1" t="s">
        <v>33</v>
      </c>
      <c r="N901" s="10">
        <v>41721</v>
      </c>
      <c r="O901" s="3">
        <v>491.18700000000001</v>
      </c>
      <c r="P901" s="15">
        <f>IF(Table1[[#This Row],[Amount Spent]]&gt;3500, 3500,Table1[[#This Row],[Amount Spent]])</f>
        <v>491.18700000000001</v>
      </c>
    </row>
    <row r="902" spans="1:16" x14ac:dyDescent="0.35">
      <c r="A902" s="9">
        <v>902</v>
      </c>
      <c r="B902" s="4" t="s">
        <v>64</v>
      </c>
      <c r="C902" s="9" t="s">
        <v>62</v>
      </c>
      <c r="D902" s="9" t="s">
        <v>66</v>
      </c>
      <c r="E902" s="9" t="s">
        <v>2</v>
      </c>
      <c r="F902" s="9">
        <v>1</v>
      </c>
      <c r="G902" s="5">
        <v>68800</v>
      </c>
      <c r="H902" s="4">
        <v>0</v>
      </c>
      <c r="I902" s="9" t="s">
        <v>8</v>
      </c>
      <c r="J902" s="4">
        <v>6</v>
      </c>
      <c r="K902" s="4" t="s">
        <v>14</v>
      </c>
      <c r="L902" s="4" t="s">
        <v>50</v>
      </c>
      <c r="M902" s="4" t="s">
        <v>35</v>
      </c>
      <c r="N902" s="10">
        <v>42195</v>
      </c>
      <c r="O902" s="6">
        <v>1658.269</v>
      </c>
      <c r="P902" s="15">
        <f>IF(Table1[[#This Row],[Amount Spent]]&gt;3500, 3500,Table1[[#This Row],[Amount Spent]])</f>
        <v>1658.269</v>
      </c>
    </row>
    <row r="903" spans="1:16" x14ac:dyDescent="0.35">
      <c r="A903" s="8">
        <v>903</v>
      </c>
      <c r="B903" s="1" t="s">
        <v>63</v>
      </c>
      <c r="C903" s="8" t="s">
        <v>61</v>
      </c>
      <c r="D903" s="8" t="s">
        <v>66</v>
      </c>
      <c r="E903" s="8" t="s">
        <v>70</v>
      </c>
      <c r="F903" s="8">
        <v>1</v>
      </c>
      <c r="G903" s="2">
        <v>10400</v>
      </c>
      <c r="H903" s="1">
        <v>0</v>
      </c>
      <c r="I903" s="8" t="s">
        <v>8</v>
      </c>
      <c r="J903" s="1">
        <v>18</v>
      </c>
      <c r="K903" s="1" t="s">
        <v>13</v>
      </c>
      <c r="L903" s="1" t="s">
        <v>45</v>
      </c>
      <c r="M903" s="1" t="s">
        <v>26</v>
      </c>
      <c r="N903" s="10">
        <v>42176</v>
      </c>
      <c r="O903" s="3">
        <v>188.97800000000001</v>
      </c>
      <c r="P903" s="15">
        <f>IF(Table1[[#This Row],[Amount Spent]]&gt;3500, 3500,Table1[[#This Row],[Amount Spent]])</f>
        <v>188.97800000000001</v>
      </c>
    </row>
    <row r="904" spans="1:16" x14ac:dyDescent="0.35">
      <c r="A904" s="9">
        <v>904</v>
      </c>
      <c r="B904" s="4" t="s">
        <v>64</v>
      </c>
      <c r="C904" s="9" t="s">
        <v>61</v>
      </c>
      <c r="D904" s="9" t="s">
        <v>58</v>
      </c>
      <c r="E904" s="9" t="s">
        <v>2</v>
      </c>
      <c r="F904" s="9">
        <v>0</v>
      </c>
      <c r="G904" s="5">
        <v>79200</v>
      </c>
      <c r="H904" s="4">
        <v>1</v>
      </c>
      <c r="I904" s="9" t="s">
        <v>69</v>
      </c>
      <c r="J904" s="4">
        <v>6</v>
      </c>
      <c r="K904" s="4" t="s">
        <v>12</v>
      </c>
      <c r="L904" s="4" t="s">
        <v>54</v>
      </c>
      <c r="M904" s="4" t="s">
        <v>21</v>
      </c>
      <c r="N904" s="10">
        <v>39915</v>
      </c>
      <c r="O904" s="6">
        <v>1904.52</v>
      </c>
      <c r="P904" s="15">
        <f>IF(Table1[[#This Row],[Amount Spent]]&gt;3500, 3500,Table1[[#This Row],[Amount Spent]])</f>
        <v>1904.52</v>
      </c>
    </row>
    <row r="905" spans="1:16" x14ac:dyDescent="0.35">
      <c r="A905" s="8">
        <v>905</v>
      </c>
      <c r="B905" s="1" t="s">
        <v>63</v>
      </c>
      <c r="C905" s="8" t="s">
        <v>61</v>
      </c>
      <c r="D905" s="8" t="s">
        <v>66</v>
      </c>
      <c r="E905" s="8" t="s">
        <v>70</v>
      </c>
      <c r="F905" s="8">
        <v>1</v>
      </c>
      <c r="G905" s="2">
        <v>18000</v>
      </c>
      <c r="H905" s="1">
        <v>0</v>
      </c>
      <c r="I905" s="8" t="s">
        <v>67</v>
      </c>
      <c r="J905" s="1">
        <v>12</v>
      </c>
      <c r="K905" s="1" t="s">
        <v>14</v>
      </c>
      <c r="L905" s="1" t="s">
        <v>50</v>
      </c>
      <c r="M905" s="1" t="s">
        <v>35</v>
      </c>
      <c r="N905" s="10">
        <v>41899</v>
      </c>
      <c r="O905" s="3">
        <v>303.065</v>
      </c>
      <c r="P905" s="15">
        <f>IF(Table1[[#This Row],[Amount Spent]]&gt;3500, 3500,Table1[[#This Row],[Amount Spent]])</f>
        <v>303.065</v>
      </c>
    </row>
    <row r="906" spans="1:16" x14ac:dyDescent="0.35">
      <c r="A906" s="9">
        <v>906</v>
      </c>
      <c r="B906" s="4" t="s">
        <v>64</v>
      </c>
      <c r="C906" s="9" t="s">
        <v>62</v>
      </c>
      <c r="D906" s="9" t="s">
        <v>58</v>
      </c>
      <c r="E906" s="9" t="s">
        <v>70</v>
      </c>
      <c r="F906" s="9">
        <v>1</v>
      </c>
      <c r="G906" s="5">
        <v>43100</v>
      </c>
      <c r="H906" s="4">
        <v>0</v>
      </c>
      <c r="I906" s="9" t="s">
        <v>8</v>
      </c>
      <c r="J906" s="4">
        <v>24</v>
      </c>
      <c r="K906" s="4" t="s">
        <v>15</v>
      </c>
      <c r="L906" s="4" t="s">
        <v>52</v>
      </c>
      <c r="M906" s="4" t="s">
        <v>30</v>
      </c>
      <c r="N906" s="10">
        <v>42055</v>
      </c>
      <c r="O906" s="6">
        <v>1443.6089999999999</v>
      </c>
      <c r="P906" s="15">
        <f>IF(Table1[[#This Row],[Amount Spent]]&gt;3500, 3500,Table1[[#This Row],[Amount Spent]])</f>
        <v>1443.6089999999999</v>
      </c>
    </row>
    <row r="907" spans="1:16" x14ac:dyDescent="0.35">
      <c r="A907" s="8">
        <v>907</v>
      </c>
      <c r="B907" s="1" t="s">
        <v>63</v>
      </c>
      <c r="C907" s="8" t="s">
        <v>62</v>
      </c>
      <c r="D907" s="8" t="s">
        <v>58</v>
      </c>
      <c r="E907" s="8" t="s">
        <v>70</v>
      </c>
      <c r="F907" s="8">
        <v>1</v>
      </c>
      <c r="G907" s="2">
        <v>27800</v>
      </c>
      <c r="H907" s="1">
        <v>3</v>
      </c>
      <c r="I907" s="8" t="s">
        <v>8</v>
      </c>
      <c r="J907" s="1">
        <v>12</v>
      </c>
      <c r="K907" s="1" t="s">
        <v>12</v>
      </c>
      <c r="L907" s="1" t="s">
        <v>53</v>
      </c>
      <c r="M907" s="1" t="s">
        <v>19</v>
      </c>
      <c r="N907" s="10">
        <v>42226</v>
      </c>
      <c r="O907" s="3">
        <v>407.584</v>
      </c>
      <c r="P907" s="15">
        <f>IF(Table1[[#This Row],[Amount Spent]]&gt;3500, 3500,Table1[[#This Row],[Amount Spent]])</f>
        <v>407.584</v>
      </c>
    </row>
    <row r="908" spans="1:16" x14ac:dyDescent="0.35">
      <c r="A908" s="9">
        <v>908</v>
      </c>
      <c r="B908" s="4" t="s">
        <v>64</v>
      </c>
      <c r="C908" s="9" t="s">
        <v>61</v>
      </c>
      <c r="D908" s="9" t="s">
        <v>58</v>
      </c>
      <c r="E908" s="9" t="s">
        <v>2</v>
      </c>
      <c r="F908" s="9">
        <v>1</v>
      </c>
      <c r="G908" s="5">
        <v>97200</v>
      </c>
      <c r="H908" s="4">
        <v>0</v>
      </c>
      <c r="I908" s="9" t="s">
        <v>8</v>
      </c>
      <c r="J908" s="4">
        <v>12</v>
      </c>
      <c r="K908" s="4" t="s">
        <v>13</v>
      </c>
      <c r="L908" s="4" t="s">
        <v>42</v>
      </c>
      <c r="M908" s="4" t="s">
        <v>25</v>
      </c>
      <c r="N908" s="10">
        <v>42080</v>
      </c>
      <c r="O908" s="6">
        <v>1634.374</v>
      </c>
      <c r="P908" s="15">
        <f>IF(Table1[[#This Row],[Amount Spent]]&gt;3500, 3500,Table1[[#This Row],[Amount Spent]])</f>
        <v>1634.374</v>
      </c>
    </row>
    <row r="909" spans="1:16" x14ac:dyDescent="0.35">
      <c r="A909" s="8">
        <v>909</v>
      </c>
      <c r="B909" s="1" t="s">
        <v>64</v>
      </c>
      <c r="C909" s="8" t="s">
        <v>61</v>
      </c>
      <c r="D909" s="8" t="s">
        <v>66</v>
      </c>
      <c r="E909" s="8" t="s">
        <v>70</v>
      </c>
      <c r="F909" s="8">
        <v>1</v>
      </c>
      <c r="G909" s="2">
        <v>38600</v>
      </c>
      <c r="H909" s="1">
        <v>1</v>
      </c>
      <c r="I909" s="8" t="s">
        <v>67</v>
      </c>
      <c r="J909" s="1">
        <v>18</v>
      </c>
      <c r="K909" s="1" t="s">
        <v>12</v>
      </c>
      <c r="L909" s="1" t="s">
        <v>53</v>
      </c>
      <c r="M909" s="1" t="s">
        <v>19</v>
      </c>
      <c r="N909" s="10">
        <v>41961</v>
      </c>
      <c r="O909" s="3">
        <v>542.1</v>
      </c>
      <c r="P909" s="15">
        <f>IF(Table1[[#This Row],[Amount Spent]]&gt;3500, 3500,Table1[[#This Row],[Amount Spent]])</f>
        <v>542.1</v>
      </c>
    </row>
    <row r="910" spans="1:16" x14ac:dyDescent="0.35">
      <c r="A910" s="9">
        <v>910</v>
      </c>
      <c r="B910" s="4" t="s">
        <v>63</v>
      </c>
      <c r="C910" s="9" t="s">
        <v>61</v>
      </c>
      <c r="D910" s="9" t="s">
        <v>58</v>
      </c>
      <c r="E910" s="9" t="s">
        <v>2</v>
      </c>
      <c r="F910" s="9">
        <v>1</v>
      </c>
      <c r="G910" s="5">
        <v>55100</v>
      </c>
      <c r="H910" s="4">
        <v>0</v>
      </c>
      <c r="I910" s="9" t="s">
        <v>68</v>
      </c>
      <c r="J910" s="4">
        <v>18</v>
      </c>
      <c r="K910" s="4" t="s">
        <v>13</v>
      </c>
      <c r="L910" s="4" t="s">
        <v>43</v>
      </c>
      <c r="M910" s="4" t="s">
        <v>23</v>
      </c>
      <c r="N910" s="10">
        <v>41515</v>
      </c>
      <c r="O910" s="6">
        <v>1438.5229999999999</v>
      </c>
      <c r="P910" s="15">
        <f>IF(Table1[[#This Row],[Amount Spent]]&gt;3500, 3500,Table1[[#This Row],[Amount Spent]])</f>
        <v>1438.5229999999999</v>
      </c>
    </row>
    <row r="911" spans="1:16" x14ac:dyDescent="0.35">
      <c r="A911" s="8">
        <v>911</v>
      </c>
      <c r="B911" s="1" t="s">
        <v>65</v>
      </c>
      <c r="C911" s="8" t="s">
        <v>62</v>
      </c>
      <c r="D911" s="8" t="s">
        <v>58</v>
      </c>
      <c r="E911" s="8" t="s">
        <v>2</v>
      </c>
      <c r="F911" s="8">
        <v>1</v>
      </c>
      <c r="G911" s="2">
        <v>62800</v>
      </c>
      <c r="H911" s="1">
        <v>0</v>
      </c>
      <c r="I911" s="8" t="s">
        <v>69</v>
      </c>
      <c r="J911" s="1">
        <v>18</v>
      </c>
      <c r="K911" s="1" t="s">
        <v>15</v>
      </c>
      <c r="L911" s="1" t="s">
        <v>44</v>
      </c>
      <c r="M911" s="1" t="s">
        <v>29</v>
      </c>
      <c r="N911" s="10">
        <v>41640</v>
      </c>
      <c r="O911" s="3">
        <v>1403.374</v>
      </c>
      <c r="P911" s="15">
        <f>IF(Table1[[#This Row],[Amount Spent]]&gt;3500, 3500,Table1[[#This Row],[Amount Spent]])</f>
        <v>1403.374</v>
      </c>
    </row>
    <row r="912" spans="1:16" x14ac:dyDescent="0.35">
      <c r="A912" s="9">
        <v>912</v>
      </c>
      <c r="B912" s="4" t="s">
        <v>63</v>
      </c>
      <c r="C912" s="9" t="s">
        <v>62</v>
      </c>
      <c r="D912" s="9" t="s">
        <v>66</v>
      </c>
      <c r="E912" s="9" t="s">
        <v>70</v>
      </c>
      <c r="F912" s="9">
        <v>1</v>
      </c>
      <c r="G912" s="5">
        <v>29200</v>
      </c>
      <c r="H912" s="4">
        <v>3</v>
      </c>
      <c r="I912" s="9" t="s">
        <v>8</v>
      </c>
      <c r="J912" s="4">
        <v>6</v>
      </c>
      <c r="K912" s="4" t="s">
        <v>14</v>
      </c>
      <c r="L912" s="4" t="s">
        <v>50</v>
      </c>
      <c r="M912" s="4" t="s">
        <v>35</v>
      </c>
      <c r="N912" s="10">
        <v>42102</v>
      </c>
      <c r="O912" s="6">
        <v>636.28399999999999</v>
      </c>
      <c r="P912" s="15">
        <f>IF(Table1[[#This Row],[Amount Spent]]&gt;3500, 3500,Table1[[#This Row],[Amount Spent]])</f>
        <v>636.28399999999999</v>
      </c>
    </row>
    <row r="913" spans="1:16" x14ac:dyDescent="0.35">
      <c r="A913" s="8">
        <v>913</v>
      </c>
      <c r="B913" s="1" t="s">
        <v>63</v>
      </c>
      <c r="C913" s="8" t="s">
        <v>61</v>
      </c>
      <c r="D913" s="8" t="s">
        <v>66</v>
      </c>
      <c r="E913" s="8" t="s">
        <v>70</v>
      </c>
      <c r="F913" s="8">
        <v>1</v>
      </c>
      <c r="G913" s="2">
        <v>10200</v>
      </c>
      <c r="H913" s="1">
        <v>2</v>
      </c>
      <c r="I913" s="8" t="s">
        <v>8</v>
      </c>
      <c r="J913" s="1">
        <v>12</v>
      </c>
      <c r="K913" s="1" t="s">
        <v>13</v>
      </c>
      <c r="L913" s="1" t="s">
        <v>43</v>
      </c>
      <c r="M913" s="1" t="s">
        <v>23</v>
      </c>
      <c r="N913" s="10">
        <v>42208</v>
      </c>
      <c r="O913" s="3">
        <v>333.14299999999997</v>
      </c>
      <c r="P913" s="15">
        <f>IF(Table1[[#This Row],[Amount Spent]]&gt;3500, 3500,Table1[[#This Row],[Amount Spent]])</f>
        <v>333.14299999999997</v>
      </c>
    </row>
    <row r="914" spans="1:16" x14ac:dyDescent="0.35">
      <c r="A914" s="9">
        <v>914</v>
      </c>
      <c r="B914" s="4" t="s">
        <v>63</v>
      </c>
      <c r="C914" s="9" t="s">
        <v>62</v>
      </c>
      <c r="D914" s="9" t="s">
        <v>66</v>
      </c>
      <c r="E914" s="9" t="s">
        <v>70</v>
      </c>
      <c r="F914" s="9">
        <v>0</v>
      </c>
      <c r="G914" s="5">
        <v>14300</v>
      </c>
      <c r="H914" s="4">
        <v>2</v>
      </c>
      <c r="I914" s="9" t="s">
        <v>67</v>
      </c>
      <c r="J914" s="4">
        <v>6</v>
      </c>
      <c r="K914" s="4" t="s">
        <v>12</v>
      </c>
      <c r="L914" s="4" t="s">
        <v>54</v>
      </c>
      <c r="M914" s="4" t="s">
        <v>21</v>
      </c>
      <c r="N914" s="10">
        <v>41331</v>
      </c>
      <c r="O914" s="6">
        <v>193.82599999999999</v>
      </c>
      <c r="P914" s="15">
        <f>IF(Table1[[#This Row],[Amount Spent]]&gt;3500, 3500,Table1[[#This Row],[Amount Spent]])</f>
        <v>193.82599999999999</v>
      </c>
    </row>
    <row r="915" spans="1:16" x14ac:dyDescent="0.35">
      <c r="A915" s="8">
        <v>915</v>
      </c>
      <c r="B915" s="1" t="s">
        <v>64</v>
      </c>
      <c r="C915" s="8" t="s">
        <v>61</v>
      </c>
      <c r="D915" s="8" t="s">
        <v>66</v>
      </c>
      <c r="E915" s="8" t="s">
        <v>70</v>
      </c>
      <c r="F915" s="8">
        <v>1</v>
      </c>
      <c r="G915" s="2">
        <v>70000</v>
      </c>
      <c r="H915" s="1">
        <v>0</v>
      </c>
      <c r="I915" s="8" t="s">
        <v>69</v>
      </c>
      <c r="J915" s="1">
        <v>6</v>
      </c>
      <c r="K915" s="1" t="s">
        <v>13</v>
      </c>
      <c r="L915" s="1" t="s">
        <v>56</v>
      </c>
      <c r="M915" s="1" t="s">
        <v>24</v>
      </c>
      <c r="N915" s="10">
        <v>40340</v>
      </c>
      <c r="O915" s="3">
        <v>784.70100000000002</v>
      </c>
      <c r="P915" s="15">
        <f>IF(Table1[[#This Row],[Amount Spent]]&gt;3500, 3500,Table1[[#This Row],[Amount Spent]])</f>
        <v>784.70100000000002</v>
      </c>
    </row>
    <row r="916" spans="1:16" x14ac:dyDescent="0.35">
      <c r="A916" s="9">
        <v>916</v>
      </c>
      <c r="B916" s="4" t="s">
        <v>64</v>
      </c>
      <c r="C916" s="9" t="s">
        <v>62</v>
      </c>
      <c r="D916" s="9" t="s">
        <v>66</v>
      </c>
      <c r="E916" s="9" t="s">
        <v>2</v>
      </c>
      <c r="F916" s="9">
        <v>1</v>
      </c>
      <c r="G916" s="5">
        <v>79900</v>
      </c>
      <c r="H916" s="4">
        <v>1</v>
      </c>
      <c r="I916" s="9" t="s">
        <v>68</v>
      </c>
      <c r="J916" s="4">
        <v>18</v>
      </c>
      <c r="K916" s="4" t="s">
        <v>15</v>
      </c>
      <c r="L916" s="4" t="s">
        <v>42</v>
      </c>
      <c r="M916" s="4" t="s">
        <v>32</v>
      </c>
      <c r="N916" s="10">
        <v>41055</v>
      </c>
      <c r="O916" s="6">
        <v>1165.0630000000001</v>
      </c>
      <c r="P916" s="15">
        <f>IF(Table1[[#This Row],[Amount Spent]]&gt;3500, 3500,Table1[[#This Row],[Amount Spent]])</f>
        <v>1165.0630000000001</v>
      </c>
    </row>
    <row r="917" spans="1:16" x14ac:dyDescent="0.35">
      <c r="A917" s="8">
        <v>917</v>
      </c>
      <c r="B917" s="1" t="s">
        <v>63</v>
      </c>
      <c r="C917" s="8" t="s">
        <v>62</v>
      </c>
      <c r="D917" s="8" t="s">
        <v>66</v>
      </c>
      <c r="E917" s="8" t="s">
        <v>70</v>
      </c>
      <c r="F917" s="8">
        <v>1</v>
      </c>
      <c r="G917" s="2">
        <v>12500</v>
      </c>
      <c r="H917" s="1">
        <v>1</v>
      </c>
      <c r="I917" s="8" t="s">
        <v>67</v>
      </c>
      <c r="J917" s="1">
        <v>6</v>
      </c>
      <c r="K917" s="1" t="s">
        <v>14</v>
      </c>
      <c r="L917" s="1" t="s">
        <v>50</v>
      </c>
      <c r="M917" s="1" t="s">
        <v>34</v>
      </c>
      <c r="N917" s="10">
        <v>40636</v>
      </c>
      <c r="O917" s="3">
        <v>201.82900000000001</v>
      </c>
      <c r="P917" s="15">
        <f>IF(Table1[[#This Row],[Amount Spent]]&gt;3500, 3500,Table1[[#This Row],[Amount Spent]])</f>
        <v>201.82900000000001</v>
      </c>
    </row>
    <row r="918" spans="1:16" x14ac:dyDescent="0.35">
      <c r="A918" s="9">
        <v>918</v>
      </c>
      <c r="B918" s="4" t="s">
        <v>64</v>
      </c>
      <c r="C918" s="9" t="s">
        <v>62</v>
      </c>
      <c r="D918" s="9" t="s">
        <v>66</v>
      </c>
      <c r="E918" s="9" t="s">
        <v>2</v>
      </c>
      <c r="F918" s="9">
        <v>1</v>
      </c>
      <c r="G918" s="5">
        <v>84200</v>
      </c>
      <c r="H918" s="4">
        <v>2</v>
      </c>
      <c r="I918" s="9" t="s">
        <v>68</v>
      </c>
      <c r="J918" s="4">
        <v>24</v>
      </c>
      <c r="K918" s="4" t="s">
        <v>15</v>
      </c>
      <c r="L918" s="4" t="s">
        <v>52</v>
      </c>
      <c r="M918" s="4" t="s">
        <v>31</v>
      </c>
      <c r="N918" s="10">
        <v>41796</v>
      </c>
      <c r="O918" s="6">
        <v>953.85299999999995</v>
      </c>
      <c r="P918" s="15">
        <f>IF(Table1[[#This Row],[Amount Spent]]&gt;3500, 3500,Table1[[#This Row],[Amount Spent]])</f>
        <v>953.85299999999995</v>
      </c>
    </row>
    <row r="919" spans="1:16" x14ac:dyDescent="0.35">
      <c r="A919" s="8">
        <v>919</v>
      </c>
      <c r="B919" s="1" t="s">
        <v>65</v>
      </c>
      <c r="C919" s="8" t="s">
        <v>62</v>
      </c>
      <c r="D919" s="8" t="s">
        <v>66</v>
      </c>
      <c r="E919" s="8" t="s">
        <v>70</v>
      </c>
      <c r="F919" s="8">
        <v>1</v>
      </c>
      <c r="G919" s="2">
        <v>14600</v>
      </c>
      <c r="H919" s="1">
        <v>1</v>
      </c>
      <c r="I919" s="8" t="s">
        <v>67</v>
      </c>
      <c r="J919" s="1">
        <v>24</v>
      </c>
      <c r="K919" s="1" t="s">
        <v>12</v>
      </c>
      <c r="L919" s="1" t="s">
        <v>47</v>
      </c>
      <c r="M919" s="1" t="s">
        <v>16</v>
      </c>
      <c r="N919" s="10">
        <v>42190</v>
      </c>
      <c r="O919" s="3">
        <v>384.94600000000003</v>
      </c>
      <c r="P919" s="15">
        <f>IF(Table1[[#This Row],[Amount Spent]]&gt;3500, 3500,Table1[[#This Row],[Amount Spent]])</f>
        <v>384.94600000000003</v>
      </c>
    </row>
    <row r="920" spans="1:16" x14ac:dyDescent="0.35">
      <c r="A920" s="9">
        <v>920</v>
      </c>
      <c r="B920" s="4" t="s">
        <v>63</v>
      </c>
      <c r="C920" s="9" t="s">
        <v>62</v>
      </c>
      <c r="D920" s="9" t="s">
        <v>66</v>
      </c>
      <c r="E920" s="9" t="s">
        <v>2</v>
      </c>
      <c r="F920" s="9">
        <v>1</v>
      </c>
      <c r="G920" s="5">
        <v>13800</v>
      </c>
      <c r="H920" s="4">
        <v>0</v>
      </c>
      <c r="I920" s="9" t="s">
        <v>67</v>
      </c>
      <c r="J920" s="4">
        <v>18</v>
      </c>
      <c r="K920" s="4" t="s">
        <v>14</v>
      </c>
      <c r="L920" s="4" t="s">
        <v>50</v>
      </c>
      <c r="M920" s="4" t="s">
        <v>35</v>
      </c>
      <c r="N920" s="10">
        <v>41640</v>
      </c>
      <c r="O920" s="6">
        <v>363.46800000000002</v>
      </c>
      <c r="P920" s="15">
        <f>IF(Table1[[#This Row],[Amount Spent]]&gt;3500, 3500,Table1[[#This Row],[Amount Spent]])</f>
        <v>363.46800000000002</v>
      </c>
    </row>
    <row r="921" spans="1:16" x14ac:dyDescent="0.35">
      <c r="A921" s="8">
        <v>921</v>
      </c>
      <c r="B921" s="1" t="s">
        <v>64</v>
      </c>
      <c r="C921" s="8" t="s">
        <v>61</v>
      </c>
      <c r="D921" s="8" t="s">
        <v>66</v>
      </c>
      <c r="E921" s="8" t="s">
        <v>2</v>
      </c>
      <c r="F921" s="8">
        <v>0</v>
      </c>
      <c r="G921" s="2">
        <v>72200</v>
      </c>
      <c r="H921" s="1">
        <v>1</v>
      </c>
      <c r="I921" s="8" t="s">
        <v>69</v>
      </c>
      <c r="J921" s="1">
        <v>12</v>
      </c>
      <c r="K921" s="1" t="s">
        <v>13</v>
      </c>
      <c r="L921" s="1" t="s">
        <v>48</v>
      </c>
      <c r="M921" s="1" t="s">
        <v>27</v>
      </c>
      <c r="N921" s="10">
        <v>41925</v>
      </c>
      <c r="O921" s="3">
        <v>2081.7939999999999</v>
      </c>
      <c r="P921" s="15">
        <f>IF(Table1[[#This Row],[Amount Spent]]&gt;3500, 3500,Table1[[#This Row],[Amount Spent]])</f>
        <v>2081.7939999999999</v>
      </c>
    </row>
    <row r="922" spans="1:16" x14ac:dyDescent="0.35">
      <c r="A922" s="9">
        <v>922</v>
      </c>
      <c r="B922" s="4" t="s">
        <v>64</v>
      </c>
      <c r="C922" s="9" t="s">
        <v>61</v>
      </c>
      <c r="D922" s="9" t="s">
        <v>66</v>
      </c>
      <c r="E922" s="9" t="s">
        <v>70</v>
      </c>
      <c r="F922" s="9">
        <v>1</v>
      </c>
      <c r="G922" s="5">
        <v>49100</v>
      </c>
      <c r="H922" s="4">
        <v>0</v>
      </c>
      <c r="I922" s="9" t="s">
        <v>8</v>
      </c>
      <c r="J922" s="4">
        <v>6</v>
      </c>
      <c r="K922" s="4" t="s">
        <v>15</v>
      </c>
      <c r="L922" s="4" t="s">
        <v>28</v>
      </c>
      <c r="M922" s="4" t="s">
        <v>33</v>
      </c>
      <c r="N922" s="10">
        <v>42185</v>
      </c>
      <c r="O922" s="6">
        <v>934.38599999999997</v>
      </c>
      <c r="P922" s="15">
        <f>IF(Table1[[#This Row],[Amount Spent]]&gt;3500, 3500,Table1[[#This Row],[Amount Spent]])</f>
        <v>934.38599999999997</v>
      </c>
    </row>
    <row r="923" spans="1:16" x14ac:dyDescent="0.35">
      <c r="A923" s="8">
        <v>923</v>
      </c>
      <c r="B923" s="1" t="s">
        <v>64</v>
      </c>
      <c r="C923" s="8" t="s">
        <v>62</v>
      </c>
      <c r="D923" s="8" t="s">
        <v>58</v>
      </c>
      <c r="E923" s="8" t="s">
        <v>70</v>
      </c>
      <c r="F923" s="8">
        <v>1</v>
      </c>
      <c r="G923" s="2">
        <v>53300</v>
      </c>
      <c r="H923" s="1">
        <v>3</v>
      </c>
      <c r="I923" s="8" t="s">
        <v>8</v>
      </c>
      <c r="J923" s="1">
        <v>6</v>
      </c>
      <c r="K923" s="1" t="s">
        <v>15</v>
      </c>
      <c r="L923" s="1" t="s">
        <v>52</v>
      </c>
      <c r="M923" s="1" t="s">
        <v>30</v>
      </c>
      <c r="N923" s="10">
        <v>42187</v>
      </c>
      <c r="O923" s="3">
        <v>507.69</v>
      </c>
      <c r="P923" s="15">
        <f>IF(Table1[[#This Row],[Amount Spent]]&gt;3500, 3500,Table1[[#This Row],[Amount Spent]])</f>
        <v>507.69</v>
      </c>
    </row>
    <row r="924" spans="1:16" x14ac:dyDescent="0.35">
      <c r="A924" s="9">
        <v>924</v>
      </c>
      <c r="B924" s="4" t="s">
        <v>64</v>
      </c>
      <c r="C924" s="9" t="s">
        <v>61</v>
      </c>
      <c r="D924" s="9" t="s">
        <v>58</v>
      </c>
      <c r="E924" s="9" t="s">
        <v>2</v>
      </c>
      <c r="F924" s="9">
        <v>1</v>
      </c>
      <c r="G924" s="5">
        <v>118600</v>
      </c>
      <c r="H924" s="4">
        <v>1</v>
      </c>
      <c r="I924" s="9" t="s">
        <v>8</v>
      </c>
      <c r="J924" s="4">
        <v>12</v>
      </c>
      <c r="K924" s="4" t="s">
        <v>12</v>
      </c>
      <c r="L924" s="4" t="s">
        <v>41</v>
      </c>
      <c r="M924" s="4" t="s">
        <v>20</v>
      </c>
      <c r="N924" s="10">
        <v>42042</v>
      </c>
      <c r="O924" s="6">
        <v>1553.3710000000001</v>
      </c>
      <c r="P924" s="15">
        <f>IF(Table1[[#This Row],[Amount Spent]]&gt;3500, 3500,Table1[[#This Row],[Amount Spent]])</f>
        <v>1553.3710000000001</v>
      </c>
    </row>
    <row r="925" spans="1:16" x14ac:dyDescent="0.35">
      <c r="A925" s="8">
        <v>925</v>
      </c>
      <c r="B925" s="1" t="s">
        <v>63</v>
      </c>
      <c r="C925" s="8" t="s">
        <v>61</v>
      </c>
      <c r="D925" s="8" t="s">
        <v>66</v>
      </c>
      <c r="E925" s="8" t="s">
        <v>2</v>
      </c>
      <c r="F925" s="8">
        <v>1</v>
      </c>
      <c r="G925" s="2">
        <v>56900</v>
      </c>
      <c r="H925" s="1">
        <v>2</v>
      </c>
      <c r="I925" s="8" t="s">
        <v>67</v>
      </c>
      <c r="J925" s="1">
        <v>12</v>
      </c>
      <c r="K925" s="1" t="s">
        <v>13</v>
      </c>
      <c r="L925" s="1" t="s">
        <v>45</v>
      </c>
      <c r="M925" s="1" t="s">
        <v>26</v>
      </c>
      <c r="N925" s="10">
        <v>41523</v>
      </c>
      <c r="O925" s="3">
        <v>687.09400000000005</v>
      </c>
      <c r="P925" s="15">
        <f>IF(Table1[[#This Row],[Amount Spent]]&gt;3500, 3500,Table1[[#This Row],[Amount Spent]])</f>
        <v>687.09400000000005</v>
      </c>
    </row>
    <row r="926" spans="1:16" x14ac:dyDescent="0.35">
      <c r="A926" s="9">
        <v>926</v>
      </c>
      <c r="B926" s="4" t="s">
        <v>64</v>
      </c>
      <c r="C926" s="9" t="s">
        <v>61</v>
      </c>
      <c r="D926" s="9" t="s">
        <v>58</v>
      </c>
      <c r="E926" s="9" t="s">
        <v>2</v>
      </c>
      <c r="F926" s="9">
        <v>1</v>
      </c>
      <c r="G926" s="5">
        <v>109200</v>
      </c>
      <c r="H926" s="4">
        <v>3</v>
      </c>
      <c r="I926" s="9" t="s">
        <v>67</v>
      </c>
      <c r="J926" s="4">
        <v>24</v>
      </c>
      <c r="K926" s="4" t="s">
        <v>14</v>
      </c>
      <c r="L926" s="4" t="s">
        <v>50</v>
      </c>
      <c r="M926" s="4" t="s">
        <v>34</v>
      </c>
      <c r="N926" s="10">
        <v>42140</v>
      </c>
      <c r="O926" s="6">
        <v>1102.0840000000001</v>
      </c>
      <c r="P926" s="15">
        <f>IF(Table1[[#This Row],[Amount Spent]]&gt;3500, 3500,Table1[[#This Row],[Amount Spent]])</f>
        <v>1102.0840000000001</v>
      </c>
    </row>
    <row r="927" spans="1:16" x14ac:dyDescent="0.35">
      <c r="A927" s="8">
        <v>927</v>
      </c>
      <c r="B927" s="1" t="s">
        <v>63</v>
      </c>
      <c r="C927" s="8" t="s">
        <v>62</v>
      </c>
      <c r="D927" s="8" t="s">
        <v>66</v>
      </c>
      <c r="E927" s="8" t="s">
        <v>70</v>
      </c>
      <c r="F927" s="8">
        <v>1</v>
      </c>
      <c r="G927" s="2">
        <v>23200</v>
      </c>
      <c r="H927" s="1">
        <v>3</v>
      </c>
      <c r="I927" s="8" t="s">
        <v>8</v>
      </c>
      <c r="J927" s="1">
        <v>24</v>
      </c>
      <c r="K927" s="1" t="s">
        <v>14</v>
      </c>
      <c r="L927" s="1" t="s">
        <v>40</v>
      </c>
      <c r="M927" s="1" t="s">
        <v>36</v>
      </c>
      <c r="N927" s="10">
        <v>42191</v>
      </c>
      <c r="O927" s="3">
        <v>769.77300000000002</v>
      </c>
      <c r="P927" s="15">
        <f>IF(Table1[[#This Row],[Amount Spent]]&gt;3500, 3500,Table1[[#This Row],[Amount Spent]])</f>
        <v>769.77300000000002</v>
      </c>
    </row>
    <row r="928" spans="1:16" x14ac:dyDescent="0.35">
      <c r="A928" s="9">
        <v>928</v>
      </c>
      <c r="B928" s="4" t="s">
        <v>64</v>
      </c>
      <c r="C928" s="9" t="s">
        <v>62</v>
      </c>
      <c r="D928" s="9" t="s">
        <v>66</v>
      </c>
      <c r="E928" s="9" t="s">
        <v>2</v>
      </c>
      <c r="F928" s="9">
        <v>0</v>
      </c>
      <c r="G928" s="5">
        <v>61500</v>
      </c>
      <c r="H928" s="4">
        <v>3</v>
      </c>
      <c r="I928" s="9" t="s">
        <v>68</v>
      </c>
      <c r="J928" s="4">
        <v>24</v>
      </c>
      <c r="K928" s="4" t="s">
        <v>13</v>
      </c>
      <c r="L928" s="4" t="s">
        <v>48</v>
      </c>
      <c r="M928" s="4" t="s">
        <v>27</v>
      </c>
      <c r="N928" s="10">
        <v>41560</v>
      </c>
      <c r="O928" s="6">
        <v>1161.732</v>
      </c>
      <c r="P928" s="15">
        <f>IF(Table1[[#This Row],[Amount Spent]]&gt;3500, 3500,Table1[[#This Row],[Amount Spent]])</f>
        <v>1161.732</v>
      </c>
    </row>
    <row r="929" spans="1:16" x14ac:dyDescent="0.35">
      <c r="A929" s="8">
        <v>929</v>
      </c>
      <c r="B929" s="1" t="s">
        <v>63</v>
      </c>
      <c r="C929" s="8" t="s">
        <v>62</v>
      </c>
      <c r="D929" s="8" t="s">
        <v>66</v>
      </c>
      <c r="E929" s="8" t="s">
        <v>70</v>
      </c>
      <c r="F929" s="8">
        <v>0</v>
      </c>
      <c r="G929" s="2">
        <v>25600</v>
      </c>
      <c r="H929" s="1">
        <v>2</v>
      </c>
      <c r="I929" s="8" t="s">
        <v>8</v>
      </c>
      <c r="J929" s="1">
        <v>18</v>
      </c>
      <c r="K929" s="1" t="s">
        <v>13</v>
      </c>
      <c r="L929" s="1" t="s">
        <v>56</v>
      </c>
      <c r="M929" s="1" t="s">
        <v>24</v>
      </c>
      <c r="N929" s="10">
        <v>42022</v>
      </c>
      <c r="O929" s="3">
        <v>425.71800000000002</v>
      </c>
      <c r="P929" s="15">
        <f>IF(Table1[[#This Row],[Amount Spent]]&gt;3500, 3500,Table1[[#This Row],[Amount Spent]])</f>
        <v>425.71800000000002</v>
      </c>
    </row>
    <row r="930" spans="1:16" x14ac:dyDescent="0.35">
      <c r="A930" s="9">
        <v>930</v>
      </c>
      <c r="B930" s="4" t="s">
        <v>65</v>
      </c>
      <c r="C930" s="9" t="s">
        <v>62</v>
      </c>
      <c r="D930" s="9" t="s">
        <v>66</v>
      </c>
      <c r="E930" s="9" t="s">
        <v>70</v>
      </c>
      <c r="F930" s="9">
        <v>0</v>
      </c>
      <c r="G930" s="5">
        <v>15000</v>
      </c>
      <c r="H930" s="4">
        <v>0</v>
      </c>
      <c r="I930" s="9" t="s">
        <v>67</v>
      </c>
      <c r="J930" s="4">
        <v>12</v>
      </c>
      <c r="K930" s="4" t="s">
        <v>15</v>
      </c>
      <c r="L930" s="4" t="s">
        <v>28</v>
      </c>
      <c r="M930" s="4" t="s">
        <v>28</v>
      </c>
      <c r="N930" s="10">
        <v>41162</v>
      </c>
      <c r="O930" s="6">
        <v>377.952</v>
      </c>
      <c r="P930" s="15">
        <f>IF(Table1[[#This Row],[Amount Spent]]&gt;3500, 3500,Table1[[#This Row],[Amount Spent]])</f>
        <v>377.952</v>
      </c>
    </row>
    <row r="931" spans="1:16" x14ac:dyDescent="0.35">
      <c r="A931" s="8">
        <v>931</v>
      </c>
      <c r="B931" s="1" t="s">
        <v>65</v>
      </c>
      <c r="C931" s="8" t="s">
        <v>61</v>
      </c>
      <c r="D931" s="8" t="s">
        <v>58</v>
      </c>
      <c r="E931" s="8" t="s">
        <v>2</v>
      </c>
      <c r="F931" s="8">
        <v>1</v>
      </c>
      <c r="G931" s="2">
        <v>168800</v>
      </c>
      <c r="H931" s="1">
        <v>0</v>
      </c>
      <c r="I931" s="8" t="s">
        <v>69</v>
      </c>
      <c r="J931" s="1">
        <v>6</v>
      </c>
      <c r="K931" s="1" t="s">
        <v>15</v>
      </c>
      <c r="L931" s="1" t="s">
        <v>52</v>
      </c>
      <c r="M931" s="1" t="s">
        <v>30</v>
      </c>
      <c r="N931" s="10">
        <v>40831</v>
      </c>
      <c r="O931" s="3">
        <v>1511.751</v>
      </c>
      <c r="P931" s="15">
        <f>IF(Table1[[#This Row],[Amount Spent]]&gt;3500, 3500,Table1[[#This Row],[Amount Spent]])</f>
        <v>1511.751</v>
      </c>
    </row>
    <row r="932" spans="1:16" x14ac:dyDescent="0.35">
      <c r="A932" s="9">
        <v>932</v>
      </c>
      <c r="B932" s="4" t="s">
        <v>65</v>
      </c>
      <c r="C932" s="9" t="s">
        <v>61</v>
      </c>
      <c r="D932" s="9" t="s">
        <v>66</v>
      </c>
      <c r="E932" s="9" t="s">
        <v>2</v>
      </c>
      <c r="F932" s="9">
        <v>1</v>
      </c>
      <c r="G932" s="5">
        <v>49600</v>
      </c>
      <c r="H932" s="4">
        <v>0</v>
      </c>
      <c r="I932" s="9" t="s">
        <v>68</v>
      </c>
      <c r="J932" s="4">
        <v>6</v>
      </c>
      <c r="K932" s="4" t="s">
        <v>14</v>
      </c>
      <c r="L932" s="4" t="s">
        <v>50</v>
      </c>
      <c r="M932" s="4" t="s">
        <v>35</v>
      </c>
      <c r="N932" s="10">
        <v>41589</v>
      </c>
      <c r="O932" s="6">
        <v>770.11400000000003</v>
      </c>
      <c r="P932" s="15">
        <f>IF(Table1[[#This Row],[Amount Spent]]&gt;3500, 3500,Table1[[#This Row],[Amount Spent]])</f>
        <v>770.11400000000003</v>
      </c>
    </row>
    <row r="933" spans="1:16" x14ac:dyDescent="0.35">
      <c r="A933" s="8">
        <v>933</v>
      </c>
      <c r="B933" s="1" t="s">
        <v>65</v>
      </c>
      <c r="C933" s="8" t="s">
        <v>62</v>
      </c>
      <c r="D933" s="8" t="s">
        <v>58</v>
      </c>
      <c r="E933" s="8" t="s">
        <v>70</v>
      </c>
      <c r="F933" s="8">
        <v>0</v>
      </c>
      <c r="G933" s="2">
        <v>40600</v>
      </c>
      <c r="H933" s="1">
        <v>2</v>
      </c>
      <c r="I933" s="8" t="s">
        <v>68</v>
      </c>
      <c r="J933" s="1">
        <v>6</v>
      </c>
      <c r="K933" s="1" t="s">
        <v>14</v>
      </c>
      <c r="L933" s="1" t="s">
        <v>51</v>
      </c>
      <c r="M933" s="1" t="s">
        <v>38</v>
      </c>
      <c r="N933" s="10">
        <v>41710</v>
      </c>
      <c r="O933" s="3">
        <v>690.24800000000005</v>
      </c>
      <c r="P933" s="15">
        <f>IF(Table1[[#This Row],[Amount Spent]]&gt;3500, 3500,Table1[[#This Row],[Amount Spent]])</f>
        <v>690.24800000000005</v>
      </c>
    </row>
    <row r="934" spans="1:16" x14ac:dyDescent="0.35">
      <c r="A934" s="9">
        <v>934</v>
      </c>
      <c r="B934" s="4" t="s">
        <v>64</v>
      </c>
      <c r="C934" s="9" t="s">
        <v>62</v>
      </c>
      <c r="D934" s="9" t="s">
        <v>58</v>
      </c>
      <c r="E934" s="9" t="s">
        <v>2</v>
      </c>
      <c r="F934" s="9">
        <v>1</v>
      </c>
      <c r="G934" s="5">
        <v>111900</v>
      </c>
      <c r="H934" s="4">
        <v>1</v>
      </c>
      <c r="I934" s="9" t="s">
        <v>8</v>
      </c>
      <c r="J934" s="4">
        <v>12</v>
      </c>
      <c r="K934" s="4" t="s">
        <v>14</v>
      </c>
      <c r="L934" s="4" t="s">
        <v>50</v>
      </c>
      <c r="M934" s="4" t="s">
        <v>35</v>
      </c>
      <c r="N934" s="10">
        <v>42111</v>
      </c>
      <c r="O934" s="6">
        <v>2340.1999999999998</v>
      </c>
      <c r="P934" s="15">
        <f>IF(Table1[[#This Row],[Amount Spent]]&gt;3500, 3500,Table1[[#This Row],[Amount Spent]])</f>
        <v>2340.1999999999998</v>
      </c>
    </row>
    <row r="935" spans="1:16" x14ac:dyDescent="0.35">
      <c r="A935" s="8">
        <v>935</v>
      </c>
      <c r="B935" s="1" t="s">
        <v>63</v>
      </c>
      <c r="C935" s="8" t="s">
        <v>61</v>
      </c>
      <c r="D935" s="8" t="s">
        <v>66</v>
      </c>
      <c r="E935" s="8" t="s">
        <v>70</v>
      </c>
      <c r="F935" s="8">
        <v>0</v>
      </c>
      <c r="G935" s="2">
        <v>17500</v>
      </c>
      <c r="H935" s="1">
        <v>0</v>
      </c>
      <c r="I935" s="8" t="s">
        <v>67</v>
      </c>
      <c r="J935" s="1">
        <v>18</v>
      </c>
      <c r="K935" s="1" t="s">
        <v>13</v>
      </c>
      <c r="L935" s="1" t="s">
        <v>45</v>
      </c>
      <c r="M935" s="1" t="s">
        <v>26</v>
      </c>
      <c r="N935" s="10">
        <v>42197</v>
      </c>
      <c r="O935" s="3">
        <v>471.78500000000003</v>
      </c>
      <c r="P935" s="15">
        <f>IF(Table1[[#This Row],[Amount Spent]]&gt;3500, 3500,Table1[[#This Row],[Amount Spent]])</f>
        <v>471.78500000000003</v>
      </c>
    </row>
    <row r="936" spans="1:16" x14ac:dyDescent="0.35">
      <c r="A936" s="9">
        <v>936</v>
      </c>
      <c r="B936" s="4" t="s">
        <v>65</v>
      </c>
      <c r="C936" s="9" t="s">
        <v>62</v>
      </c>
      <c r="D936" s="9" t="s">
        <v>58</v>
      </c>
      <c r="E936" s="9" t="s">
        <v>70</v>
      </c>
      <c r="F936" s="9">
        <v>1</v>
      </c>
      <c r="G936" s="5">
        <v>64600</v>
      </c>
      <c r="H936" s="4">
        <v>0</v>
      </c>
      <c r="I936" s="9" t="s">
        <v>8</v>
      </c>
      <c r="J936" s="4">
        <v>6</v>
      </c>
      <c r="K936" s="4" t="s">
        <v>13</v>
      </c>
      <c r="L936" s="4" t="s">
        <v>48</v>
      </c>
      <c r="M936" s="4" t="s">
        <v>27</v>
      </c>
      <c r="N936" s="10">
        <v>42143</v>
      </c>
      <c r="O936" s="6">
        <v>1297.7739999999999</v>
      </c>
      <c r="P936" s="15">
        <f>IF(Table1[[#This Row],[Amount Spent]]&gt;3500, 3500,Table1[[#This Row],[Amount Spent]])</f>
        <v>1297.7739999999999</v>
      </c>
    </row>
    <row r="937" spans="1:16" x14ac:dyDescent="0.35">
      <c r="A937" s="8">
        <v>937</v>
      </c>
      <c r="B937" s="1" t="s">
        <v>65</v>
      </c>
      <c r="C937" s="8" t="s">
        <v>62</v>
      </c>
      <c r="D937" s="8" t="s">
        <v>58</v>
      </c>
      <c r="E937" s="8" t="s">
        <v>70</v>
      </c>
      <c r="F937" s="8">
        <v>1</v>
      </c>
      <c r="G937" s="2">
        <v>33000</v>
      </c>
      <c r="H937" s="1">
        <v>3</v>
      </c>
      <c r="I937" s="8" t="s">
        <v>8</v>
      </c>
      <c r="J937" s="1">
        <v>6</v>
      </c>
      <c r="K937" s="1" t="s">
        <v>12</v>
      </c>
      <c r="L937" s="1" t="s">
        <v>53</v>
      </c>
      <c r="M937" s="1" t="s">
        <v>19</v>
      </c>
      <c r="N937" s="10">
        <v>42025</v>
      </c>
      <c r="O937" s="3">
        <v>700.351</v>
      </c>
      <c r="P937" s="15">
        <f>IF(Table1[[#This Row],[Amount Spent]]&gt;3500, 3500,Table1[[#This Row],[Amount Spent]])</f>
        <v>700.351</v>
      </c>
    </row>
    <row r="938" spans="1:16" x14ac:dyDescent="0.35">
      <c r="A938" s="9">
        <v>938</v>
      </c>
      <c r="B938" s="4" t="s">
        <v>65</v>
      </c>
      <c r="C938" s="9" t="s">
        <v>62</v>
      </c>
      <c r="D938" s="9" t="s">
        <v>58</v>
      </c>
      <c r="E938" s="9" t="s">
        <v>70</v>
      </c>
      <c r="F938" s="9">
        <v>1</v>
      </c>
      <c r="G938" s="5">
        <v>22800</v>
      </c>
      <c r="H938" s="4">
        <v>0</v>
      </c>
      <c r="I938" s="9" t="s">
        <v>67</v>
      </c>
      <c r="J938" s="4">
        <v>6</v>
      </c>
      <c r="K938" s="4" t="s">
        <v>15</v>
      </c>
      <c r="L938" s="4" t="s">
        <v>28</v>
      </c>
      <c r="M938" s="4" t="s">
        <v>28</v>
      </c>
      <c r="N938" s="10">
        <v>41933</v>
      </c>
      <c r="O938" s="6">
        <v>257.67</v>
      </c>
      <c r="P938" s="15">
        <f>IF(Table1[[#This Row],[Amount Spent]]&gt;3500, 3500,Table1[[#This Row],[Amount Spent]])</f>
        <v>257.67</v>
      </c>
    </row>
    <row r="939" spans="1:16" x14ac:dyDescent="0.35">
      <c r="A939" s="8">
        <v>939</v>
      </c>
      <c r="B939" s="1" t="s">
        <v>65</v>
      </c>
      <c r="C939" s="8" t="s">
        <v>61</v>
      </c>
      <c r="D939" s="8" t="s">
        <v>66</v>
      </c>
      <c r="E939" s="8" t="s">
        <v>2</v>
      </c>
      <c r="F939" s="8">
        <v>0</v>
      </c>
      <c r="G939" s="2">
        <v>23800</v>
      </c>
      <c r="H939" s="1">
        <v>0</v>
      </c>
      <c r="I939" s="8" t="s">
        <v>8</v>
      </c>
      <c r="J939" s="1">
        <v>12</v>
      </c>
      <c r="K939" s="1" t="s">
        <v>15</v>
      </c>
      <c r="L939" s="1" t="s">
        <v>44</v>
      </c>
      <c r="M939" s="1" t="s">
        <v>29</v>
      </c>
      <c r="N939" s="10">
        <v>42115</v>
      </c>
      <c r="O939" s="3">
        <v>428.25099999999998</v>
      </c>
      <c r="P939" s="15">
        <f>IF(Table1[[#This Row],[Amount Spent]]&gt;3500, 3500,Table1[[#This Row],[Amount Spent]])</f>
        <v>428.25099999999998</v>
      </c>
    </row>
    <row r="940" spans="1:16" x14ac:dyDescent="0.35">
      <c r="A940" s="9">
        <v>940</v>
      </c>
      <c r="B940" s="4" t="s">
        <v>64</v>
      </c>
      <c r="C940" s="9" t="s">
        <v>61</v>
      </c>
      <c r="D940" s="9" t="s">
        <v>58</v>
      </c>
      <c r="E940" s="9" t="s">
        <v>2</v>
      </c>
      <c r="F940" s="9">
        <v>0</v>
      </c>
      <c r="G940" s="5">
        <v>140000</v>
      </c>
      <c r="H940" s="4">
        <v>0</v>
      </c>
      <c r="I940" s="9" t="s">
        <v>69</v>
      </c>
      <c r="J940" s="4">
        <v>12</v>
      </c>
      <c r="K940" s="4" t="s">
        <v>12</v>
      </c>
      <c r="L940" s="4" t="s">
        <v>55</v>
      </c>
      <c r="M940" s="4" t="s">
        <v>17</v>
      </c>
      <c r="N940" s="10">
        <v>39870</v>
      </c>
      <c r="O940" s="6">
        <v>4894.2839999999997</v>
      </c>
      <c r="P940" s="15">
        <f>IF(Table1[[#This Row],[Amount Spent]]&gt;3500, 3500,Table1[[#This Row],[Amount Spent]])</f>
        <v>3500</v>
      </c>
    </row>
    <row r="941" spans="1:16" x14ac:dyDescent="0.35">
      <c r="A941" s="8">
        <v>941</v>
      </c>
      <c r="B941" s="1" t="s">
        <v>64</v>
      </c>
      <c r="C941" s="8" t="s">
        <v>62</v>
      </c>
      <c r="D941" s="8" t="s">
        <v>58</v>
      </c>
      <c r="E941" s="8" t="s">
        <v>2</v>
      </c>
      <c r="F941" s="8">
        <v>1</v>
      </c>
      <c r="G941" s="2">
        <v>96500</v>
      </c>
      <c r="H941" s="1">
        <v>1</v>
      </c>
      <c r="I941" s="8" t="s">
        <v>69</v>
      </c>
      <c r="J941" s="1">
        <v>18</v>
      </c>
      <c r="K941" s="1" t="s">
        <v>13</v>
      </c>
      <c r="L941" s="1" t="s">
        <v>48</v>
      </c>
      <c r="M941" s="1" t="s">
        <v>27</v>
      </c>
      <c r="N941" s="10">
        <v>41523</v>
      </c>
      <c r="O941" s="3">
        <v>1364.0719999999999</v>
      </c>
      <c r="P941" s="15">
        <f>IF(Table1[[#This Row],[Amount Spent]]&gt;3500, 3500,Table1[[#This Row],[Amount Spent]])</f>
        <v>1364.0719999999999</v>
      </c>
    </row>
    <row r="942" spans="1:16" x14ac:dyDescent="0.35">
      <c r="A942" s="9">
        <v>942</v>
      </c>
      <c r="B942" s="4" t="s">
        <v>63</v>
      </c>
      <c r="C942" s="9" t="s">
        <v>62</v>
      </c>
      <c r="D942" s="9" t="s">
        <v>66</v>
      </c>
      <c r="E942" s="9" t="s">
        <v>70</v>
      </c>
      <c r="F942" s="9">
        <v>1</v>
      </c>
      <c r="G942" s="5">
        <v>14200</v>
      </c>
      <c r="H942" s="4">
        <v>2</v>
      </c>
      <c r="I942" s="9" t="s">
        <v>67</v>
      </c>
      <c r="J942" s="4">
        <v>18</v>
      </c>
      <c r="K942" s="4" t="s">
        <v>15</v>
      </c>
      <c r="L942" s="4" t="s">
        <v>28</v>
      </c>
      <c r="M942" s="4" t="s">
        <v>33</v>
      </c>
      <c r="N942" s="10">
        <v>40941</v>
      </c>
      <c r="O942" s="6">
        <v>197.339</v>
      </c>
      <c r="P942" s="15">
        <f>IF(Table1[[#This Row],[Amount Spent]]&gt;3500, 3500,Table1[[#This Row],[Amount Spent]])</f>
        <v>197.339</v>
      </c>
    </row>
    <row r="943" spans="1:16" x14ac:dyDescent="0.35">
      <c r="A943" s="8">
        <v>943</v>
      </c>
      <c r="B943" s="1" t="s">
        <v>64</v>
      </c>
      <c r="C943" s="8" t="s">
        <v>61</v>
      </c>
      <c r="D943" s="8" t="s">
        <v>58</v>
      </c>
      <c r="E943" s="8" t="s">
        <v>2</v>
      </c>
      <c r="F943" s="8">
        <v>1</v>
      </c>
      <c r="G943" s="2">
        <v>98400</v>
      </c>
      <c r="H943" s="1">
        <v>0</v>
      </c>
      <c r="I943" s="8" t="s">
        <v>69</v>
      </c>
      <c r="J943" s="1">
        <v>18</v>
      </c>
      <c r="K943" s="1" t="s">
        <v>12</v>
      </c>
      <c r="L943" s="1" t="s">
        <v>54</v>
      </c>
      <c r="M943" s="1" t="s">
        <v>21</v>
      </c>
      <c r="N943" s="10">
        <v>41008</v>
      </c>
      <c r="O943" s="3">
        <v>3304.6030000000001</v>
      </c>
      <c r="P943" s="15">
        <f>IF(Table1[[#This Row],[Amount Spent]]&gt;3500, 3500,Table1[[#This Row],[Amount Spent]])</f>
        <v>3304.6030000000001</v>
      </c>
    </row>
    <row r="944" spans="1:16" x14ac:dyDescent="0.35">
      <c r="A944" s="9">
        <v>944</v>
      </c>
      <c r="B944" s="4" t="s">
        <v>64</v>
      </c>
      <c r="C944" s="9" t="s">
        <v>61</v>
      </c>
      <c r="D944" s="9" t="s">
        <v>58</v>
      </c>
      <c r="E944" s="9" t="s">
        <v>2</v>
      </c>
      <c r="F944" s="9">
        <v>1</v>
      </c>
      <c r="G944" s="5">
        <v>82400</v>
      </c>
      <c r="H944" s="4">
        <v>3</v>
      </c>
      <c r="I944" s="9" t="s">
        <v>8</v>
      </c>
      <c r="J944" s="4">
        <v>18</v>
      </c>
      <c r="K944" s="4" t="s">
        <v>15</v>
      </c>
      <c r="L944" s="4" t="s">
        <v>52</v>
      </c>
      <c r="M944" s="4" t="s">
        <v>31</v>
      </c>
      <c r="N944" s="10">
        <v>42013</v>
      </c>
      <c r="O944" s="6">
        <v>2122.4380000000001</v>
      </c>
      <c r="P944" s="15">
        <f>IF(Table1[[#This Row],[Amount Spent]]&gt;3500, 3500,Table1[[#This Row],[Amount Spent]])</f>
        <v>2122.4380000000001</v>
      </c>
    </row>
    <row r="945" spans="1:16" x14ac:dyDescent="0.35">
      <c r="A945" s="8">
        <v>945</v>
      </c>
      <c r="B945" s="1" t="s">
        <v>64</v>
      </c>
      <c r="C945" s="8" t="s">
        <v>61</v>
      </c>
      <c r="D945" s="8" t="s">
        <v>58</v>
      </c>
      <c r="E945" s="8" t="s">
        <v>2</v>
      </c>
      <c r="F945" s="8">
        <v>1</v>
      </c>
      <c r="G945" s="2">
        <v>76100</v>
      </c>
      <c r="H945" s="1">
        <v>0</v>
      </c>
      <c r="I945" s="8" t="s">
        <v>8</v>
      </c>
      <c r="J945" s="1">
        <v>6</v>
      </c>
      <c r="K945" s="1" t="s">
        <v>15</v>
      </c>
      <c r="L945" s="1" t="s">
        <v>28</v>
      </c>
      <c r="M945" s="1" t="s">
        <v>33</v>
      </c>
      <c r="N945" s="10">
        <v>42034</v>
      </c>
      <c r="O945" s="3">
        <v>719.34400000000005</v>
      </c>
      <c r="P945" s="15">
        <f>IF(Table1[[#This Row],[Amount Spent]]&gt;3500, 3500,Table1[[#This Row],[Amount Spent]])</f>
        <v>719.34400000000005</v>
      </c>
    </row>
    <row r="946" spans="1:16" x14ac:dyDescent="0.35">
      <c r="A946" s="9">
        <v>946</v>
      </c>
      <c r="B946" s="4" t="s">
        <v>64</v>
      </c>
      <c r="C946" s="9" t="s">
        <v>62</v>
      </c>
      <c r="D946" s="9" t="s">
        <v>66</v>
      </c>
      <c r="E946" s="9" t="s">
        <v>70</v>
      </c>
      <c r="F946" s="9">
        <v>1</v>
      </c>
      <c r="G946" s="5">
        <v>43000</v>
      </c>
      <c r="H946" s="4">
        <v>3</v>
      </c>
      <c r="I946" s="9" t="s">
        <v>67</v>
      </c>
      <c r="J946" s="4">
        <v>24</v>
      </c>
      <c r="K946" s="4" t="s">
        <v>14</v>
      </c>
      <c r="L946" s="4" t="s">
        <v>51</v>
      </c>
      <c r="M946" s="4" t="s">
        <v>38</v>
      </c>
      <c r="N946" s="10">
        <v>40172</v>
      </c>
      <c r="O946" s="6">
        <v>225.089</v>
      </c>
      <c r="P946" s="15">
        <f>IF(Table1[[#This Row],[Amount Spent]]&gt;3500, 3500,Table1[[#This Row],[Amount Spent]])</f>
        <v>225.089</v>
      </c>
    </row>
    <row r="947" spans="1:16" x14ac:dyDescent="0.35">
      <c r="A947" s="8">
        <v>947</v>
      </c>
      <c r="B947" s="1" t="s">
        <v>65</v>
      </c>
      <c r="C947" s="8" t="s">
        <v>62</v>
      </c>
      <c r="D947" s="8" t="s">
        <v>66</v>
      </c>
      <c r="E947" s="8" t="s">
        <v>2</v>
      </c>
      <c r="F947" s="8">
        <v>1</v>
      </c>
      <c r="G947" s="2">
        <v>71800</v>
      </c>
      <c r="H947" s="1">
        <v>0</v>
      </c>
      <c r="I947" s="8" t="s">
        <v>69</v>
      </c>
      <c r="J947" s="1">
        <v>24</v>
      </c>
      <c r="K947" s="1" t="s">
        <v>15</v>
      </c>
      <c r="L947" s="1" t="s">
        <v>44</v>
      </c>
      <c r="M947" s="1" t="s">
        <v>29</v>
      </c>
      <c r="N947" s="10">
        <v>40785</v>
      </c>
      <c r="O947" s="3">
        <v>1946.498</v>
      </c>
      <c r="P947" s="15">
        <f>IF(Table1[[#This Row],[Amount Spent]]&gt;3500, 3500,Table1[[#This Row],[Amount Spent]])</f>
        <v>1946.498</v>
      </c>
    </row>
    <row r="948" spans="1:16" x14ac:dyDescent="0.35">
      <c r="A948" s="9">
        <v>948</v>
      </c>
      <c r="B948" s="4" t="s">
        <v>64</v>
      </c>
      <c r="C948" s="9" t="s">
        <v>61</v>
      </c>
      <c r="D948" s="9" t="s">
        <v>58</v>
      </c>
      <c r="E948" s="9" t="s">
        <v>2</v>
      </c>
      <c r="F948" s="9">
        <v>1</v>
      </c>
      <c r="G948" s="5">
        <v>117900</v>
      </c>
      <c r="H948" s="4">
        <v>0</v>
      </c>
      <c r="I948" s="9" t="s">
        <v>69</v>
      </c>
      <c r="J948" s="4">
        <v>6</v>
      </c>
      <c r="K948" s="4" t="s">
        <v>13</v>
      </c>
      <c r="L948" s="4" t="s">
        <v>43</v>
      </c>
      <c r="M948" s="4" t="s">
        <v>23</v>
      </c>
      <c r="N948" s="10">
        <v>41256</v>
      </c>
      <c r="O948" s="6">
        <v>1759.509</v>
      </c>
      <c r="P948" s="15">
        <f>IF(Table1[[#This Row],[Amount Spent]]&gt;3500, 3500,Table1[[#This Row],[Amount Spent]])</f>
        <v>1759.509</v>
      </c>
    </row>
    <row r="949" spans="1:16" x14ac:dyDescent="0.35">
      <c r="A949" s="8">
        <v>949</v>
      </c>
      <c r="B949" s="1" t="s">
        <v>65</v>
      </c>
      <c r="C949" s="8" t="s">
        <v>61</v>
      </c>
      <c r="D949" s="8" t="s">
        <v>66</v>
      </c>
      <c r="E949" s="8" t="s">
        <v>2</v>
      </c>
      <c r="F949" s="8">
        <v>1</v>
      </c>
      <c r="G949" s="2">
        <v>71800</v>
      </c>
      <c r="H949" s="1">
        <v>0</v>
      </c>
      <c r="I949" s="8" t="s">
        <v>69</v>
      </c>
      <c r="J949" s="1">
        <v>12</v>
      </c>
      <c r="K949" s="1" t="s">
        <v>15</v>
      </c>
      <c r="L949" s="1" t="s">
        <v>44</v>
      </c>
      <c r="M949" s="1" t="s">
        <v>29</v>
      </c>
      <c r="N949" s="10">
        <v>41105</v>
      </c>
      <c r="O949" s="3">
        <v>1388.5840000000001</v>
      </c>
      <c r="P949" s="15">
        <f>IF(Table1[[#This Row],[Amount Spent]]&gt;3500, 3500,Table1[[#This Row],[Amount Spent]])</f>
        <v>1388.5840000000001</v>
      </c>
    </row>
    <row r="950" spans="1:16" x14ac:dyDescent="0.35">
      <c r="A950" s="9">
        <v>950</v>
      </c>
      <c r="B950" s="4" t="s">
        <v>64</v>
      </c>
      <c r="C950" s="9" t="s">
        <v>61</v>
      </c>
      <c r="D950" s="9" t="s">
        <v>58</v>
      </c>
      <c r="E950" s="9" t="s">
        <v>2</v>
      </c>
      <c r="F950" s="9">
        <v>0</v>
      </c>
      <c r="G950" s="5">
        <v>118400</v>
      </c>
      <c r="H950" s="4">
        <v>2</v>
      </c>
      <c r="I950" s="9" t="s">
        <v>8</v>
      </c>
      <c r="J950" s="4">
        <v>12</v>
      </c>
      <c r="K950" s="4" t="s">
        <v>14</v>
      </c>
      <c r="L950" s="4" t="s">
        <v>50</v>
      </c>
      <c r="M950" s="4" t="s">
        <v>35</v>
      </c>
      <c r="N950" s="10">
        <v>42237</v>
      </c>
      <c r="O950" s="6">
        <v>3940.8969999999999</v>
      </c>
      <c r="P950" s="15">
        <f>IF(Table1[[#This Row],[Amount Spent]]&gt;3500, 3500,Table1[[#This Row],[Amount Spent]])</f>
        <v>3500</v>
      </c>
    </row>
    <row r="951" spans="1:16" x14ac:dyDescent="0.35">
      <c r="A951" s="8">
        <v>951</v>
      </c>
      <c r="B951" s="1" t="s">
        <v>63</v>
      </c>
      <c r="C951" s="8" t="s">
        <v>62</v>
      </c>
      <c r="D951" s="8" t="s">
        <v>66</v>
      </c>
      <c r="E951" s="8" t="s">
        <v>2</v>
      </c>
      <c r="F951" s="8">
        <v>1</v>
      </c>
      <c r="G951" s="2">
        <v>61700</v>
      </c>
      <c r="H951" s="1">
        <v>0</v>
      </c>
      <c r="I951" s="8" t="s">
        <v>8</v>
      </c>
      <c r="J951" s="1">
        <v>12</v>
      </c>
      <c r="K951" s="1" t="s">
        <v>15</v>
      </c>
      <c r="L951" s="1" t="s">
        <v>44</v>
      </c>
      <c r="M951" s="1" t="s">
        <v>29</v>
      </c>
      <c r="N951" s="10">
        <v>42041</v>
      </c>
      <c r="O951" s="3">
        <v>1161.0519999999999</v>
      </c>
      <c r="P951" s="15">
        <f>IF(Table1[[#This Row],[Amount Spent]]&gt;3500, 3500,Table1[[#This Row],[Amount Spent]])</f>
        <v>1161.0519999999999</v>
      </c>
    </row>
    <row r="952" spans="1:16" x14ac:dyDescent="0.35">
      <c r="A952" s="9">
        <v>952</v>
      </c>
      <c r="B952" s="4" t="s">
        <v>64</v>
      </c>
      <c r="C952" s="9" t="s">
        <v>61</v>
      </c>
      <c r="D952" s="9" t="s">
        <v>58</v>
      </c>
      <c r="E952" s="9" t="s">
        <v>2</v>
      </c>
      <c r="F952" s="9">
        <v>1</v>
      </c>
      <c r="G952" s="5">
        <v>108200</v>
      </c>
      <c r="H952" s="4">
        <v>3</v>
      </c>
      <c r="I952" s="9" t="s">
        <v>67</v>
      </c>
      <c r="J952" s="4">
        <v>12</v>
      </c>
      <c r="K952" s="4" t="s">
        <v>15</v>
      </c>
      <c r="L952" s="4" t="s">
        <v>28</v>
      </c>
      <c r="M952" s="4" t="s">
        <v>28</v>
      </c>
      <c r="N952" s="10">
        <v>40742</v>
      </c>
      <c r="O952" s="6">
        <v>635.30700000000002</v>
      </c>
      <c r="P952" s="15">
        <f>IF(Table1[[#This Row],[Amount Spent]]&gt;3500, 3500,Table1[[#This Row],[Amount Spent]])</f>
        <v>635.30700000000002</v>
      </c>
    </row>
    <row r="953" spans="1:16" x14ac:dyDescent="0.35">
      <c r="A953" s="8">
        <v>953</v>
      </c>
      <c r="B953" s="1" t="s">
        <v>65</v>
      </c>
      <c r="C953" s="8" t="s">
        <v>61</v>
      </c>
      <c r="D953" s="8" t="s">
        <v>58</v>
      </c>
      <c r="E953" s="8" t="s">
        <v>2</v>
      </c>
      <c r="F953" s="8">
        <v>1</v>
      </c>
      <c r="G953" s="2">
        <v>75500</v>
      </c>
      <c r="H953" s="1">
        <v>0</v>
      </c>
      <c r="I953" s="8" t="s">
        <v>69</v>
      </c>
      <c r="J953" s="1">
        <v>6</v>
      </c>
      <c r="K953" s="1" t="s">
        <v>14</v>
      </c>
      <c r="L953" s="1" t="s">
        <v>40</v>
      </c>
      <c r="M953" s="1" t="s">
        <v>36</v>
      </c>
      <c r="N953" s="10">
        <v>42077</v>
      </c>
      <c r="O953" s="3">
        <v>740.91600000000005</v>
      </c>
      <c r="P953" s="15">
        <f>IF(Table1[[#This Row],[Amount Spent]]&gt;3500, 3500,Table1[[#This Row],[Amount Spent]])</f>
        <v>740.91600000000005</v>
      </c>
    </row>
    <row r="954" spans="1:16" x14ac:dyDescent="0.35">
      <c r="A954" s="9">
        <v>954</v>
      </c>
      <c r="B954" s="4" t="s">
        <v>64</v>
      </c>
      <c r="C954" s="9" t="s">
        <v>62</v>
      </c>
      <c r="D954" s="9" t="s">
        <v>58</v>
      </c>
      <c r="E954" s="9" t="s">
        <v>70</v>
      </c>
      <c r="F954" s="9">
        <v>1</v>
      </c>
      <c r="G954" s="5">
        <v>53700</v>
      </c>
      <c r="H954" s="4">
        <v>3</v>
      </c>
      <c r="I954" s="9" t="s">
        <v>67</v>
      </c>
      <c r="J954" s="4">
        <v>12</v>
      </c>
      <c r="K954" s="4" t="s">
        <v>12</v>
      </c>
      <c r="L954" s="4" t="s">
        <v>55</v>
      </c>
      <c r="M954" s="4" t="s">
        <v>17</v>
      </c>
      <c r="N954" s="10">
        <v>40532</v>
      </c>
      <c r="O954" s="6">
        <v>235.452</v>
      </c>
      <c r="P954" s="15">
        <f>IF(Table1[[#This Row],[Amount Spent]]&gt;3500, 3500,Table1[[#This Row],[Amount Spent]])</f>
        <v>235.452</v>
      </c>
    </row>
    <row r="955" spans="1:16" x14ac:dyDescent="0.35">
      <c r="A955" s="8">
        <v>955</v>
      </c>
      <c r="B955" s="1" t="s">
        <v>64</v>
      </c>
      <c r="C955" s="8" t="s">
        <v>61</v>
      </c>
      <c r="D955" s="8" t="s">
        <v>58</v>
      </c>
      <c r="E955" s="8" t="s">
        <v>2</v>
      </c>
      <c r="F955" s="8">
        <v>1</v>
      </c>
      <c r="G955" s="2">
        <v>96600</v>
      </c>
      <c r="H955" s="1">
        <v>0</v>
      </c>
      <c r="I955" s="8" t="s">
        <v>8</v>
      </c>
      <c r="J955" s="1">
        <v>12</v>
      </c>
      <c r="K955" s="1" t="s">
        <v>12</v>
      </c>
      <c r="L955" s="1" t="s">
        <v>53</v>
      </c>
      <c r="M955" s="1" t="s">
        <v>19</v>
      </c>
      <c r="N955" s="10">
        <v>42128</v>
      </c>
      <c r="O955" s="3">
        <v>1436.806</v>
      </c>
      <c r="P955" s="15">
        <f>IF(Table1[[#This Row],[Amount Spent]]&gt;3500, 3500,Table1[[#This Row],[Amount Spent]])</f>
        <v>1436.806</v>
      </c>
    </row>
    <row r="956" spans="1:16" x14ac:dyDescent="0.35">
      <c r="A956" s="9">
        <v>956</v>
      </c>
      <c r="B956" s="4" t="s">
        <v>65</v>
      </c>
      <c r="C956" s="9" t="s">
        <v>61</v>
      </c>
      <c r="D956" s="9" t="s">
        <v>58</v>
      </c>
      <c r="E956" s="9" t="s">
        <v>70</v>
      </c>
      <c r="F956" s="9">
        <v>1</v>
      </c>
      <c r="G956" s="5">
        <v>38700</v>
      </c>
      <c r="H956" s="4">
        <v>0</v>
      </c>
      <c r="I956" s="9" t="s">
        <v>8</v>
      </c>
      <c r="J956" s="4">
        <v>24</v>
      </c>
      <c r="K956" s="4" t="s">
        <v>15</v>
      </c>
      <c r="L956" s="4" t="s">
        <v>44</v>
      </c>
      <c r="M956" s="4" t="s">
        <v>29</v>
      </c>
      <c r="N956" s="10">
        <v>42175</v>
      </c>
      <c r="O956" s="6">
        <v>1506.2629999999999</v>
      </c>
      <c r="P956" s="15">
        <f>IF(Table1[[#This Row],[Amount Spent]]&gt;3500, 3500,Table1[[#This Row],[Amount Spent]])</f>
        <v>1506.2629999999999</v>
      </c>
    </row>
    <row r="957" spans="1:16" x14ac:dyDescent="0.35">
      <c r="A957" s="8">
        <v>957</v>
      </c>
      <c r="B957" s="1" t="s">
        <v>65</v>
      </c>
      <c r="C957" s="8" t="s">
        <v>62</v>
      </c>
      <c r="D957" s="8" t="s">
        <v>58</v>
      </c>
      <c r="E957" s="8" t="s">
        <v>70</v>
      </c>
      <c r="F957" s="8">
        <v>1</v>
      </c>
      <c r="G957" s="2">
        <v>11400</v>
      </c>
      <c r="H957" s="1">
        <v>0</v>
      </c>
      <c r="I957" s="8" t="s">
        <v>8</v>
      </c>
      <c r="J957" s="1">
        <v>6</v>
      </c>
      <c r="K957" s="1" t="s">
        <v>15</v>
      </c>
      <c r="L957" s="1" t="s">
        <v>44</v>
      </c>
      <c r="M957" s="1" t="s">
        <v>29</v>
      </c>
      <c r="N957" s="10">
        <v>42178</v>
      </c>
      <c r="O957" s="3">
        <v>257.81700000000001</v>
      </c>
      <c r="P957" s="15">
        <f>IF(Table1[[#This Row],[Amount Spent]]&gt;3500, 3500,Table1[[#This Row],[Amount Spent]])</f>
        <v>257.81700000000001</v>
      </c>
    </row>
    <row r="958" spans="1:16" x14ac:dyDescent="0.35">
      <c r="A958" s="9">
        <v>958</v>
      </c>
      <c r="B958" s="4" t="s">
        <v>64</v>
      </c>
      <c r="C958" s="9" t="s">
        <v>62</v>
      </c>
      <c r="D958" s="9" t="s">
        <v>58</v>
      </c>
      <c r="E958" s="9" t="s">
        <v>2</v>
      </c>
      <c r="F958" s="9">
        <v>0</v>
      </c>
      <c r="G958" s="5">
        <v>109800</v>
      </c>
      <c r="H958" s="4">
        <v>0</v>
      </c>
      <c r="I958" s="9" t="s">
        <v>69</v>
      </c>
      <c r="J958" s="4">
        <v>18</v>
      </c>
      <c r="K958" s="4" t="s">
        <v>15</v>
      </c>
      <c r="L958" s="4" t="s">
        <v>28</v>
      </c>
      <c r="M958" s="4" t="s">
        <v>28</v>
      </c>
      <c r="N958" s="10">
        <v>41215</v>
      </c>
      <c r="O958" s="6">
        <v>4279.2579999999998</v>
      </c>
      <c r="P958" s="15">
        <f>IF(Table1[[#This Row],[Amount Spent]]&gt;3500, 3500,Table1[[#This Row],[Amount Spent]])</f>
        <v>3500</v>
      </c>
    </row>
    <row r="959" spans="1:16" x14ac:dyDescent="0.35">
      <c r="A959" s="8">
        <v>959</v>
      </c>
      <c r="B959" s="1" t="s">
        <v>63</v>
      </c>
      <c r="C959" s="8" t="s">
        <v>62</v>
      </c>
      <c r="D959" s="8" t="s">
        <v>66</v>
      </c>
      <c r="E959" s="8" t="s">
        <v>70</v>
      </c>
      <c r="F959" s="8">
        <v>1</v>
      </c>
      <c r="G959" s="2">
        <v>14400</v>
      </c>
      <c r="H959" s="1">
        <v>1</v>
      </c>
      <c r="I959" s="8" t="s">
        <v>67</v>
      </c>
      <c r="J959" s="1">
        <v>18</v>
      </c>
      <c r="K959" s="1" t="s">
        <v>15</v>
      </c>
      <c r="L959" s="1" t="s">
        <v>52</v>
      </c>
      <c r="M959" s="1" t="s">
        <v>30</v>
      </c>
      <c r="N959" s="10">
        <v>41784</v>
      </c>
      <c r="O959" s="3">
        <v>222.744</v>
      </c>
      <c r="P959" s="15">
        <f>IF(Table1[[#This Row],[Amount Spent]]&gt;3500, 3500,Table1[[#This Row],[Amount Spent]])</f>
        <v>222.744</v>
      </c>
    </row>
    <row r="960" spans="1:16" x14ac:dyDescent="0.35">
      <c r="A960" s="9">
        <v>960</v>
      </c>
      <c r="B960" s="4" t="s">
        <v>63</v>
      </c>
      <c r="C960" s="9" t="s">
        <v>62</v>
      </c>
      <c r="D960" s="9" t="s">
        <v>66</v>
      </c>
      <c r="E960" s="9" t="s">
        <v>70</v>
      </c>
      <c r="F960" s="9">
        <v>0</v>
      </c>
      <c r="G960" s="5">
        <v>14500</v>
      </c>
      <c r="H960" s="4">
        <v>1</v>
      </c>
      <c r="I960" s="9" t="s">
        <v>67</v>
      </c>
      <c r="J960" s="4">
        <v>6</v>
      </c>
      <c r="K960" s="4" t="s">
        <v>14</v>
      </c>
      <c r="L960" s="4" t="s">
        <v>50</v>
      </c>
      <c r="M960" s="4" t="s">
        <v>34</v>
      </c>
      <c r="N960" s="10">
        <v>41684</v>
      </c>
      <c r="O960" s="6">
        <v>221.87</v>
      </c>
      <c r="P960" s="15">
        <f>IF(Table1[[#This Row],[Amount Spent]]&gt;3500, 3500,Table1[[#This Row],[Amount Spent]])</f>
        <v>221.87</v>
      </c>
    </row>
    <row r="961" spans="1:16" x14ac:dyDescent="0.35">
      <c r="A961" s="8">
        <v>961</v>
      </c>
      <c r="B961" s="1" t="s">
        <v>64</v>
      </c>
      <c r="C961" s="8" t="s">
        <v>62</v>
      </c>
      <c r="D961" s="8" t="s">
        <v>58</v>
      </c>
      <c r="E961" s="8" t="s">
        <v>70</v>
      </c>
      <c r="F961" s="8">
        <v>1</v>
      </c>
      <c r="G961" s="2">
        <v>48700</v>
      </c>
      <c r="H961" s="1">
        <v>1</v>
      </c>
      <c r="I961" s="8" t="s">
        <v>8</v>
      </c>
      <c r="J961" s="1">
        <v>12</v>
      </c>
      <c r="K961" s="1" t="s">
        <v>12</v>
      </c>
      <c r="L961" s="1" t="s">
        <v>53</v>
      </c>
      <c r="M961" s="1" t="s">
        <v>19</v>
      </c>
      <c r="N961" s="10">
        <v>42165</v>
      </c>
      <c r="O961" s="3">
        <v>1456.942</v>
      </c>
      <c r="P961" s="15">
        <f>IF(Table1[[#This Row],[Amount Spent]]&gt;3500, 3500,Table1[[#This Row],[Amount Spent]])</f>
        <v>1456.942</v>
      </c>
    </row>
    <row r="962" spans="1:16" x14ac:dyDescent="0.35">
      <c r="A962" s="9">
        <v>962</v>
      </c>
      <c r="B962" s="4" t="s">
        <v>65</v>
      </c>
      <c r="C962" s="9" t="s">
        <v>62</v>
      </c>
      <c r="D962" s="9" t="s">
        <v>58</v>
      </c>
      <c r="E962" s="9" t="s">
        <v>70</v>
      </c>
      <c r="F962" s="9">
        <v>1</v>
      </c>
      <c r="G962" s="5">
        <v>12700</v>
      </c>
      <c r="H962" s="4">
        <v>2</v>
      </c>
      <c r="I962" s="9" t="s">
        <v>67</v>
      </c>
      <c r="J962" s="4">
        <v>6</v>
      </c>
      <c r="K962" s="4" t="s">
        <v>14</v>
      </c>
      <c r="L962" s="4" t="s">
        <v>50</v>
      </c>
      <c r="M962" s="4" t="s">
        <v>34</v>
      </c>
      <c r="N962" s="10">
        <v>40812</v>
      </c>
      <c r="O962" s="6">
        <v>64.838999999999999</v>
      </c>
      <c r="P962" s="15">
        <f>IF(Table1[[#This Row],[Amount Spent]]&gt;3500, 3500,Table1[[#This Row],[Amount Spent]])</f>
        <v>64.838999999999999</v>
      </c>
    </row>
    <row r="963" spans="1:16" x14ac:dyDescent="0.35">
      <c r="A963" s="8">
        <v>963</v>
      </c>
      <c r="B963" s="1" t="s">
        <v>64</v>
      </c>
      <c r="C963" s="8" t="s">
        <v>61</v>
      </c>
      <c r="D963" s="8" t="s">
        <v>66</v>
      </c>
      <c r="E963" s="8" t="s">
        <v>2</v>
      </c>
      <c r="F963" s="8">
        <v>0</v>
      </c>
      <c r="G963" s="2">
        <v>97600</v>
      </c>
      <c r="H963" s="1">
        <v>1</v>
      </c>
      <c r="I963" s="8" t="s">
        <v>8</v>
      </c>
      <c r="J963" s="1">
        <v>12</v>
      </c>
      <c r="K963" s="1" t="s">
        <v>12</v>
      </c>
      <c r="L963" s="1" t="s">
        <v>54</v>
      </c>
      <c r="M963" s="1" t="s">
        <v>21</v>
      </c>
      <c r="N963" s="10">
        <v>42072</v>
      </c>
      <c r="O963" s="3">
        <v>2902.1970000000001</v>
      </c>
      <c r="P963" s="15">
        <f>IF(Table1[[#This Row],[Amount Spent]]&gt;3500, 3500,Table1[[#This Row],[Amount Spent]])</f>
        <v>2902.1970000000001</v>
      </c>
    </row>
    <row r="964" spans="1:16" x14ac:dyDescent="0.35">
      <c r="A964" s="9">
        <v>964</v>
      </c>
      <c r="B964" s="4" t="s">
        <v>64</v>
      </c>
      <c r="C964" s="9" t="s">
        <v>61</v>
      </c>
      <c r="D964" s="9" t="s">
        <v>58</v>
      </c>
      <c r="E964" s="9" t="s">
        <v>2</v>
      </c>
      <c r="F964" s="9">
        <v>1</v>
      </c>
      <c r="G964" s="5">
        <v>96500</v>
      </c>
      <c r="H964" s="4">
        <v>0</v>
      </c>
      <c r="I964" s="9" t="s">
        <v>69</v>
      </c>
      <c r="J964" s="4">
        <v>24</v>
      </c>
      <c r="K964" s="4" t="s">
        <v>14</v>
      </c>
      <c r="L964" s="4" t="s">
        <v>40</v>
      </c>
      <c r="M964" s="4" t="s">
        <v>36</v>
      </c>
      <c r="N964" s="10">
        <v>40857</v>
      </c>
      <c r="O964" s="6">
        <v>3779.9319999999998</v>
      </c>
      <c r="P964" s="15">
        <f>IF(Table1[[#This Row],[Amount Spent]]&gt;3500, 3500,Table1[[#This Row],[Amount Spent]])</f>
        <v>3500</v>
      </c>
    </row>
    <row r="965" spans="1:16" x14ac:dyDescent="0.35">
      <c r="A965" s="8">
        <v>965</v>
      </c>
      <c r="B965" s="1" t="s">
        <v>65</v>
      </c>
      <c r="C965" s="8" t="s">
        <v>62</v>
      </c>
      <c r="D965" s="8" t="s">
        <v>66</v>
      </c>
      <c r="E965" s="8" t="s">
        <v>70</v>
      </c>
      <c r="F965" s="8">
        <v>1</v>
      </c>
      <c r="G965" s="2">
        <v>11000</v>
      </c>
      <c r="H965" s="1">
        <v>0</v>
      </c>
      <c r="I965" s="8" t="s">
        <v>8</v>
      </c>
      <c r="J965" s="1">
        <v>24</v>
      </c>
      <c r="K965" s="1" t="s">
        <v>14</v>
      </c>
      <c r="L965" s="1" t="s">
        <v>40</v>
      </c>
      <c r="M965" s="1" t="s">
        <v>37</v>
      </c>
      <c r="N965" s="10">
        <v>42146</v>
      </c>
      <c r="O965" s="3">
        <v>195.23099999999999</v>
      </c>
      <c r="P965" s="15">
        <f>IF(Table1[[#This Row],[Amount Spent]]&gt;3500, 3500,Table1[[#This Row],[Amount Spent]])</f>
        <v>195.23099999999999</v>
      </c>
    </row>
    <row r="966" spans="1:16" x14ac:dyDescent="0.35">
      <c r="A966" s="9">
        <v>966</v>
      </c>
      <c r="B966" s="4" t="s">
        <v>65</v>
      </c>
      <c r="C966" s="9" t="s">
        <v>62</v>
      </c>
      <c r="D966" s="9" t="s">
        <v>66</v>
      </c>
      <c r="E966" s="9" t="s">
        <v>70</v>
      </c>
      <c r="F966" s="9">
        <v>0</v>
      </c>
      <c r="G966" s="5">
        <v>14000</v>
      </c>
      <c r="H966" s="4">
        <v>0</v>
      </c>
      <c r="I966" s="9" t="s">
        <v>67</v>
      </c>
      <c r="J966" s="4">
        <v>12</v>
      </c>
      <c r="K966" s="4" t="s">
        <v>12</v>
      </c>
      <c r="L966" s="4" t="s">
        <v>55</v>
      </c>
      <c r="M966" s="4" t="s">
        <v>17</v>
      </c>
      <c r="N966" s="10">
        <v>42126</v>
      </c>
      <c r="O966" s="6">
        <v>409.89600000000002</v>
      </c>
      <c r="P966" s="15">
        <f>IF(Table1[[#This Row],[Amount Spent]]&gt;3500, 3500,Table1[[#This Row],[Amount Spent]])</f>
        <v>409.89600000000002</v>
      </c>
    </row>
    <row r="967" spans="1:16" x14ac:dyDescent="0.35">
      <c r="A967" s="8">
        <v>967</v>
      </c>
      <c r="B967" s="1" t="s">
        <v>63</v>
      </c>
      <c r="C967" s="8" t="s">
        <v>62</v>
      </c>
      <c r="D967" s="8" t="s">
        <v>66</v>
      </c>
      <c r="E967" s="8" t="s">
        <v>70</v>
      </c>
      <c r="F967" s="8">
        <v>1</v>
      </c>
      <c r="G967" s="2">
        <v>21700</v>
      </c>
      <c r="H967" s="1">
        <v>2</v>
      </c>
      <c r="I967" s="8" t="s">
        <v>8</v>
      </c>
      <c r="J967" s="1">
        <v>6</v>
      </c>
      <c r="K967" s="1" t="s">
        <v>12</v>
      </c>
      <c r="L967" s="1" t="s">
        <v>41</v>
      </c>
      <c r="M967" s="1" t="s">
        <v>20</v>
      </c>
      <c r="N967" s="10">
        <v>42095</v>
      </c>
      <c r="O967" s="3">
        <v>386.87700000000001</v>
      </c>
      <c r="P967" s="15">
        <f>IF(Table1[[#This Row],[Amount Spent]]&gt;3500, 3500,Table1[[#This Row],[Amount Spent]])</f>
        <v>386.87700000000001</v>
      </c>
    </row>
    <row r="968" spans="1:16" x14ac:dyDescent="0.35">
      <c r="A968" s="9">
        <v>968</v>
      </c>
      <c r="B968" s="4" t="s">
        <v>65</v>
      </c>
      <c r="C968" s="9" t="s">
        <v>61</v>
      </c>
      <c r="D968" s="9" t="s">
        <v>66</v>
      </c>
      <c r="E968" s="9" t="s">
        <v>2</v>
      </c>
      <c r="F968" s="9">
        <v>1</v>
      </c>
      <c r="G968" s="5">
        <v>34500</v>
      </c>
      <c r="H968" s="4">
        <v>0</v>
      </c>
      <c r="I968" s="9" t="s">
        <v>68</v>
      </c>
      <c r="J968" s="4">
        <v>12</v>
      </c>
      <c r="K968" s="4" t="s">
        <v>15</v>
      </c>
      <c r="L968" s="4" t="s">
        <v>42</v>
      </c>
      <c r="M968" s="4" t="s">
        <v>32</v>
      </c>
      <c r="N968" s="10">
        <v>42119</v>
      </c>
      <c r="O968" s="6">
        <v>801.76800000000003</v>
      </c>
      <c r="P968" s="15">
        <f>IF(Table1[[#This Row],[Amount Spent]]&gt;3500, 3500,Table1[[#This Row],[Amount Spent]])</f>
        <v>801.76800000000003</v>
      </c>
    </row>
    <row r="969" spans="1:16" x14ac:dyDescent="0.35">
      <c r="A969" s="8">
        <v>969</v>
      </c>
      <c r="B969" s="1" t="s">
        <v>63</v>
      </c>
      <c r="C969" s="8" t="s">
        <v>61</v>
      </c>
      <c r="D969" s="8" t="s">
        <v>66</v>
      </c>
      <c r="E969" s="8" t="s">
        <v>70</v>
      </c>
      <c r="F969" s="8">
        <v>1</v>
      </c>
      <c r="G969" s="2">
        <v>18200</v>
      </c>
      <c r="H969" s="1">
        <v>0</v>
      </c>
      <c r="I969" s="8" t="s">
        <v>67</v>
      </c>
      <c r="J969" s="1">
        <v>12</v>
      </c>
      <c r="K969" s="1" t="s">
        <v>13</v>
      </c>
      <c r="L969" s="1" t="s">
        <v>43</v>
      </c>
      <c r="M969" s="1" t="s">
        <v>23</v>
      </c>
      <c r="N969" s="10">
        <v>41617</v>
      </c>
      <c r="O969" s="3">
        <v>400.976</v>
      </c>
      <c r="P969" s="15">
        <f>IF(Table1[[#This Row],[Amount Spent]]&gt;3500, 3500,Table1[[#This Row],[Amount Spent]])</f>
        <v>400.976</v>
      </c>
    </row>
    <row r="970" spans="1:16" x14ac:dyDescent="0.35">
      <c r="A970" s="9">
        <v>970</v>
      </c>
      <c r="B970" s="4" t="s">
        <v>64</v>
      </c>
      <c r="C970" s="9" t="s">
        <v>62</v>
      </c>
      <c r="D970" s="9" t="s">
        <v>58</v>
      </c>
      <c r="E970" s="9" t="s">
        <v>70</v>
      </c>
      <c r="F970" s="9">
        <v>0</v>
      </c>
      <c r="G970" s="5">
        <v>55600</v>
      </c>
      <c r="H970" s="4">
        <v>1</v>
      </c>
      <c r="I970" s="9" t="s">
        <v>69</v>
      </c>
      <c r="J970" s="4">
        <v>18</v>
      </c>
      <c r="K970" s="4" t="s">
        <v>12</v>
      </c>
      <c r="L970" s="4" t="s">
        <v>54</v>
      </c>
      <c r="M970" s="4" t="s">
        <v>21</v>
      </c>
      <c r="N970" s="10">
        <v>39929</v>
      </c>
      <c r="O970" s="6">
        <v>1553.4639999999999</v>
      </c>
      <c r="P970" s="15">
        <f>IF(Table1[[#This Row],[Amount Spent]]&gt;3500, 3500,Table1[[#This Row],[Amount Spent]])</f>
        <v>1553.4639999999999</v>
      </c>
    </row>
    <row r="971" spans="1:16" x14ac:dyDescent="0.35">
      <c r="A971" s="8">
        <v>971</v>
      </c>
      <c r="B971" s="1" t="s">
        <v>64</v>
      </c>
      <c r="C971" s="8" t="s">
        <v>62</v>
      </c>
      <c r="D971" s="8" t="s">
        <v>58</v>
      </c>
      <c r="E971" s="8" t="s">
        <v>2</v>
      </c>
      <c r="F971" s="8">
        <v>1</v>
      </c>
      <c r="G971" s="2">
        <v>110400</v>
      </c>
      <c r="H971" s="1">
        <v>3</v>
      </c>
      <c r="I971" s="8" t="s">
        <v>67</v>
      </c>
      <c r="J971" s="1">
        <v>24</v>
      </c>
      <c r="K971" s="1" t="s">
        <v>15</v>
      </c>
      <c r="L971" s="1" t="s">
        <v>42</v>
      </c>
      <c r="M971" s="1" t="s">
        <v>32</v>
      </c>
      <c r="N971" s="10">
        <v>42060</v>
      </c>
      <c r="O971" s="3">
        <v>1093.048</v>
      </c>
      <c r="P971" s="15">
        <f>IF(Table1[[#This Row],[Amount Spent]]&gt;3500, 3500,Table1[[#This Row],[Amount Spent]])</f>
        <v>1093.048</v>
      </c>
    </row>
    <row r="972" spans="1:16" x14ac:dyDescent="0.35">
      <c r="A972" s="9">
        <v>972</v>
      </c>
      <c r="B972" s="4" t="s">
        <v>64</v>
      </c>
      <c r="C972" s="9" t="s">
        <v>61</v>
      </c>
      <c r="D972" s="9" t="s">
        <v>58</v>
      </c>
      <c r="E972" s="9" t="s">
        <v>2</v>
      </c>
      <c r="F972" s="9">
        <v>1</v>
      </c>
      <c r="G972" s="5">
        <v>92300</v>
      </c>
      <c r="H972" s="4">
        <v>1</v>
      </c>
      <c r="I972" s="9" t="s">
        <v>8</v>
      </c>
      <c r="J972" s="4">
        <v>24</v>
      </c>
      <c r="K972" s="4" t="s">
        <v>13</v>
      </c>
      <c r="L972" s="4" t="s">
        <v>46</v>
      </c>
      <c r="M972" s="4" t="s">
        <v>22</v>
      </c>
      <c r="N972" s="10">
        <v>42118</v>
      </c>
      <c r="O972" s="6">
        <v>2140.549</v>
      </c>
      <c r="P972" s="15">
        <f>IF(Table1[[#This Row],[Amount Spent]]&gt;3500, 3500,Table1[[#This Row],[Amount Spent]])</f>
        <v>2140.549</v>
      </c>
    </row>
    <row r="973" spans="1:16" x14ac:dyDescent="0.35">
      <c r="A973" s="8">
        <v>973</v>
      </c>
      <c r="B973" s="1" t="s">
        <v>64</v>
      </c>
      <c r="C973" s="8" t="s">
        <v>61</v>
      </c>
      <c r="D973" s="8" t="s">
        <v>58</v>
      </c>
      <c r="E973" s="8" t="s">
        <v>70</v>
      </c>
      <c r="F973" s="8">
        <v>0</v>
      </c>
      <c r="G973" s="2">
        <v>72300</v>
      </c>
      <c r="H973" s="1">
        <v>0</v>
      </c>
      <c r="I973" s="8" t="s">
        <v>69</v>
      </c>
      <c r="J973" s="1">
        <v>24</v>
      </c>
      <c r="K973" s="1" t="s">
        <v>13</v>
      </c>
      <c r="L973" s="1" t="s">
        <v>45</v>
      </c>
      <c r="M973" s="1" t="s">
        <v>26</v>
      </c>
      <c r="N973" s="10">
        <v>40960</v>
      </c>
      <c r="O973" s="3">
        <v>4181.768</v>
      </c>
      <c r="P973" s="15">
        <f>IF(Table1[[#This Row],[Amount Spent]]&gt;3500, 3500,Table1[[#This Row],[Amount Spent]])</f>
        <v>3500</v>
      </c>
    </row>
    <row r="974" spans="1:16" x14ac:dyDescent="0.35">
      <c r="A974" s="9">
        <v>974</v>
      </c>
      <c r="B974" s="4" t="s">
        <v>64</v>
      </c>
      <c r="C974" s="9" t="s">
        <v>61</v>
      </c>
      <c r="D974" s="9" t="s">
        <v>58</v>
      </c>
      <c r="E974" s="9" t="s">
        <v>2</v>
      </c>
      <c r="F974" s="9">
        <v>0</v>
      </c>
      <c r="G974" s="5">
        <v>113600</v>
      </c>
      <c r="H974" s="4">
        <v>2</v>
      </c>
      <c r="I974" s="9" t="s">
        <v>69</v>
      </c>
      <c r="J974" s="4">
        <v>18</v>
      </c>
      <c r="K974" s="4" t="s">
        <v>12</v>
      </c>
      <c r="L974" s="4" t="s">
        <v>47</v>
      </c>
      <c r="M974" s="4" t="s">
        <v>18</v>
      </c>
      <c r="N974" s="10">
        <v>41179</v>
      </c>
      <c r="O974" s="6">
        <v>3236.509</v>
      </c>
      <c r="P974" s="15">
        <f>IF(Table1[[#This Row],[Amount Spent]]&gt;3500, 3500,Table1[[#This Row],[Amount Spent]])</f>
        <v>3236.509</v>
      </c>
    </row>
    <row r="975" spans="1:16" x14ac:dyDescent="0.35">
      <c r="A975" s="8">
        <v>975</v>
      </c>
      <c r="B975" s="1" t="s">
        <v>64</v>
      </c>
      <c r="C975" s="8" t="s">
        <v>62</v>
      </c>
      <c r="D975" s="8" t="s">
        <v>66</v>
      </c>
      <c r="E975" s="8" t="s">
        <v>2</v>
      </c>
      <c r="F975" s="8">
        <v>1</v>
      </c>
      <c r="G975" s="2">
        <v>88600</v>
      </c>
      <c r="H975" s="1">
        <v>3</v>
      </c>
      <c r="I975" s="8" t="s">
        <v>67</v>
      </c>
      <c r="J975" s="1">
        <v>6</v>
      </c>
      <c r="K975" s="1" t="s">
        <v>15</v>
      </c>
      <c r="L975" s="1" t="s">
        <v>52</v>
      </c>
      <c r="M975" s="1" t="s">
        <v>30</v>
      </c>
      <c r="N975" s="10">
        <v>41575</v>
      </c>
      <c r="O975" s="3">
        <v>211.52500000000001</v>
      </c>
      <c r="P975" s="15">
        <f>IF(Table1[[#This Row],[Amount Spent]]&gt;3500, 3500,Table1[[#This Row],[Amount Spent]])</f>
        <v>211.52500000000001</v>
      </c>
    </row>
    <row r="976" spans="1:16" x14ac:dyDescent="0.35">
      <c r="A976" s="9">
        <v>976</v>
      </c>
      <c r="B976" s="4" t="s">
        <v>63</v>
      </c>
      <c r="C976" s="9" t="s">
        <v>61</v>
      </c>
      <c r="D976" s="9" t="s">
        <v>66</v>
      </c>
      <c r="E976" s="9" t="s">
        <v>70</v>
      </c>
      <c r="F976" s="9">
        <v>0</v>
      </c>
      <c r="G976" s="5">
        <v>14900</v>
      </c>
      <c r="H976" s="4">
        <v>1</v>
      </c>
      <c r="I976" s="9" t="s">
        <v>8</v>
      </c>
      <c r="J976" s="4">
        <v>12</v>
      </c>
      <c r="K976" s="4" t="s">
        <v>14</v>
      </c>
      <c r="L976" s="4" t="s">
        <v>50</v>
      </c>
      <c r="M976" s="4" t="s">
        <v>35</v>
      </c>
      <c r="N976" s="10">
        <v>42101</v>
      </c>
      <c r="O976" s="6">
        <v>421.86500000000001</v>
      </c>
      <c r="P976" s="15">
        <f>IF(Table1[[#This Row],[Amount Spent]]&gt;3500, 3500,Table1[[#This Row],[Amount Spent]])</f>
        <v>421.86500000000001</v>
      </c>
    </row>
    <row r="977" spans="1:16" x14ac:dyDescent="0.35">
      <c r="A977" s="8">
        <v>977</v>
      </c>
      <c r="B977" s="1" t="s">
        <v>63</v>
      </c>
      <c r="C977" s="8" t="s">
        <v>61</v>
      </c>
      <c r="D977" s="8" t="s">
        <v>58</v>
      </c>
      <c r="E977" s="8" t="s">
        <v>2</v>
      </c>
      <c r="F977" s="8">
        <v>1</v>
      </c>
      <c r="G977" s="2">
        <v>73000</v>
      </c>
      <c r="H977" s="1">
        <v>0</v>
      </c>
      <c r="I977" s="8" t="s">
        <v>8</v>
      </c>
      <c r="J977" s="1">
        <v>6</v>
      </c>
      <c r="K977" s="1" t="s">
        <v>12</v>
      </c>
      <c r="L977" s="1" t="s">
        <v>47</v>
      </c>
      <c r="M977" s="1" t="s">
        <v>16</v>
      </c>
      <c r="N977" s="10">
        <v>42096</v>
      </c>
      <c r="O977" s="3">
        <v>1534.3979999999999</v>
      </c>
      <c r="P977" s="15">
        <f>IF(Table1[[#This Row],[Amount Spent]]&gt;3500, 3500,Table1[[#This Row],[Amount Spent]])</f>
        <v>1534.3979999999999</v>
      </c>
    </row>
    <row r="978" spans="1:16" x14ac:dyDescent="0.35">
      <c r="A978" s="9">
        <v>978</v>
      </c>
      <c r="B978" s="4" t="s">
        <v>64</v>
      </c>
      <c r="C978" s="9" t="s">
        <v>62</v>
      </c>
      <c r="D978" s="9" t="s">
        <v>58</v>
      </c>
      <c r="E978" s="9" t="s">
        <v>70</v>
      </c>
      <c r="F978" s="9">
        <v>1</v>
      </c>
      <c r="G978" s="5">
        <v>36900</v>
      </c>
      <c r="H978" s="4">
        <v>2</v>
      </c>
      <c r="I978" s="9" t="s">
        <v>67</v>
      </c>
      <c r="J978" s="4">
        <v>24</v>
      </c>
      <c r="K978" s="4" t="s">
        <v>14</v>
      </c>
      <c r="L978" s="4" t="s">
        <v>49</v>
      </c>
      <c r="M978" s="4" t="s">
        <v>39</v>
      </c>
      <c r="N978" s="10">
        <v>41428</v>
      </c>
      <c r="O978" s="6">
        <v>513.90800000000002</v>
      </c>
      <c r="P978" s="15">
        <f>IF(Table1[[#This Row],[Amount Spent]]&gt;3500, 3500,Table1[[#This Row],[Amount Spent]])</f>
        <v>513.90800000000002</v>
      </c>
    </row>
    <row r="979" spans="1:16" x14ac:dyDescent="0.35">
      <c r="A979" s="8">
        <v>979</v>
      </c>
      <c r="B979" s="1" t="s">
        <v>65</v>
      </c>
      <c r="C979" s="8" t="s">
        <v>61</v>
      </c>
      <c r="D979" s="8" t="s">
        <v>58</v>
      </c>
      <c r="E979" s="8" t="s">
        <v>70</v>
      </c>
      <c r="F979" s="8">
        <v>1</v>
      </c>
      <c r="G979" s="2">
        <v>62200</v>
      </c>
      <c r="H979" s="1">
        <v>0</v>
      </c>
      <c r="I979" s="8" t="s">
        <v>8</v>
      </c>
      <c r="J979" s="1">
        <v>12</v>
      </c>
      <c r="K979" s="1" t="s">
        <v>15</v>
      </c>
      <c r="L979" s="1" t="s">
        <v>52</v>
      </c>
      <c r="M979" s="1" t="s">
        <v>30</v>
      </c>
      <c r="N979" s="10">
        <v>42041</v>
      </c>
      <c r="O979" s="3">
        <v>1582.6120000000001</v>
      </c>
      <c r="P979" s="15">
        <f>IF(Table1[[#This Row],[Amount Spent]]&gt;3500, 3500,Table1[[#This Row],[Amount Spent]])</f>
        <v>1582.6120000000001</v>
      </c>
    </row>
    <row r="980" spans="1:16" x14ac:dyDescent="0.35">
      <c r="A980" s="9">
        <v>980</v>
      </c>
      <c r="B980" s="4" t="s">
        <v>63</v>
      </c>
      <c r="C980" s="9" t="s">
        <v>62</v>
      </c>
      <c r="D980" s="9" t="s">
        <v>66</v>
      </c>
      <c r="E980" s="9" t="s">
        <v>70</v>
      </c>
      <c r="F980" s="9">
        <v>0</v>
      </c>
      <c r="G980" s="5">
        <v>13200</v>
      </c>
      <c r="H980" s="4">
        <v>0</v>
      </c>
      <c r="I980" s="9" t="s">
        <v>8</v>
      </c>
      <c r="J980" s="4">
        <v>24</v>
      </c>
      <c r="K980" s="4" t="s">
        <v>14</v>
      </c>
      <c r="L980" s="4" t="s">
        <v>40</v>
      </c>
      <c r="M980" s="4" t="s">
        <v>37</v>
      </c>
      <c r="N980" s="10">
        <v>42085</v>
      </c>
      <c r="O980" s="6">
        <v>357.56400000000002</v>
      </c>
      <c r="P980" s="15">
        <f>IF(Table1[[#This Row],[Amount Spent]]&gt;3500, 3500,Table1[[#This Row],[Amount Spent]])</f>
        <v>357.56400000000002</v>
      </c>
    </row>
    <row r="981" spans="1:16" x14ac:dyDescent="0.35">
      <c r="A981" s="8">
        <v>981</v>
      </c>
      <c r="B981" s="1" t="s">
        <v>63</v>
      </c>
      <c r="C981" s="8" t="s">
        <v>62</v>
      </c>
      <c r="D981" s="8" t="s">
        <v>66</v>
      </c>
      <c r="E981" s="8" t="s">
        <v>70</v>
      </c>
      <c r="F981" s="8">
        <v>1</v>
      </c>
      <c r="G981" s="2">
        <v>13300</v>
      </c>
      <c r="H981" s="1">
        <v>1</v>
      </c>
      <c r="I981" s="8" t="s">
        <v>67</v>
      </c>
      <c r="J981" s="1">
        <v>6</v>
      </c>
      <c r="K981" s="1" t="s">
        <v>13</v>
      </c>
      <c r="L981" s="1" t="s">
        <v>43</v>
      </c>
      <c r="M981" s="1" t="s">
        <v>23</v>
      </c>
      <c r="N981" s="10">
        <v>41511</v>
      </c>
      <c r="O981" s="3">
        <v>184.119</v>
      </c>
      <c r="P981" s="15">
        <f>IF(Table1[[#This Row],[Amount Spent]]&gt;3500, 3500,Table1[[#This Row],[Amount Spent]])</f>
        <v>184.119</v>
      </c>
    </row>
    <row r="982" spans="1:16" x14ac:dyDescent="0.35">
      <c r="A982" s="9">
        <v>982</v>
      </c>
      <c r="B982" s="4" t="s">
        <v>64</v>
      </c>
      <c r="C982" s="9" t="s">
        <v>61</v>
      </c>
      <c r="D982" s="9" t="s">
        <v>58</v>
      </c>
      <c r="E982" s="9" t="s">
        <v>70</v>
      </c>
      <c r="F982" s="9">
        <v>1</v>
      </c>
      <c r="G982" s="5">
        <v>64300</v>
      </c>
      <c r="H982" s="4">
        <v>0</v>
      </c>
      <c r="I982" s="9" t="s">
        <v>8</v>
      </c>
      <c r="J982" s="4">
        <v>6</v>
      </c>
      <c r="K982" s="4" t="s">
        <v>14</v>
      </c>
      <c r="L982" s="4" t="s">
        <v>51</v>
      </c>
      <c r="M982" s="4" t="s">
        <v>38</v>
      </c>
      <c r="N982" s="10">
        <v>42031</v>
      </c>
      <c r="O982" s="6">
        <v>1324.7570000000001</v>
      </c>
      <c r="P982" s="15">
        <f>IF(Table1[[#This Row],[Amount Spent]]&gt;3500, 3500,Table1[[#This Row],[Amount Spent]])</f>
        <v>1324.7570000000001</v>
      </c>
    </row>
    <row r="983" spans="1:16" x14ac:dyDescent="0.35">
      <c r="A983" s="8">
        <v>983</v>
      </c>
      <c r="B983" s="1" t="s">
        <v>63</v>
      </c>
      <c r="C983" s="8" t="s">
        <v>62</v>
      </c>
      <c r="D983" s="8" t="s">
        <v>58</v>
      </c>
      <c r="E983" s="8" t="s">
        <v>70</v>
      </c>
      <c r="F983" s="8">
        <v>0</v>
      </c>
      <c r="G983" s="2">
        <v>41000</v>
      </c>
      <c r="H983" s="1">
        <v>1</v>
      </c>
      <c r="I983" s="8" t="s">
        <v>68</v>
      </c>
      <c r="J983" s="1">
        <v>12</v>
      </c>
      <c r="K983" s="1" t="s">
        <v>13</v>
      </c>
      <c r="L983" s="1" t="s">
        <v>46</v>
      </c>
      <c r="M983" s="1" t="s">
        <v>22</v>
      </c>
      <c r="N983" s="10">
        <v>41377</v>
      </c>
      <c r="O983" s="3">
        <v>767.721</v>
      </c>
      <c r="P983" s="15">
        <f>IF(Table1[[#This Row],[Amount Spent]]&gt;3500, 3500,Table1[[#This Row],[Amount Spent]])</f>
        <v>767.721</v>
      </c>
    </row>
    <row r="984" spans="1:16" x14ac:dyDescent="0.35">
      <c r="A984" s="9">
        <v>984</v>
      </c>
      <c r="B984" s="4" t="s">
        <v>65</v>
      </c>
      <c r="C984" s="9" t="s">
        <v>61</v>
      </c>
      <c r="D984" s="9" t="s">
        <v>58</v>
      </c>
      <c r="E984" s="9" t="s">
        <v>2</v>
      </c>
      <c r="F984" s="9">
        <v>0</v>
      </c>
      <c r="G984" s="5">
        <v>86500</v>
      </c>
      <c r="H984" s="4">
        <v>0</v>
      </c>
      <c r="I984" s="9" t="s">
        <v>69</v>
      </c>
      <c r="J984" s="4">
        <v>24</v>
      </c>
      <c r="K984" s="4" t="s">
        <v>14</v>
      </c>
      <c r="L984" s="4" t="s">
        <v>51</v>
      </c>
      <c r="M984" s="4" t="s">
        <v>38</v>
      </c>
      <c r="N984" s="10">
        <v>40468</v>
      </c>
      <c r="O984" s="6">
        <v>2690.0509999999999</v>
      </c>
      <c r="P984" s="15">
        <f>IF(Table1[[#This Row],[Amount Spent]]&gt;3500, 3500,Table1[[#This Row],[Amount Spent]])</f>
        <v>2690.0509999999999</v>
      </c>
    </row>
    <row r="985" spans="1:16" x14ac:dyDescent="0.35">
      <c r="A985" s="8">
        <v>985</v>
      </c>
      <c r="B985" s="1" t="s">
        <v>64</v>
      </c>
      <c r="C985" s="8" t="s">
        <v>61</v>
      </c>
      <c r="D985" s="8" t="s">
        <v>58</v>
      </c>
      <c r="E985" s="8" t="s">
        <v>2</v>
      </c>
      <c r="F985" s="8">
        <v>0</v>
      </c>
      <c r="G985" s="2">
        <v>70000</v>
      </c>
      <c r="H985" s="1">
        <v>1</v>
      </c>
      <c r="I985" s="8" t="s">
        <v>8</v>
      </c>
      <c r="J985" s="1">
        <v>6</v>
      </c>
      <c r="K985" s="1" t="s">
        <v>12</v>
      </c>
      <c r="L985" s="1" t="s">
        <v>55</v>
      </c>
      <c r="M985" s="1" t="s">
        <v>17</v>
      </c>
      <c r="N985" s="10">
        <v>42156</v>
      </c>
      <c r="O985" s="3">
        <v>1227.2349999999999</v>
      </c>
      <c r="P985" s="15">
        <f>IF(Table1[[#This Row],[Amount Spent]]&gt;3500, 3500,Table1[[#This Row],[Amount Spent]])</f>
        <v>1227.2349999999999</v>
      </c>
    </row>
    <row r="986" spans="1:16" x14ac:dyDescent="0.35">
      <c r="A986" s="9">
        <v>986</v>
      </c>
      <c r="B986" s="4" t="s">
        <v>64</v>
      </c>
      <c r="C986" s="9" t="s">
        <v>62</v>
      </c>
      <c r="D986" s="9" t="s">
        <v>58</v>
      </c>
      <c r="E986" s="9" t="s">
        <v>2</v>
      </c>
      <c r="F986" s="9">
        <v>1</v>
      </c>
      <c r="G986" s="5">
        <v>123600</v>
      </c>
      <c r="H986" s="4">
        <v>1</v>
      </c>
      <c r="I986" s="9" t="s">
        <v>8</v>
      </c>
      <c r="J986" s="4">
        <v>12</v>
      </c>
      <c r="K986" s="4" t="s">
        <v>14</v>
      </c>
      <c r="L986" s="4" t="s">
        <v>51</v>
      </c>
      <c r="M986" s="4" t="s">
        <v>38</v>
      </c>
      <c r="N986" s="10">
        <v>42092</v>
      </c>
      <c r="O986" s="6">
        <v>1891.7819999999999</v>
      </c>
      <c r="P986" s="15">
        <f>IF(Table1[[#This Row],[Amount Spent]]&gt;3500, 3500,Table1[[#This Row],[Amount Spent]])</f>
        <v>1891.7819999999999</v>
      </c>
    </row>
    <row r="987" spans="1:16" x14ac:dyDescent="0.35">
      <c r="A987" s="8">
        <v>987</v>
      </c>
      <c r="B987" s="1" t="s">
        <v>65</v>
      </c>
      <c r="C987" s="8" t="s">
        <v>62</v>
      </c>
      <c r="D987" s="8" t="s">
        <v>58</v>
      </c>
      <c r="E987" s="8" t="s">
        <v>2</v>
      </c>
      <c r="F987" s="8">
        <v>1</v>
      </c>
      <c r="G987" s="2">
        <v>25900</v>
      </c>
      <c r="H987" s="1">
        <v>0</v>
      </c>
      <c r="I987" s="8" t="s">
        <v>67</v>
      </c>
      <c r="J987" s="1">
        <v>18</v>
      </c>
      <c r="K987" s="1" t="s">
        <v>12</v>
      </c>
      <c r="L987" s="1" t="s">
        <v>54</v>
      </c>
      <c r="M987" s="1" t="s">
        <v>21</v>
      </c>
      <c r="N987" s="10">
        <v>41398</v>
      </c>
      <c r="O987" s="3">
        <v>582.38</v>
      </c>
      <c r="P987" s="15">
        <f>IF(Table1[[#This Row],[Amount Spent]]&gt;3500, 3500,Table1[[#This Row],[Amount Spent]])</f>
        <v>582.38</v>
      </c>
    </row>
    <row r="988" spans="1:16" x14ac:dyDescent="0.35">
      <c r="A988" s="9">
        <v>988</v>
      </c>
      <c r="B988" s="4" t="s">
        <v>64</v>
      </c>
      <c r="C988" s="9" t="s">
        <v>61</v>
      </c>
      <c r="D988" s="9" t="s">
        <v>58</v>
      </c>
      <c r="E988" s="9" t="s">
        <v>2</v>
      </c>
      <c r="F988" s="9">
        <v>0</v>
      </c>
      <c r="G988" s="5">
        <v>81200</v>
      </c>
      <c r="H988" s="4">
        <v>0</v>
      </c>
      <c r="I988" s="9" t="s">
        <v>69</v>
      </c>
      <c r="J988" s="4">
        <v>12</v>
      </c>
      <c r="K988" s="4" t="s">
        <v>13</v>
      </c>
      <c r="L988" s="4" t="s">
        <v>46</v>
      </c>
      <c r="M988" s="4" t="s">
        <v>22</v>
      </c>
      <c r="N988" s="10">
        <v>40512</v>
      </c>
      <c r="O988" s="6">
        <v>2692.5430000000001</v>
      </c>
      <c r="P988" s="15">
        <f>IF(Table1[[#This Row],[Amount Spent]]&gt;3500, 3500,Table1[[#This Row],[Amount Spent]])</f>
        <v>2692.5430000000001</v>
      </c>
    </row>
    <row r="989" spans="1:16" x14ac:dyDescent="0.35">
      <c r="A989" s="8">
        <v>989</v>
      </c>
      <c r="B989" s="1" t="s">
        <v>63</v>
      </c>
      <c r="C989" s="8" t="s">
        <v>61</v>
      </c>
      <c r="D989" s="8" t="s">
        <v>58</v>
      </c>
      <c r="E989" s="8" t="s">
        <v>70</v>
      </c>
      <c r="F989" s="8">
        <v>1</v>
      </c>
      <c r="G989" s="2">
        <v>41400</v>
      </c>
      <c r="H989" s="1">
        <v>0</v>
      </c>
      <c r="I989" s="8" t="s">
        <v>68</v>
      </c>
      <c r="J989" s="1">
        <v>18</v>
      </c>
      <c r="K989" s="1" t="s">
        <v>13</v>
      </c>
      <c r="L989" s="1" t="s">
        <v>42</v>
      </c>
      <c r="M989" s="1" t="s">
        <v>25</v>
      </c>
      <c r="N989" s="10">
        <v>41374</v>
      </c>
      <c r="O989" s="3">
        <v>642.81399999999996</v>
      </c>
      <c r="P989" s="15">
        <f>IF(Table1[[#This Row],[Amount Spent]]&gt;3500, 3500,Table1[[#This Row],[Amount Spent]])</f>
        <v>642.81399999999996</v>
      </c>
    </row>
    <row r="990" spans="1:16" x14ac:dyDescent="0.35">
      <c r="A990" s="9">
        <v>990</v>
      </c>
      <c r="B990" s="4" t="s">
        <v>63</v>
      </c>
      <c r="C990" s="9" t="s">
        <v>62</v>
      </c>
      <c r="D990" s="9" t="s">
        <v>66</v>
      </c>
      <c r="E990" s="9" t="s">
        <v>70</v>
      </c>
      <c r="F990" s="9">
        <v>0</v>
      </c>
      <c r="G990" s="5">
        <v>12400</v>
      </c>
      <c r="H990" s="4">
        <v>3</v>
      </c>
      <c r="I990" s="9" t="s">
        <v>67</v>
      </c>
      <c r="J990" s="4">
        <v>18</v>
      </c>
      <c r="K990" s="4" t="s">
        <v>14</v>
      </c>
      <c r="L990" s="4" t="s">
        <v>51</v>
      </c>
      <c r="M990" s="4" t="s">
        <v>38</v>
      </c>
      <c r="N990" s="10">
        <v>41369</v>
      </c>
      <c r="O990" s="6">
        <v>204.91</v>
      </c>
      <c r="P990" s="15">
        <f>IF(Table1[[#This Row],[Amount Spent]]&gt;3500, 3500,Table1[[#This Row],[Amount Spent]])</f>
        <v>204.91</v>
      </c>
    </row>
    <row r="991" spans="1:16" x14ac:dyDescent="0.35">
      <c r="A991" s="8">
        <v>991</v>
      </c>
      <c r="B991" s="1" t="s">
        <v>63</v>
      </c>
      <c r="C991" s="8" t="s">
        <v>62</v>
      </c>
      <c r="D991" s="8" t="s">
        <v>66</v>
      </c>
      <c r="E991" s="8" t="s">
        <v>70</v>
      </c>
      <c r="F991" s="8">
        <v>1</v>
      </c>
      <c r="G991" s="2">
        <v>14100</v>
      </c>
      <c r="H991" s="1">
        <v>3</v>
      </c>
      <c r="I991" s="8" t="s">
        <v>8</v>
      </c>
      <c r="J991" s="1">
        <v>6</v>
      </c>
      <c r="K991" s="1" t="s">
        <v>14</v>
      </c>
      <c r="L991" s="1" t="s">
        <v>49</v>
      </c>
      <c r="M991" s="1" t="s">
        <v>39</v>
      </c>
      <c r="N991" s="10">
        <v>42224</v>
      </c>
      <c r="O991" s="3">
        <v>153.37799999999999</v>
      </c>
      <c r="P991" s="15">
        <f>IF(Table1[[#This Row],[Amount Spent]]&gt;3500, 3500,Table1[[#This Row],[Amount Spent]])</f>
        <v>153.37799999999999</v>
      </c>
    </row>
    <row r="992" spans="1:16" x14ac:dyDescent="0.35">
      <c r="A992" s="9">
        <v>992</v>
      </c>
      <c r="B992" s="4" t="s">
        <v>64</v>
      </c>
      <c r="C992" s="9" t="s">
        <v>61</v>
      </c>
      <c r="D992" s="9" t="s">
        <v>58</v>
      </c>
      <c r="E992" s="9" t="s">
        <v>2</v>
      </c>
      <c r="F992" s="9">
        <v>1</v>
      </c>
      <c r="G992" s="5">
        <v>65900</v>
      </c>
      <c r="H992" s="4">
        <v>1</v>
      </c>
      <c r="I992" s="9" t="s">
        <v>68</v>
      </c>
      <c r="J992" s="4">
        <v>12</v>
      </c>
      <c r="K992" s="4" t="s">
        <v>13</v>
      </c>
      <c r="L992" s="4" t="s">
        <v>46</v>
      </c>
      <c r="M992" s="4" t="s">
        <v>22</v>
      </c>
      <c r="N992" s="10">
        <v>40903</v>
      </c>
      <c r="O992" s="6">
        <v>1081.05</v>
      </c>
      <c r="P992" s="15">
        <f>IF(Table1[[#This Row],[Amount Spent]]&gt;3500, 3500,Table1[[#This Row],[Amount Spent]])</f>
        <v>1081.05</v>
      </c>
    </row>
    <row r="993" spans="1:27" x14ac:dyDescent="0.35">
      <c r="A993" s="8">
        <v>993</v>
      </c>
      <c r="B993" s="1" t="s">
        <v>65</v>
      </c>
      <c r="C993" s="8" t="s">
        <v>61</v>
      </c>
      <c r="D993" s="8" t="s">
        <v>58</v>
      </c>
      <c r="E993" s="8" t="s">
        <v>2</v>
      </c>
      <c r="F993" s="8">
        <v>0</v>
      </c>
      <c r="G993" s="2">
        <v>59700</v>
      </c>
      <c r="H993" s="1">
        <v>0</v>
      </c>
      <c r="I993" s="8" t="s">
        <v>69</v>
      </c>
      <c r="J993" s="1">
        <v>18</v>
      </c>
      <c r="K993" s="1" t="s">
        <v>13</v>
      </c>
      <c r="L993" s="1" t="s">
        <v>42</v>
      </c>
      <c r="M993" s="1" t="s">
        <v>25</v>
      </c>
      <c r="N993" s="10">
        <v>41205</v>
      </c>
      <c r="O993" s="3">
        <v>1856.829</v>
      </c>
      <c r="P993" s="15">
        <f>IF(Table1[[#This Row],[Amount Spent]]&gt;3500, 3500,Table1[[#This Row],[Amount Spent]])</f>
        <v>1856.829</v>
      </c>
    </row>
    <row r="994" spans="1:27" x14ac:dyDescent="0.35">
      <c r="A994" s="9">
        <v>994</v>
      </c>
      <c r="B994" s="4" t="s">
        <v>63</v>
      </c>
      <c r="C994" s="9" t="s">
        <v>61</v>
      </c>
      <c r="D994" s="9" t="s">
        <v>66</v>
      </c>
      <c r="E994" s="9" t="s">
        <v>70</v>
      </c>
      <c r="F994" s="9">
        <v>1</v>
      </c>
      <c r="G994" s="5">
        <v>17800</v>
      </c>
      <c r="H994" s="4">
        <v>0</v>
      </c>
      <c r="I994" s="9" t="s">
        <v>67</v>
      </c>
      <c r="J994" s="4">
        <v>18</v>
      </c>
      <c r="K994" s="4" t="s">
        <v>13</v>
      </c>
      <c r="L994" s="4" t="s">
        <v>48</v>
      </c>
      <c r="M994" s="4" t="s">
        <v>27</v>
      </c>
      <c r="N994" s="10">
        <v>40939</v>
      </c>
      <c r="O994" s="6">
        <v>292.197</v>
      </c>
      <c r="P994" s="15">
        <f>IF(Table1[[#This Row],[Amount Spent]]&gt;3500, 3500,Table1[[#This Row],[Amount Spent]])</f>
        <v>292.197</v>
      </c>
    </row>
    <row r="995" spans="1:27" x14ac:dyDescent="0.35">
      <c r="A995" s="8">
        <v>995</v>
      </c>
      <c r="B995" s="1" t="s">
        <v>65</v>
      </c>
      <c r="C995" s="8" t="s">
        <v>61</v>
      </c>
      <c r="D995" s="8" t="s">
        <v>58</v>
      </c>
      <c r="E995" s="8" t="s">
        <v>70</v>
      </c>
      <c r="F995" s="8">
        <v>1</v>
      </c>
      <c r="G995" s="2">
        <v>41900</v>
      </c>
      <c r="H995" s="1">
        <v>0</v>
      </c>
      <c r="I995" s="8" t="s">
        <v>68</v>
      </c>
      <c r="J995" s="1">
        <v>6</v>
      </c>
      <c r="K995" s="1" t="s">
        <v>14</v>
      </c>
      <c r="L995" s="1" t="s">
        <v>50</v>
      </c>
      <c r="M995" s="1" t="s">
        <v>34</v>
      </c>
      <c r="N995" s="10">
        <v>41462</v>
      </c>
      <c r="O995" s="3">
        <v>653.92399999999998</v>
      </c>
      <c r="P995" s="15">
        <f>IF(Table1[[#This Row],[Amount Spent]]&gt;3500, 3500,Table1[[#This Row],[Amount Spent]])</f>
        <v>653.92399999999998</v>
      </c>
    </row>
    <row r="996" spans="1:27" x14ac:dyDescent="0.35">
      <c r="A996" s="9">
        <v>996</v>
      </c>
      <c r="B996" s="4" t="s">
        <v>64</v>
      </c>
      <c r="C996" s="9" t="s">
        <v>62</v>
      </c>
      <c r="D996" s="9" t="s">
        <v>58</v>
      </c>
      <c r="E996" s="9" t="s">
        <v>70</v>
      </c>
      <c r="F996" s="9">
        <v>1</v>
      </c>
      <c r="G996" s="5">
        <v>53800</v>
      </c>
      <c r="H996" s="4">
        <v>0</v>
      </c>
      <c r="I996" s="9" t="s">
        <v>68</v>
      </c>
      <c r="J996" s="4">
        <v>12</v>
      </c>
      <c r="K996" s="4" t="s">
        <v>12</v>
      </c>
      <c r="L996" s="4" t="s">
        <v>55</v>
      </c>
      <c r="M996" s="4" t="s">
        <v>17</v>
      </c>
      <c r="N996" s="10">
        <v>42230</v>
      </c>
      <c r="O996" s="6">
        <v>842.72</v>
      </c>
      <c r="P996" s="15">
        <f>IF(Table1[[#This Row],[Amount Spent]]&gt;3500, 3500,Table1[[#This Row],[Amount Spent]])</f>
        <v>842.72</v>
      </c>
    </row>
    <row r="997" spans="1:27" x14ac:dyDescent="0.35">
      <c r="A997" s="8">
        <v>997</v>
      </c>
      <c r="B997" s="1" t="s">
        <v>65</v>
      </c>
      <c r="C997" s="8" t="s">
        <v>62</v>
      </c>
      <c r="D997" s="8" t="s">
        <v>66</v>
      </c>
      <c r="E997" s="8" t="s">
        <v>70</v>
      </c>
      <c r="F997" s="8">
        <v>1</v>
      </c>
      <c r="G997" s="2">
        <v>21200</v>
      </c>
      <c r="H997" s="1">
        <v>0</v>
      </c>
      <c r="I997" s="8" t="s">
        <v>67</v>
      </c>
      <c r="J997" s="1">
        <v>6</v>
      </c>
      <c r="K997" s="1" t="s">
        <v>15</v>
      </c>
      <c r="L997" s="1" t="s">
        <v>42</v>
      </c>
      <c r="M997" s="1" t="s">
        <v>32</v>
      </c>
      <c r="N997" s="10">
        <v>41954</v>
      </c>
      <c r="O997" s="3">
        <v>242.303</v>
      </c>
      <c r="P997" s="15">
        <f>IF(Table1[[#This Row],[Amount Spent]]&gt;3500, 3500,Table1[[#This Row],[Amount Spent]])</f>
        <v>242.303</v>
      </c>
    </row>
    <row r="998" spans="1:27" x14ac:dyDescent="0.35">
      <c r="A998" s="9">
        <v>998</v>
      </c>
      <c r="B998" s="4" t="s">
        <v>64</v>
      </c>
      <c r="C998" s="9" t="s">
        <v>61</v>
      </c>
      <c r="D998" s="9" t="s">
        <v>58</v>
      </c>
      <c r="E998" s="9" t="s">
        <v>2</v>
      </c>
      <c r="F998" s="9">
        <v>1</v>
      </c>
      <c r="G998" s="5">
        <v>102600</v>
      </c>
      <c r="H998" s="4">
        <v>0</v>
      </c>
      <c r="I998" s="9" t="s">
        <v>69</v>
      </c>
      <c r="J998" s="4">
        <v>18</v>
      </c>
      <c r="K998" s="4" t="s">
        <v>15</v>
      </c>
      <c r="L998" s="4" t="s">
        <v>52</v>
      </c>
      <c r="M998" s="4" t="s">
        <v>30</v>
      </c>
      <c r="N998" s="10">
        <v>41495</v>
      </c>
      <c r="O998" s="6">
        <v>2545.732</v>
      </c>
      <c r="P998" s="15">
        <f>IF(Table1[[#This Row],[Amount Spent]]&gt;3500, 3500,Table1[[#This Row],[Amount Spent]])</f>
        <v>2545.732</v>
      </c>
    </row>
    <row r="999" spans="1:27" x14ac:dyDescent="0.35">
      <c r="A999" s="8">
        <v>999</v>
      </c>
      <c r="B999" s="1" t="s">
        <v>64</v>
      </c>
      <c r="C999" s="8" t="s">
        <v>62</v>
      </c>
      <c r="D999" s="8" t="s">
        <v>66</v>
      </c>
      <c r="E999" s="8" t="s">
        <v>2</v>
      </c>
      <c r="F999" s="8">
        <v>1</v>
      </c>
      <c r="G999" s="2">
        <v>93700</v>
      </c>
      <c r="H999" s="1">
        <v>1</v>
      </c>
      <c r="I999" s="8" t="s">
        <v>69</v>
      </c>
      <c r="J999" s="1">
        <v>24</v>
      </c>
      <c r="K999" s="1" t="s">
        <v>15</v>
      </c>
      <c r="L999" s="1" t="s">
        <v>52</v>
      </c>
      <c r="M999" s="1" t="s">
        <v>31</v>
      </c>
      <c r="N999" s="10">
        <v>42109</v>
      </c>
      <c r="O999" s="3">
        <v>1521.0830000000001</v>
      </c>
      <c r="P999" s="15">
        <f>IF(Table1[[#This Row],[Amount Spent]]&gt;3500, 3500,Table1[[#This Row],[Amount Spent]])</f>
        <v>1521.0830000000001</v>
      </c>
    </row>
    <row r="1000" spans="1:27" x14ac:dyDescent="0.35">
      <c r="A1000" s="9">
        <v>1000</v>
      </c>
      <c r="B1000" s="4" t="s">
        <v>64</v>
      </c>
      <c r="C1000" s="9" t="s">
        <v>61</v>
      </c>
      <c r="D1000" s="9" t="s">
        <v>58</v>
      </c>
      <c r="E1000" s="9" t="s">
        <v>2</v>
      </c>
      <c r="F1000" s="9">
        <v>1</v>
      </c>
      <c r="G1000" s="5">
        <v>102500</v>
      </c>
      <c r="H1000" s="4">
        <v>1</v>
      </c>
      <c r="I1000" s="9" t="s">
        <v>69</v>
      </c>
      <c r="J1000" s="4">
        <v>24</v>
      </c>
      <c r="K1000" s="4" t="s">
        <v>12</v>
      </c>
      <c r="L1000" s="4" t="s">
        <v>54</v>
      </c>
      <c r="M1000" s="4" t="s">
        <v>21</v>
      </c>
      <c r="N1000" s="10">
        <v>40977</v>
      </c>
      <c r="O1000" s="6">
        <v>2464.3389999999999</v>
      </c>
      <c r="P1000" s="15">
        <f>IF(Table1[[#This Row],[Amount Spent]]&gt;3500, 3500,Table1[[#This Row],[Amount Spent]])</f>
        <v>2464.3389999999999</v>
      </c>
    </row>
    <row r="1001" spans="1:27" ht="15" thickBot="1" x14ac:dyDescent="0.4">
      <c r="A1001" s="20"/>
      <c r="B1001" s="21" t="s">
        <v>64</v>
      </c>
      <c r="C1001" s="22" t="s">
        <v>61</v>
      </c>
      <c r="D1001" s="22" t="s">
        <v>58</v>
      </c>
      <c r="E1001" s="22" t="s">
        <v>70</v>
      </c>
      <c r="F1001" s="22">
        <v>1</v>
      </c>
      <c r="G1001" s="23">
        <v>59400</v>
      </c>
      <c r="H1001" s="21">
        <v>0</v>
      </c>
      <c r="I1001" s="22" t="s">
        <v>68</v>
      </c>
      <c r="J1001" s="21">
        <v>18</v>
      </c>
      <c r="K1001" s="21" t="s">
        <v>12</v>
      </c>
      <c r="L1001" s="21" t="s">
        <v>54</v>
      </c>
      <c r="M1001" s="21" t="s">
        <v>21</v>
      </c>
      <c r="N1001" s="10">
        <v>41990</v>
      </c>
      <c r="O1001" s="24">
        <v>1699.22</v>
      </c>
      <c r="P1001" s="15">
        <f>IF(Table1[[#This Row],[Amount Spent]]&gt;3500, 3500,Table1[[#This Row],[Amount Spent]])</f>
        <v>1699.22</v>
      </c>
    </row>
    <row r="1002" spans="1:27" ht="15" thickTop="1" x14ac:dyDescent="0.35"/>
    <row r="1006" spans="1:27" x14ac:dyDescent="0.35">
      <c r="O1006" s="18"/>
    </row>
    <row r="1007" spans="1:27" x14ac:dyDescent="0.35">
      <c r="AA1007">
        <f>MEDIAN(Table1[Amount Spent])</f>
        <v>961.81050000000005</v>
      </c>
    </row>
  </sheetData>
  <autoFilter ref="AA1:AB19" xr:uid="{00000000-0001-0000-0100-000000000000}"/>
  <phoneticPr fontId="6" type="noConversion"/>
  <printOptions headings="1" gridLines="1"/>
  <pageMargins left="0.7" right="0.7" top="0.75" bottom="0.75" header="0.3" footer="0.3"/>
  <pageSetup scale="10" orientation="portrait" horizontalDpi="200" verticalDpi="200" r:id="rId2"/>
  <drawing r:id="rId3"/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EBD8-3406-4902-BBBA-0CB0145EF92C}">
  <dimension ref="A1:P1001"/>
  <sheetViews>
    <sheetView tabSelected="1" workbookViewId="0">
      <selection activeCell="B5" sqref="B5"/>
    </sheetView>
  </sheetViews>
  <sheetFormatPr defaultRowHeight="14.5" x14ac:dyDescent="0.35"/>
  <cols>
    <col min="14" max="14" width="10.453125" bestFit="1" customWidth="1"/>
  </cols>
  <sheetData>
    <row r="1" spans="1:16" x14ac:dyDescent="0.35">
      <c r="A1" t="s">
        <v>57</v>
      </c>
      <c r="B1" t="s">
        <v>0</v>
      </c>
      <c r="C1" t="s">
        <v>1</v>
      </c>
      <c r="D1" t="s">
        <v>58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11</v>
      </c>
      <c r="L1" t="s">
        <v>10</v>
      </c>
      <c r="M1" t="s">
        <v>9</v>
      </c>
      <c r="N1" t="s">
        <v>59</v>
      </c>
      <c r="O1" t="s">
        <v>60</v>
      </c>
      <c r="P1" t="s">
        <v>75</v>
      </c>
    </row>
    <row r="2" spans="1:16" x14ac:dyDescent="0.35">
      <c r="A2">
        <v>1</v>
      </c>
      <c r="B2" t="s">
        <v>63</v>
      </c>
      <c r="C2" t="s">
        <v>62</v>
      </c>
      <c r="D2" t="s">
        <v>66</v>
      </c>
      <c r="E2" t="s">
        <v>70</v>
      </c>
      <c r="F2">
        <v>1</v>
      </c>
      <c r="G2">
        <v>16400</v>
      </c>
      <c r="H2">
        <v>1</v>
      </c>
      <c r="I2" t="s">
        <v>67</v>
      </c>
      <c r="J2">
        <v>12</v>
      </c>
      <c r="K2" t="s">
        <v>14</v>
      </c>
      <c r="L2" t="s">
        <v>50</v>
      </c>
      <c r="M2" t="s">
        <v>35</v>
      </c>
      <c r="N2" s="25">
        <v>40839</v>
      </c>
      <c r="O2">
        <v>217.691</v>
      </c>
      <c r="P2">
        <v>217.691</v>
      </c>
    </row>
    <row r="3" spans="1:16" x14ac:dyDescent="0.35">
      <c r="A3">
        <v>2</v>
      </c>
      <c r="B3" t="s">
        <v>64</v>
      </c>
      <c r="C3" t="s">
        <v>62</v>
      </c>
      <c r="D3" t="s">
        <v>58</v>
      </c>
      <c r="E3" t="s">
        <v>2</v>
      </c>
      <c r="F3">
        <v>0</v>
      </c>
      <c r="G3">
        <v>108100</v>
      </c>
      <c r="H3">
        <v>3</v>
      </c>
      <c r="I3" t="s">
        <v>69</v>
      </c>
      <c r="J3">
        <v>18</v>
      </c>
      <c r="K3" t="s">
        <v>13</v>
      </c>
      <c r="L3" t="s">
        <v>43</v>
      </c>
      <c r="M3" t="s">
        <v>23</v>
      </c>
      <c r="N3" s="25">
        <v>39958</v>
      </c>
      <c r="O3">
        <v>2632.462</v>
      </c>
      <c r="P3">
        <v>2632.462</v>
      </c>
    </row>
    <row r="4" spans="1:16" x14ac:dyDescent="0.35">
      <c r="A4">
        <v>3</v>
      </c>
      <c r="B4" t="s">
        <v>64</v>
      </c>
      <c r="C4" t="s">
        <v>61</v>
      </c>
      <c r="D4" t="s">
        <v>58</v>
      </c>
      <c r="E4" t="s">
        <v>2</v>
      </c>
      <c r="F4">
        <v>1</v>
      </c>
      <c r="G4">
        <v>97300</v>
      </c>
      <c r="H4">
        <v>1</v>
      </c>
      <c r="I4" t="s">
        <v>8</v>
      </c>
      <c r="J4">
        <v>12</v>
      </c>
      <c r="K4" t="s">
        <v>14</v>
      </c>
      <c r="L4" t="s">
        <v>50</v>
      </c>
      <c r="M4" t="s">
        <v>35</v>
      </c>
      <c r="N4" s="25">
        <v>42234</v>
      </c>
      <c r="O4">
        <v>3047.5630000000001</v>
      </c>
      <c r="P4">
        <v>3047.5630000000001</v>
      </c>
    </row>
    <row r="5" spans="1:16" x14ac:dyDescent="0.35">
      <c r="A5">
        <v>4</v>
      </c>
      <c r="B5" t="s">
        <v>65</v>
      </c>
      <c r="C5" t="s">
        <v>61</v>
      </c>
      <c r="D5" t="s">
        <v>58</v>
      </c>
      <c r="E5" t="s">
        <v>2</v>
      </c>
      <c r="F5">
        <v>1</v>
      </c>
      <c r="G5">
        <v>26800</v>
      </c>
      <c r="H5">
        <v>0</v>
      </c>
      <c r="I5" t="s">
        <v>67</v>
      </c>
      <c r="J5">
        <v>12</v>
      </c>
      <c r="K5" t="s">
        <v>15</v>
      </c>
      <c r="L5" t="s">
        <v>42</v>
      </c>
      <c r="M5" t="s">
        <v>32</v>
      </c>
      <c r="N5" s="25">
        <v>41269</v>
      </c>
      <c r="O5">
        <v>434.60599999999999</v>
      </c>
      <c r="P5">
        <v>434.60599999999999</v>
      </c>
    </row>
    <row r="6" spans="1:16" x14ac:dyDescent="0.35">
      <c r="A6">
        <v>5</v>
      </c>
      <c r="B6" t="s">
        <v>63</v>
      </c>
      <c r="C6" t="s">
        <v>61</v>
      </c>
      <c r="D6" t="s">
        <v>66</v>
      </c>
      <c r="E6" t="s">
        <v>70</v>
      </c>
      <c r="F6">
        <v>1</v>
      </c>
      <c r="G6">
        <v>11200</v>
      </c>
      <c r="H6">
        <v>0</v>
      </c>
      <c r="I6" t="s">
        <v>8</v>
      </c>
      <c r="J6">
        <v>6</v>
      </c>
      <c r="K6" t="s">
        <v>13</v>
      </c>
      <c r="L6" t="s">
        <v>43</v>
      </c>
      <c r="M6" t="s">
        <v>23</v>
      </c>
      <c r="N6" s="25">
        <v>42220</v>
      </c>
      <c r="O6">
        <v>105.624</v>
      </c>
      <c r="P6">
        <v>105.624</v>
      </c>
    </row>
    <row r="7" spans="1:16" x14ac:dyDescent="0.35">
      <c r="A7">
        <v>6</v>
      </c>
      <c r="B7" t="s">
        <v>64</v>
      </c>
      <c r="C7" t="s">
        <v>62</v>
      </c>
      <c r="D7" t="s">
        <v>66</v>
      </c>
      <c r="E7" t="s">
        <v>70</v>
      </c>
      <c r="F7">
        <v>1</v>
      </c>
      <c r="G7">
        <v>42800</v>
      </c>
      <c r="H7">
        <v>0</v>
      </c>
      <c r="I7" t="s">
        <v>68</v>
      </c>
      <c r="J7">
        <v>12</v>
      </c>
      <c r="K7" t="s">
        <v>12</v>
      </c>
      <c r="L7" t="s">
        <v>53</v>
      </c>
      <c r="M7" t="s">
        <v>19</v>
      </c>
      <c r="N7" s="25">
        <v>41337</v>
      </c>
      <c r="O7">
        <v>758.649</v>
      </c>
      <c r="P7">
        <v>758.649</v>
      </c>
    </row>
    <row r="8" spans="1:16" x14ac:dyDescent="0.35">
      <c r="A8">
        <v>7</v>
      </c>
      <c r="B8" t="s">
        <v>64</v>
      </c>
      <c r="C8" t="s">
        <v>62</v>
      </c>
      <c r="D8" t="s">
        <v>66</v>
      </c>
      <c r="E8" t="s">
        <v>70</v>
      </c>
      <c r="F8">
        <v>1</v>
      </c>
      <c r="G8">
        <v>34700</v>
      </c>
      <c r="H8">
        <v>0</v>
      </c>
      <c r="I8" t="s">
        <v>8</v>
      </c>
      <c r="J8">
        <v>18</v>
      </c>
      <c r="K8" t="s">
        <v>13</v>
      </c>
      <c r="L8" t="s">
        <v>46</v>
      </c>
      <c r="M8" t="s">
        <v>22</v>
      </c>
      <c r="N8" s="25">
        <v>42166</v>
      </c>
      <c r="O8">
        <v>1614.5119999999999</v>
      </c>
      <c r="P8">
        <v>1614.5119999999999</v>
      </c>
    </row>
    <row r="9" spans="1:16" x14ac:dyDescent="0.35">
      <c r="A9">
        <v>8</v>
      </c>
      <c r="B9" t="s">
        <v>65</v>
      </c>
      <c r="C9" t="s">
        <v>62</v>
      </c>
      <c r="D9" t="s">
        <v>58</v>
      </c>
      <c r="E9" t="s">
        <v>2</v>
      </c>
      <c r="F9">
        <v>0</v>
      </c>
      <c r="G9">
        <v>80000</v>
      </c>
      <c r="H9">
        <v>0</v>
      </c>
      <c r="I9" t="s">
        <v>69</v>
      </c>
      <c r="J9">
        <v>6</v>
      </c>
      <c r="K9" t="s">
        <v>12</v>
      </c>
      <c r="L9" t="s">
        <v>47</v>
      </c>
      <c r="M9" t="s">
        <v>18</v>
      </c>
      <c r="N9" s="25">
        <v>40042</v>
      </c>
      <c r="O9">
        <v>1984.66</v>
      </c>
      <c r="P9">
        <v>1984.66</v>
      </c>
    </row>
    <row r="10" spans="1:16" x14ac:dyDescent="0.35">
      <c r="A10">
        <v>9</v>
      </c>
      <c r="B10" t="s">
        <v>64</v>
      </c>
      <c r="C10" t="s">
        <v>61</v>
      </c>
      <c r="D10" t="s">
        <v>58</v>
      </c>
      <c r="E10" t="s">
        <v>70</v>
      </c>
      <c r="F10">
        <v>1</v>
      </c>
      <c r="G10">
        <v>60300</v>
      </c>
      <c r="H10">
        <v>0</v>
      </c>
      <c r="I10" t="s">
        <v>8</v>
      </c>
      <c r="J10">
        <v>24</v>
      </c>
      <c r="K10" t="s">
        <v>13</v>
      </c>
      <c r="L10" t="s">
        <v>43</v>
      </c>
      <c r="M10" t="s">
        <v>23</v>
      </c>
      <c r="N10" s="25">
        <v>42153</v>
      </c>
      <c r="O10">
        <v>2091.422</v>
      </c>
      <c r="P10">
        <v>2091.422</v>
      </c>
    </row>
    <row r="11" spans="1:16" x14ac:dyDescent="0.35">
      <c r="A11">
        <v>10</v>
      </c>
      <c r="B11" t="s">
        <v>65</v>
      </c>
      <c r="C11" t="s">
        <v>61</v>
      </c>
      <c r="D11" t="s">
        <v>58</v>
      </c>
      <c r="E11" t="s">
        <v>2</v>
      </c>
      <c r="F11">
        <v>0</v>
      </c>
      <c r="G11">
        <v>62300</v>
      </c>
      <c r="H11">
        <v>0</v>
      </c>
      <c r="I11" t="s">
        <v>69</v>
      </c>
      <c r="J11">
        <v>24</v>
      </c>
      <c r="K11" t="s">
        <v>14</v>
      </c>
      <c r="L11" t="s">
        <v>50</v>
      </c>
      <c r="M11" t="s">
        <v>35</v>
      </c>
      <c r="N11" s="25">
        <v>40703</v>
      </c>
      <c r="O11">
        <v>2644.4180000000001</v>
      </c>
      <c r="P11">
        <v>2644.4180000000001</v>
      </c>
    </row>
    <row r="12" spans="1:16" x14ac:dyDescent="0.35">
      <c r="A12">
        <v>11</v>
      </c>
      <c r="B12" t="s">
        <v>64</v>
      </c>
      <c r="C12" t="s">
        <v>61</v>
      </c>
      <c r="D12" t="s">
        <v>66</v>
      </c>
      <c r="E12" t="s">
        <v>2</v>
      </c>
      <c r="F12">
        <v>1</v>
      </c>
      <c r="G12">
        <v>94200</v>
      </c>
      <c r="H12">
        <v>1</v>
      </c>
      <c r="I12" t="s">
        <v>69</v>
      </c>
      <c r="J12">
        <v>18</v>
      </c>
      <c r="K12" t="s">
        <v>15</v>
      </c>
      <c r="L12" t="s">
        <v>28</v>
      </c>
      <c r="M12" t="s">
        <v>33</v>
      </c>
      <c r="N12" s="25">
        <v>40660</v>
      </c>
      <c r="O12">
        <v>1211.05</v>
      </c>
      <c r="P12">
        <v>1211.05</v>
      </c>
    </row>
    <row r="13" spans="1:16" x14ac:dyDescent="0.35">
      <c r="A13">
        <v>12</v>
      </c>
      <c r="B13" t="s">
        <v>64</v>
      </c>
      <c r="C13" t="s">
        <v>61</v>
      </c>
      <c r="D13" t="s">
        <v>58</v>
      </c>
      <c r="E13" t="s">
        <v>2</v>
      </c>
      <c r="F13">
        <v>0</v>
      </c>
      <c r="G13">
        <v>73800</v>
      </c>
      <c r="H13">
        <v>0</v>
      </c>
      <c r="I13" t="s">
        <v>69</v>
      </c>
      <c r="J13">
        <v>24</v>
      </c>
      <c r="K13" t="s">
        <v>12</v>
      </c>
      <c r="L13" t="s">
        <v>54</v>
      </c>
      <c r="M13" t="s">
        <v>21</v>
      </c>
      <c r="N13" s="25">
        <v>40768</v>
      </c>
      <c r="O13">
        <v>3119.614</v>
      </c>
      <c r="P13">
        <v>3119.614</v>
      </c>
    </row>
    <row r="14" spans="1:16" x14ac:dyDescent="0.35">
      <c r="A14">
        <v>13</v>
      </c>
      <c r="B14" t="s">
        <v>64</v>
      </c>
      <c r="C14" t="s">
        <v>61</v>
      </c>
      <c r="D14" t="s">
        <v>58</v>
      </c>
      <c r="E14" t="s">
        <v>70</v>
      </c>
      <c r="F14">
        <v>1</v>
      </c>
      <c r="G14">
        <v>45900</v>
      </c>
      <c r="H14">
        <v>2</v>
      </c>
      <c r="I14" t="s">
        <v>67</v>
      </c>
      <c r="J14">
        <v>12</v>
      </c>
      <c r="K14" t="s">
        <v>14</v>
      </c>
      <c r="L14" t="s">
        <v>51</v>
      </c>
      <c r="M14" t="s">
        <v>38</v>
      </c>
      <c r="N14" s="25">
        <v>40696</v>
      </c>
      <c r="O14">
        <v>416.15</v>
      </c>
      <c r="P14">
        <v>416.15</v>
      </c>
    </row>
    <row r="15" spans="1:16" x14ac:dyDescent="0.35">
      <c r="A15">
        <v>14</v>
      </c>
      <c r="B15" t="s">
        <v>64</v>
      </c>
      <c r="C15" t="s">
        <v>61</v>
      </c>
      <c r="D15" t="s">
        <v>66</v>
      </c>
      <c r="E15" t="s">
        <v>70</v>
      </c>
      <c r="F15">
        <v>0</v>
      </c>
      <c r="G15">
        <v>52600</v>
      </c>
      <c r="H15">
        <v>1</v>
      </c>
      <c r="I15" t="s">
        <v>8</v>
      </c>
      <c r="J15">
        <v>18</v>
      </c>
      <c r="K15" t="s">
        <v>15</v>
      </c>
      <c r="L15" t="s">
        <v>28</v>
      </c>
      <c r="M15" t="s">
        <v>33</v>
      </c>
      <c r="N15" s="25">
        <v>42102</v>
      </c>
      <c r="O15">
        <v>1773.11</v>
      </c>
      <c r="P15">
        <v>1773.11</v>
      </c>
    </row>
    <row r="16" spans="1:16" x14ac:dyDescent="0.35">
      <c r="A16">
        <v>15</v>
      </c>
      <c r="B16" t="s">
        <v>64</v>
      </c>
      <c r="C16" t="s">
        <v>62</v>
      </c>
      <c r="D16" t="s">
        <v>58</v>
      </c>
      <c r="E16" t="s">
        <v>2</v>
      </c>
      <c r="F16">
        <v>1</v>
      </c>
      <c r="G16">
        <v>82200</v>
      </c>
      <c r="H16">
        <v>1</v>
      </c>
      <c r="I16" t="s">
        <v>8</v>
      </c>
      <c r="J16">
        <v>12</v>
      </c>
      <c r="K16" t="s">
        <v>12</v>
      </c>
      <c r="L16" t="s">
        <v>47</v>
      </c>
      <c r="M16" t="s">
        <v>16</v>
      </c>
      <c r="N16" s="25">
        <v>42109</v>
      </c>
      <c r="O16">
        <v>1517.4069999999999</v>
      </c>
      <c r="P16">
        <v>1517.4069999999999</v>
      </c>
    </row>
    <row r="17" spans="1:16" x14ac:dyDescent="0.35">
      <c r="A17">
        <v>16</v>
      </c>
      <c r="B17" t="s">
        <v>64</v>
      </c>
      <c r="C17" t="s">
        <v>62</v>
      </c>
      <c r="D17" t="s">
        <v>58</v>
      </c>
      <c r="E17" t="s">
        <v>2</v>
      </c>
      <c r="F17">
        <v>1</v>
      </c>
      <c r="G17">
        <v>76700</v>
      </c>
      <c r="H17">
        <v>2</v>
      </c>
      <c r="I17" t="s">
        <v>68</v>
      </c>
      <c r="J17">
        <v>6</v>
      </c>
      <c r="K17" t="s">
        <v>15</v>
      </c>
      <c r="L17" t="s">
        <v>52</v>
      </c>
      <c r="M17" t="s">
        <v>30</v>
      </c>
      <c r="N17" s="25">
        <v>41118</v>
      </c>
      <c r="O17">
        <v>533.86800000000005</v>
      </c>
      <c r="P17">
        <v>533.86800000000005</v>
      </c>
    </row>
    <row r="18" spans="1:16" x14ac:dyDescent="0.35">
      <c r="A18">
        <v>17</v>
      </c>
      <c r="B18" t="s">
        <v>64</v>
      </c>
      <c r="C18" t="s">
        <v>62</v>
      </c>
      <c r="D18" t="s">
        <v>58</v>
      </c>
      <c r="E18" t="s">
        <v>2</v>
      </c>
      <c r="F18">
        <v>1</v>
      </c>
      <c r="G18">
        <v>79400</v>
      </c>
      <c r="H18">
        <v>3</v>
      </c>
      <c r="I18" t="s">
        <v>67</v>
      </c>
      <c r="J18">
        <v>6</v>
      </c>
      <c r="K18" t="s">
        <v>14</v>
      </c>
      <c r="L18" t="s">
        <v>49</v>
      </c>
      <c r="M18" t="s">
        <v>39</v>
      </c>
      <c r="N18" s="25">
        <v>42064</v>
      </c>
      <c r="O18">
        <v>199.64699999999999</v>
      </c>
      <c r="P18">
        <v>199.64699999999999</v>
      </c>
    </row>
    <row r="19" spans="1:16" x14ac:dyDescent="0.35">
      <c r="A19">
        <v>18</v>
      </c>
      <c r="B19" t="s">
        <v>64</v>
      </c>
      <c r="C19" t="s">
        <v>61</v>
      </c>
      <c r="D19" t="s">
        <v>58</v>
      </c>
      <c r="E19" t="s">
        <v>2</v>
      </c>
      <c r="F19">
        <v>1</v>
      </c>
      <c r="G19">
        <v>66900</v>
      </c>
      <c r="H19">
        <v>0</v>
      </c>
      <c r="I19" t="s">
        <v>69</v>
      </c>
      <c r="J19">
        <v>12</v>
      </c>
      <c r="K19" t="s">
        <v>12</v>
      </c>
      <c r="L19" t="s">
        <v>55</v>
      </c>
      <c r="M19" t="s">
        <v>17</v>
      </c>
      <c r="N19" s="25">
        <v>39945</v>
      </c>
      <c r="O19">
        <v>1220.2339999999999</v>
      </c>
      <c r="P19">
        <v>1220.2339999999999</v>
      </c>
    </row>
    <row r="20" spans="1:16" x14ac:dyDescent="0.35">
      <c r="A20">
        <v>19</v>
      </c>
      <c r="B20" t="s">
        <v>63</v>
      </c>
      <c r="C20" t="s">
        <v>62</v>
      </c>
      <c r="D20" t="s">
        <v>66</v>
      </c>
      <c r="E20" t="s">
        <v>70</v>
      </c>
      <c r="F20">
        <v>1</v>
      </c>
      <c r="G20">
        <v>12400</v>
      </c>
      <c r="H20">
        <v>1</v>
      </c>
      <c r="I20" t="s">
        <v>8</v>
      </c>
      <c r="J20">
        <v>12</v>
      </c>
      <c r="K20" t="s">
        <v>14</v>
      </c>
      <c r="L20" t="s">
        <v>50</v>
      </c>
      <c r="M20" t="s">
        <v>34</v>
      </c>
      <c r="N20" s="25">
        <v>42117</v>
      </c>
      <c r="O20">
        <v>228.99600000000001</v>
      </c>
      <c r="P20">
        <v>228.99600000000001</v>
      </c>
    </row>
    <row r="21" spans="1:16" x14ac:dyDescent="0.35">
      <c r="A21">
        <v>20</v>
      </c>
      <c r="B21" t="s">
        <v>63</v>
      </c>
      <c r="C21" t="s">
        <v>61</v>
      </c>
      <c r="D21" t="s">
        <v>66</v>
      </c>
      <c r="E21" t="s">
        <v>2</v>
      </c>
      <c r="F21">
        <v>1</v>
      </c>
      <c r="G21">
        <v>52600</v>
      </c>
      <c r="H21">
        <v>1</v>
      </c>
      <c r="I21" t="s">
        <v>68</v>
      </c>
      <c r="J21">
        <v>12</v>
      </c>
      <c r="K21" t="s">
        <v>14</v>
      </c>
      <c r="L21" t="s">
        <v>51</v>
      </c>
      <c r="M21" t="s">
        <v>38</v>
      </c>
      <c r="N21" s="25">
        <v>40691</v>
      </c>
      <c r="O21">
        <v>1052.2629999999999</v>
      </c>
      <c r="P21">
        <v>1052.2629999999999</v>
      </c>
    </row>
    <row r="22" spans="1:16" x14ac:dyDescent="0.35">
      <c r="A22">
        <v>21</v>
      </c>
      <c r="B22" t="s">
        <v>65</v>
      </c>
      <c r="C22" t="s">
        <v>62</v>
      </c>
      <c r="D22" t="s">
        <v>58</v>
      </c>
      <c r="E22" t="s">
        <v>70</v>
      </c>
      <c r="F22">
        <v>0</v>
      </c>
      <c r="G22">
        <v>28300</v>
      </c>
      <c r="H22">
        <v>0</v>
      </c>
      <c r="I22" t="s">
        <v>68</v>
      </c>
      <c r="J22">
        <v>24</v>
      </c>
      <c r="K22" t="s">
        <v>13</v>
      </c>
      <c r="L22" t="s">
        <v>56</v>
      </c>
      <c r="M22" t="s">
        <v>24</v>
      </c>
      <c r="N22" s="25">
        <v>40112</v>
      </c>
      <c r="O22">
        <v>932.84299999999996</v>
      </c>
      <c r="P22">
        <v>932.84299999999996</v>
      </c>
    </row>
    <row r="23" spans="1:16" x14ac:dyDescent="0.35">
      <c r="A23">
        <v>22</v>
      </c>
      <c r="B23" t="s">
        <v>64</v>
      </c>
      <c r="C23" t="s">
        <v>61</v>
      </c>
      <c r="D23" t="s">
        <v>58</v>
      </c>
      <c r="E23" t="s">
        <v>70</v>
      </c>
      <c r="F23">
        <v>0</v>
      </c>
      <c r="G23">
        <v>53900</v>
      </c>
      <c r="H23">
        <v>0</v>
      </c>
      <c r="I23" t="s">
        <v>8</v>
      </c>
      <c r="J23">
        <v>12</v>
      </c>
      <c r="K23" t="s">
        <v>14</v>
      </c>
      <c r="L23" t="s">
        <v>40</v>
      </c>
      <c r="M23" t="s">
        <v>37</v>
      </c>
      <c r="N23" s="25">
        <v>42034</v>
      </c>
      <c r="O23">
        <v>1186.123</v>
      </c>
      <c r="P23">
        <v>1186.123</v>
      </c>
    </row>
    <row r="24" spans="1:16" x14ac:dyDescent="0.35">
      <c r="A24">
        <v>23</v>
      </c>
      <c r="B24" t="s">
        <v>65</v>
      </c>
      <c r="C24" t="s">
        <v>62</v>
      </c>
      <c r="D24" t="s">
        <v>66</v>
      </c>
      <c r="E24" t="s">
        <v>70</v>
      </c>
      <c r="F24">
        <v>1</v>
      </c>
      <c r="G24">
        <v>28900</v>
      </c>
      <c r="H24">
        <v>0</v>
      </c>
      <c r="I24" t="s">
        <v>67</v>
      </c>
      <c r="J24">
        <v>12</v>
      </c>
      <c r="K24" t="s">
        <v>14</v>
      </c>
      <c r="L24" t="s">
        <v>49</v>
      </c>
      <c r="M24" t="s">
        <v>39</v>
      </c>
      <c r="N24" s="25">
        <v>40552</v>
      </c>
      <c r="O24">
        <v>830.23299999999995</v>
      </c>
      <c r="P24">
        <v>830.23299999999995</v>
      </c>
    </row>
    <row r="25" spans="1:16" x14ac:dyDescent="0.35">
      <c r="A25">
        <v>24</v>
      </c>
      <c r="B25" t="s">
        <v>63</v>
      </c>
      <c r="C25" t="s">
        <v>62</v>
      </c>
      <c r="D25" t="s">
        <v>66</v>
      </c>
      <c r="E25" t="s">
        <v>70</v>
      </c>
      <c r="F25">
        <v>1</v>
      </c>
      <c r="G25">
        <v>15900</v>
      </c>
      <c r="H25">
        <v>0</v>
      </c>
      <c r="I25" t="s">
        <v>8</v>
      </c>
      <c r="J25">
        <v>18</v>
      </c>
      <c r="K25" t="s">
        <v>15</v>
      </c>
      <c r="L25" t="s">
        <v>42</v>
      </c>
      <c r="M25" t="s">
        <v>32</v>
      </c>
      <c r="N25" s="25">
        <v>42168</v>
      </c>
      <c r="O25">
        <v>405.62</v>
      </c>
      <c r="P25">
        <v>405.62</v>
      </c>
    </row>
    <row r="26" spans="1:16" x14ac:dyDescent="0.35">
      <c r="A26">
        <v>25</v>
      </c>
      <c r="B26" t="s">
        <v>64</v>
      </c>
      <c r="C26" t="s">
        <v>61</v>
      </c>
      <c r="D26" t="s">
        <v>66</v>
      </c>
      <c r="E26" t="s">
        <v>70</v>
      </c>
      <c r="F26">
        <v>1</v>
      </c>
      <c r="G26">
        <v>50700</v>
      </c>
      <c r="H26">
        <v>3</v>
      </c>
      <c r="I26" t="s">
        <v>67</v>
      </c>
      <c r="J26">
        <v>6</v>
      </c>
      <c r="K26" t="s">
        <v>13</v>
      </c>
      <c r="L26" t="s">
        <v>42</v>
      </c>
      <c r="M26" t="s">
        <v>25</v>
      </c>
      <c r="N26" s="25">
        <v>41784</v>
      </c>
      <c r="O26">
        <v>156.77199999999999</v>
      </c>
      <c r="P26">
        <v>156.77199999999999</v>
      </c>
    </row>
    <row r="27" spans="1:16" x14ac:dyDescent="0.35">
      <c r="A27">
        <v>26</v>
      </c>
      <c r="B27" t="s">
        <v>63</v>
      </c>
      <c r="C27" t="s">
        <v>61</v>
      </c>
      <c r="D27" t="s">
        <v>66</v>
      </c>
      <c r="E27" t="s">
        <v>70</v>
      </c>
      <c r="F27">
        <v>0</v>
      </c>
      <c r="G27">
        <v>17800</v>
      </c>
      <c r="H27">
        <v>1</v>
      </c>
      <c r="I27" t="s">
        <v>8</v>
      </c>
      <c r="J27">
        <v>18</v>
      </c>
      <c r="K27" t="s">
        <v>14</v>
      </c>
      <c r="L27" t="s">
        <v>50</v>
      </c>
      <c r="M27" t="s">
        <v>34</v>
      </c>
      <c r="N27" s="25">
        <v>42143</v>
      </c>
      <c r="O27">
        <v>588.625</v>
      </c>
      <c r="P27">
        <v>588.625</v>
      </c>
    </row>
    <row r="28" spans="1:16" x14ac:dyDescent="0.35">
      <c r="A28">
        <v>27</v>
      </c>
      <c r="B28" t="s">
        <v>64</v>
      </c>
      <c r="C28" t="s">
        <v>62</v>
      </c>
      <c r="D28" t="s">
        <v>58</v>
      </c>
      <c r="E28" t="s">
        <v>70</v>
      </c>
      <c r="F28">
        <v>1</v>
      </c>
      <c r="G28">
        <v>51300</v>
      </c>
      <c r="H28">
        <v>0</v>
      </c>
      <c r="I28" t="s">
        <v>68</v>
      </c>
      <c r="J28">
        <v>24</v>
      </c>
      <c r="K28" t="s">
        <v>12</v>
      </c>
      <c r="L28" t="s">
        <v>47</v>
      </c>
      <c r="M28" t="s">
        <v>16</v>
      </c>
      <c r="N28" s="25">
        <v>41999</v>
      </c>
      <c r="O28">
        <v>1423.5889999999999</v>
      </c>
      <c r="P28">
        <v>1423.5889999999999</v>
      </c>
    </row>
    <row r="29" spans="1:16" x14ac:dyDescent="0.35">
      <c r="A29">
        <v>28</v>
      </c>
      <c r="B29" t="s">
        <v>65</v>
      </c>
      <c r="C29" t="s">
        <v>62</v>
      </c>
      <c r="D29" t="s">
        <v>58</v>
      </c>
      <c r="E29" t="s">
        <v>2</v>
      </c>
      <c r="F29">
        <v>1</v>
      </c>
      <c r="G29">
        <v>74400</v>
      </c>
      <c r="H29">
        <v>0</v>
      </c>
      <c r="I29" t="s">
        <v>69</v>
      </c>
      <c r="J29">
        <v>18</v>
      </c>
      <c r="K29" t="s">
        <v>15</v>
      </c>
      <c r="L29" t="s">
        <v>28</v>
      </c>
      <c r="M29" t="s">
        <v>33</v>
      </c>
      <c r="N29" s="25">
        <v>40335</v>
      </c>
      <c r="O29">
        <v>2478.5219999999999</v>
      </c>
      <c r="P29">
        <v>2478.5219999999999</v>
      </c>
    </row>
    <row r="30" spans="1:16" x14ac:dyDescent="0.35">
      <c r="A30">
        <v>29</v>
      </c>
      <c r="B30" t="s">
        <v>64</v>
      </c>
      <c r="C30" t="s">
        <v>62</v>
      </c>
      <c r="D30" t="s">
        <v>58</v>
      </c>
      <c r="E30" t="s">
        <v>2</v>
      </c>
      <c r="F30">
        <v>1</v>
      </c>
      <c r="G30">
        <v>88200</v>
      </c>
      <c r="H30">
        <v>0</v>
      </c>
      <c r="I30" t="s">
        <v>8</v>
      </c>
      <c r="J30">
        <v>24</v>
      </c>
      <c r="K30" t="s">
        <v>14</v>
      </c>
      <c r="L30" t="s">
        <v>50</v>
      </c>
      <c r="M30" t="s">
        <v>34</v>
      </c>
      <c r="N30" s="25">
        <v>42073</v>
      </c>
      <c r="O30">
        <v>2748.8110000000001</v>
      </c>
      <c r="P30">
        <v>2748.8110000000001</v>
      </c>
    </row>
    <row r="31" spans="1:16" x14ac:dyDescent="0.35">
      <c r="A31">
        <v>30</v>
      </c>
      <c r="B31" t="s">
        <v>64</v>
      </c>
      <c r="C31" t="s">
        <v>61</v>
      </c>
      <c r="D31" t="s">
        <v>58</v>
      </c>
      <c r="E31" t="s">
        <v>2</v>
      </c>
      <c r="F31">
        <v>0</v>
      </c>
      <c r="G31">
        <v>79000</v>
      </c>
      <c r="H31">
        <v>1</v>
      </c>
      <c r="I31" t="s">
        <v>69</v>
      </c>
      <c r="J31">
        <v>18</v>
      </c>
      <c r="K31" t="s">
        <v>15</v>
      </c>
      <c r="L31" t="s">
        <v>44</v>
      </c>
      <c r="M31" t="s">
        <v>29</v>
      </c>
      <c r="N31" s="25">
        <v>41367</v>
      </c>
      <c r="O31">
        <v>2278.8359999999998</v>
      </c>
      <c r="P31">
        <v>2278.8359999999998</v>
      </c>
    </row>
    <row r="32" spans="1:16" x14ac:dyDescent="0.35">
      <c r="A32">
        <v>31</v>
      </c>
      <c r="B32" t="s">
        <v>64</v>
      </c>
      <c r="C32" t="s">
        <v>62</v>
      </c>
      <c r="D32" t="s">
        <v>58</v>
      </c>
      <c r="E32" t="s">
        <v>70</v>
      </c>
      <c r="F32">
        <v>0</v>
      </c>
      <c r="G32">
        <v>55200</v>
      </c>
      <c r="H32">
        <v>0</v>
      </c>
      <c r="I32" t="s">
        <v>69</v>
      </c>
      <c r="J32">
        <v>18</v>
      </c>
      <c r="K32" t="s">
        <v>15</v>
      </c>
      <c r="L32" t="s">
        <v>28</v>
      </c>
      <c r="M32" t="s">
        <v>28</v>
      </c>
      <c r="N32" s="25">
        <v>40422</v>
      </c>
      <c r="O32">
        <v>1713.624</v>
      </c>
      <c r="P32">
        <v>1713.624</v>
      </c>
    </row>
    <row r="33" spans="1:16" x14ac:dyDescent="0.35">
      <c r="A33">
        <v>32</v>
      </c>
      <c r="B33" t="s">
        <v>64</v>
      </c>
      <c r="C33" t="s">
        <v>61</v>
      </c>
      <c r="D33" t="s">
        <v>58</v>
      </c>
      <c r="E33" t="s">
        <v>2</v>
      </c>
      <c r="F33">
        <v>1</v>
      </c>
      <c r="G33">
        <v>95800</v>
      </c>
      <c r="H33">
        <v>3</v>
      </c>
      <c r="I33" t="s">
        <v>67</v>
      </c>
      <c r="J33">
        <v>12</v>
      </c>
      <c r="K33" t="s">
        <v>13</v>
      </c>
      <c r="L33" t="s">
        <v>56</v>
      </c>
      <c r="M33" t="s">
        <v>24</v>
      </c>
      <c r="N33" s="25">
        <v>41306</v>
      </c>
      <c r="O33">
        <v>678.37800000000004</v>
      </c>
      <c r="P33">
        <v>678.37800000000004</v>
      </c>
    </row>
    <row r="34" spans="1:16" x14ac:dyDescent="0.35">
      <c r="A34">
        <v>33</v>
      </c>
      <c r="B34" t="s">
        <v>63</v>
      </c>
      <c r="C34" t="s">
        <v>62</v>
      </c>
      <c r="D34" t="s">
        <v>66</v>
      </c>
      <c r="E34" t="s">
        <v>70</v>
      </c>
      <c r="F34">
        <v>0</v>
      </c>
      <c r="G34">
        <v>13700</v>
      </c>
      <c r="H34">
        <v>2</v>
      </c>
      <c r="I34" t="s">
        <v>8</v>
      </c>
      <c r="J34">
        <v>24</v>
      </c>
      <c r="K34" t="s">
        <v>12</v>
      </c>
      <c r="L34" t="s">
        <v>53</v>
      </c>
      <c r="M34" t="s">
        <v>19</v>
      </c>
      <c r="N34" s="25">
        <v>42210</v>
      </c>
      <c r="O34">
        <v>414.05200000000002</v>
      </c>
      <c r="P34">
        <v>414.05200000000002</v>
      </c>
    </row>
    <row r="35" spans="1:16" x14ac:dyDescent="0.35">
      <c r="A35">
        <v>34</v>
      </c>
      <c r="B35" t="s">
        <v>64</v>
      </c>
      <c r="C35" t="s">
        <v>62</v>
      </c>
      <c r="D35" t="s">
        <v>58</v>
      </c>
      <c r="E35" t="s">
        <v>70</v>
      </c>
      <c r="F35">
        <v>1</v>
      </c>
      <c r="G35">
        <v>41300</v>
      </c>
      <c r="H35">
        <v>1</v>
      </c>
      <c r="I35" t="s">
        <v>8</v>
      </c>
      <c r="J35">
        <v>18</v>
      </c>
      <c r="K35" t="s">
        <v>15</v>
      </c>
      <c r="L35" t="s">
        <v>28</v>
      </c>
      <c r="M35" t="s">
        <v>28</v>
      </c>
      <c r="N35" s="25">
        <v>42175</v>
      </c>
      <c r="O35">
        <v>932.21400000000006</v>
      </c>
      <c r="P35">
        <v>932.21400000000006</v>
      </c>
    </row>
    <row r="36" spans="1:16" x14ac:dyDescent="0.35">
      <c r="A36">
        <v>35</v>
      </c>
      <c r="B36" t="s">
        <v>64</v>
      </c>
      <c r="C36" t="s">
        <v>61</v>
      </c>
      <c r="D36" t="s">
        <v>58</v>
      </c>
      <c r="E36" t="s">
        <v>70</v>
      </c>
      <c r="F36">
        <v>0</v>
      </c>
      <c r="G36">
        <v>65400</v>
      </c>
      <c r="H36">
        <v>1</v>
      </c>
      <c r="I36" t="s">
        <v>69</v>
      </c>
      <c r="J36">
        <v>12</v>
      </c>
      <c r="K36" t="s">
        <v>14</v>
      </c>
      <c r="L36" t="s">
        <v>50</v>
      </c>
      <c r="M36" t="s">
        <v>35</v>
      </c>
      <c r="N36" s="25">
        <v>40659</v>
      </c>
      <c r="O36">
        <v>2289.9679999999998</v>
      </c>
      <c r="P36">
        <v>2289.9679999999998</v>
      </c>
    </row>
    <row r="37" spans="1:16" x14ac:dyDescent="0.35">
      <c r="A37">
        <v>36</v>
      </c>
      <c r="B37" t="s">
        <v>63</v>
      </c>
      <c r="C37" t="s">
        <v>62</v>
      </c>
      <c r="D37" t="s">
        <v>58</v>
      </c>
      <c r="E37" t="s">
        <v>70</v>
      </c>
      <c r="F37">
        <v>0</v>
      </c>
      <c r="G37">
        <v>29600</v>
      </c>
      <c r="H37">
        <v>3</v>
      </c>
      <c r="I37" t="s">
        <v>8</v>
      </c>
      <c r="J37">
        <v>12</v>
      </c>
      <c r="K37" t="s">
        <v>15</v>
      </c>
      <c r="L37" t="s">
        <v>42</v>
      </c>
      <c r="M37" t="s">
        <v>32</v>
      </c>
      <c r="N37" s="25">
        <v>42154</v>
      </c>
      <c r="O37">
        <v>774.1</v>
      </c>
      <c r="P37">
        <v>774.1</v>
      </c>
    </row>
    <row r="38" spans="1:16" x14ac:dyDescent="0.35">
      <c r="A38">
        <v>37</v>
      </c>
      <c r="B38" t="s">
        <v>63</v>
      </c>
      <c r="C38" t="s">
        <v>61</v>
      </c>
      <c r="D38" t="s">
        <v>66</v>
      </c>
      <c r="E38" t="s">
        <v>2</v>
      </c>
      <c r="F38">
        <v>1</v>
      </c>
      <c r="G38">
        <v>49800</v>
      </c>
      <c r="H38">
        <v>0</v>
      </c>
      <c r="I38" t="s">
        <v>68</v>
      </c>
      <c r="J38">
        <v>12</v>
      </c>
      <c r="K38" t="s">
        <v>13</v>
      </c>
      <c r="L38" t="s">
        <v>42</v>
      </c>
      <c r="M38" t="s">
        <v>25</v>
      </c>
      <c r="N38" s="25">
        <v>41737</v>
      </c>
      <c r="O38">
        <v>827.34400000000005</v>
      </c>
      <c r="P38">
        <v>827.34400000000005</v>
      </c>
    </row>
    <row r="39" spans="1:16" x14ac:dyDescent="0.35">
      <c r="A39">
        <v>38</v>
      </c>
      <c r="B39" t="s">
        <v>64</v>
      </c>
      <c r="C39" t="s">
        <v>61</v>
      </c>
      <c r="D39" t="s">
        <v>58</v>
      </c>
      <c r="E39" t="s">
        <v>70</v>
      </c>
      <c r="F39">
        <v>1</v>
      </c>
      <c r="G39">
        <v>73700</v>
      </c>
      <c r="H39">
        <v>1</v>
      </c>
      <c r="I39" t="s">
        <v>68</v>
      </c>
      <c r="J39">
        <v>12</v>
      </c>
      <c r="K39" t="s">
        <v>14</v>
      </c>
      <c r="L39" t="s">
        <v>40</v>
      </c>
      <c r="M39" t="s">
        <v>37</v>
      </c>
      <c r="N39" s="25">
        <v>41501</v>
      </c>
      <c r="O39">
        <v>1273.7729999999999</v>
      </c>
      <c r="P39">
        <v>1273.7729999999999</v>
      </c>
    </row>
    <row r="40" spans="1:16" x14ac:dyDescent="0.35">
      <c r="A40">
        <v>39</v>
      </c>
      <c r="B40" t="s">
        <v>65</v>
      </c>
      <c r="C40" t="s">
        <v>62</v>
      </c>
      <c r="D40" t="s">
        <v>58</v>
      </c>
      <c r="E40" t="s">
        <v>70</v>
      </c>
      <c r="F40">
        <v>1</v>
      </c>
      <c r="G40">
        <v>39900</v>
      </c>
      <c r="H40">
        <v>0</v>
      </c>
      <c r="I40" t="s">
        <v>8</v>
      </c>
      <c r="J40">
        <v>6</v>
      </c>
      <c r="K40" t="s">
        <v>15</v>
      </c>
      <c r="L40" t="s">
        <v>28</v>
      </c>
      <c r="M40" t="s">
        <v>28</v>
      </c>
      <c r="N40" s="25">
        <v>42034</v>
      </c>
      <c r="O40">
        <v>619.43799999999999</v>
      </c>
      <c r="P40">
        <v>619.43799999999999</v>
      </c>
    </row>
    <row r="41" spans="1:16" x14ac:dyDescent="0.35">
      <c r="A41">
        <v>40</v>
      </c>
      <c r="B41" t="s">
        <v>63</v>
      </c>
      <c r="C41" t="s">
        <v>62</v>
      </c>
      <c r="D41" t="s">
        <v>66</v>
      </c>
      <c r="E41" t="s">
        <v>2</v>
      </c>
      <c r="F41">
        <v>1</v>
      </c>
      <c r="G41">
        <v>36600</v>
      </c>
      <c r="H41">
        <v>0</v>
      </c>
      <c r="I41" t="s">
        <v>68</v>
      </c>
      <c r="J41">
        <v>6</v>
      </c>
      <c r="K41" t="s">
        <v>15</v>
      </c>
      <c r="L41" t="s">
        <v>28</v>
      </c>
      <c r="M41" t="s">
        <v>33</v>
      </c>
      <c r="N41" s="25">
        <v>41121</v>
      </c>
      <c r="O41">
        <v>833.35400000000004</v>
      </c>
      <c r="P41">
        <v>833.35400000000004</v>
      </c>
    </row>
    <row r="42" spans="1:16" x14ac:dyDescent="0.35">
      <c r="A42">
        <v>41</v>
      </c>
      <c r="B42" t="s">
        <v>65</v>
      </c>
      <c r="C42" t="s">
        <v>61</v>
      </c>
      <c r="D42" t="s">
        <v>58</v>
      </c>
      <c r="E42" t="s">
        <v>2</v>
      </c>
      <c r="F42">
        <v>1</v>
      </c>
      <c r="G42">
        <v>51200</v>
      </c>
      <c r="H42">
        <v>0</v>
      </c>
      <c r="I42" t="s">
        <v>68</v>
      </c>
      <c r="J42">
        <v>12</v>
      </c>
      <c r="K42" t="s">
        <v>13</v>
      </c>
      <c r="L42" t="s">
        <v>46</v>
      </c>
      <c r="M42" t="s">
        <v>22</v>
      </c>
      <c r="N42" s="25">
        <v>40906</v>
      </c>
      <c r="O42">
        <v>1293.43</v>
      </c>
      <c r="P42">
        <v>1293.43</v>
      </c>
    </row>
    <row r="43" spans="1:16" x14ac:dyDescent="0.35">
      <c r="A43">
        <v>43</v>
      </c>
      <c r="B43" t="s">
        <v>64</v>
      </c>
      <c r="C43" t="s">
        <v>61</v>
      </c>
      <c r="D43" t="s">
        <v>58</v>
      </c>
      <c r="E43" t="s">
        <v>2</v>
      </c>
      <c r="F43">
        <v>1</v>
      </c>
      <c r="G43">
        <v>107300</v>
      </c>
      <c r="H43">
        <v>2</v>
      </c>
      <c r="I43" t="s">
        <v>68</v>
      </c>
      <c r="J43">
        <v>18</v>
      </c>
      <c r="K43" t="s">
        <v>12</v>
      </c>
      <c r="L43" t="s">
        <v>55</v>
      </c>
      <c r="M43" t="s">
        <v>17</v>
      </c>
      <c r="N43" s="25">
        <v>40117</v>
      </c>
      <c r="O43">
        <v>1566.222</v>
      </c>
      <c r="P43">
        <v>1566.222</v>
      </c>
    </row>
    <row r="44" spans="1:16" x14ac:dyDescent="0.35">
      <c r="A44">
        <v>44</v>
      </c>
      <c r="B44" t="s">
        <v>64</v>
      </c>
      <c r="C44" t="s">
        <v>61</v>
      </c>
      <c r="D44" t="s">
        <v>58</v>
      </c>
      <c r="E44" t="s">
        <v>2</v>
      </c>
      <c r="F44">
        <v>0</v>
      </c>
      <c r="G44">
        <v>90700</v>
      </c>
      <c r="H44">
        <v>3</v>
      </c>
      <c r="I44" t="s">
        <v>69</v>
      </c>
      <c r="J44">
        <v>24</v>
      </c>
      <c r="K44" t="s">
        <v>14</v>
      </c>
      <c r="L44" t="s">
        <v>50</v>
      </c>
      <c r="M44" t="s">
        <v>34</v>
      </c>
      <c r="N44" s="25">
        <v>40675</v>
      </c>
      <c r="O44">
        <v>2265.2979999999998</v>
      </c>
      <c r="P44">
        <v>2265.2979999999998</v>
      </c>
    </row>
    <row r="45" spans="1:16" x14ac:dyDescent="0.35">
      <c r="A45">
        <v>45</v>
      </c>
      <c r="B45" t="s">
        <v>64</v>
      </c>
      <c r="C45" t="s">
        <v>61</v>
      </c>
      <c r="D45" t="s">
        <v>58</v>
      </c>
      <c r="E45" t="s">
        <v>2</v>
      </c>
      <c r="F45">
        <v>0</v>
      </c>
      <c r="G45">
        <v>74400</v>
      </c>
      <c r="H45">
        <v>0</v>
      </c>
      <c r="I45" t="s">
        <v>69</v>
      </c>
      <c r="J45">
        <v>6</v>
      </c>
      <c r="K45" t="s">
        <v>12</v>
      </c>
      <c r="L45" t="s">
        <v>53</v>
      </c>
      <c r="M45" t="s">
        <v>19</v>
      </c>
      <c r="N45" s="25">
        <v>39852</v>
      </c>
      <c r="O45">
        <v>1892.6949999999999</v>
      </c>
      <c r="P45">
        <v>1892.6949999999999</v>
      </c>
    </row>
    <row r="46" spans="1:16" x14ac:dyDescent="0.35">
      <c r="A46">
        <v>46</v>
      </c>
      <c r="B46" t="s">
        <v>65</v>
      </c>
      <c r="C46" t="s">
        <v>61</v>
      </c>
      <c r="D46" t="s">
        <v>58</v>
      </c>
      <c r="E46" t="s">
        <v>2</v>
      </c>
      <c r="F46">
        <v>0</v>
      </c>
      <c r="G46">
        <v>15400</v>
      </c>
      <c r="H46">
        <v>0</v>
      </c>
      <c r="I46" t="s">
        <v>67</v>
      </c>
      <c r="J46">
        <v>6</v>
      </c>
      <c r="K46" t="s">
        <v>14</v>
      </c>
      <c r="L46" t="s">
        <v>49</v>
      </c>
      <c r="M46" t="s">
        <v>39</v>
      </c>
      <c r="N46" s="25">
        <v>40111</v>
      </c>
      <c r="O46">
        <v>297.29700000000003</v>
      </c>
      <c r="P46">
        <v>297.29700000000003</v>
      </c>
    </row>
    <row r="47" spans="1:16" x14ac:dyDescent="0.35">
      <c r="A47">
        <v>47</v>
      </c>
      <c r="B47" t="s">
        <v>63</v>
      </c>
      <c r="C47" t="s">
        <v>62</v>
      </c>
      <c r="D47" t="s">
        <v>66</v>
      </c>
      <c r="E47" t="s">
        <v>2</v>
      </c>
      <c r="F47">
        <v>1</v>
      </c>
      <c r="G47">
        <v>60100</v>
      </c>
      <c r="H47">
        <v>0</v>
      </c>
      <c r="I47" t="s">
        <v>8</v>
      </c>
      <c r="J47">
        <v>18</v>
      </c>
      <c r="K47" t="s">
        <v>13</v>
      </c>
      <c r="L47" t="s">
        <v>46</v>
      </c>
      <c r="M47" t="s">
        <v>22</v>
      </c>
      <c r="N47" s="25">
        <v>42188</v>
      </c>
      <c r="O47">
        <v>1593.683</v>
      </c>
      <c r="P47">
        <v>1593.683</v>
      </c>
    </row>
    <row r="48" spans="1:16" x14ac:dyDescent="0.35">
      <c r="A48">
        <v>48</v>
      </c>
      <c r="B48" t="s">
        <v>64</v>
      </c>
      <c r="C48" t="s">
        <v>62</v>
      </c>
      <c r="D48" t="s">
        <v>58</v>
      </c>
      <c r="E48" t="s">
        <v>2</v>
      </c>
      <c r="F48">
        <v>1</v>
      </c>
      <c r="G48">
        <v>81700</v>
      </c>
      <c r="H48">
        <v>3</v>
      </c>
      <c r="I48" t="s">
        <v>67</v>
      </c>
      <c r="J48">
        <v>24</v>
      </c>
      <c r="K48" t="s">
        <v>15</v>
      </c>
      <c r="L48" t="s">
        <v>52</v>
      </c>
      <c r="M48" t="s">
        <v>30</v>
      </c>
      <c r="N48" s="25">
        <v>41021</v>
      </c>
      <c r="O48">
        <v>879.43899999999996</v>
      </c>
      <c r="P48">
        <v>879.43899999999996</v>
      </c>
    </row>
    <row r="49" spans="1:16" x14ac:dyDescent="0.35">
      <c r="A49">
        <v>49</v>
      </c>
      <c r="B49" t="s">
        <v>65</v>
      </c>
      <c r="C49" t="s">
        <v>62</v>
      </c>
      <c r="D49" t="s">
        <v>58</v>
      </c>
      <c r="E49" t="s">
        <v>70</v>
      </c>
      <c r="F49">
        <v>1</v>
      </c>
      <c r="G49">
        <v>36100</v>
      </c>
      <c r="H49">
        <v>0</v>
      </c>
      <c r="I49" t="s">
        <v>68</v>
      </c>
      <c r="J49">
        <v>12</v>
      </c>
      <c r="K49" t="s">
        <v>14</v>
      </c>
      <c r="L49" t="s">
        <v>50</v>
      </c>
      <c r="M49" t="s">
        <v>34</v>
      </c>
      <c r="N49" s="25">
        <v>40200</v>
      </c>
      <c r="O49">
        <v>437.774</v>
      </c>
      <c r="P49">
        <v>437.774</v>
      </c>
    </row>
    <row r="50" spans="1:16" x14ac:dyDescent="0.35">
      <c r="A50">
        <v>50</v>
      </c>
      <c r="B50" t="s">
        <v>64</v>
      </c>
      <c r="C50" t="s">
        <v>62</v>
      </c>
      <c r="D50" t="s">
        <v>66</v>
      </c>
      <c r="E50" t="s">
        <v>70</v>
      </c>
      <c r="F50">
        <v>1</v>
      </c>
      <c r="G50">
        <v>47000</v>
      </c>
      <c r="H50">
        <v>0</v>
      </c>
      <c r="I50" t="s">
        <v>8</v>
      </c>
      <c r="J50">
        <v>6</v>
      </c>
      <c r="K50" t="s">
        <v>15</v>
      </c>
      <c r="L50" t="s">
        <v>52</v>
      </c>
      <c r="M50" t="s">
        <v>30</v>
      </c>
      <c r="N50" s="25">
        <v>42208</v>
      </c>
      <c r="O50">
        <v>962.84100000000001</v>
      </c>
      <c r="P50">
        <v>962.84100000000001</v>
      </c>
    </row>
    <row r="51" spans="1:16" x14ac:dyDescent="0.35">
      <c r="A51">
        <v>51</v>
      </c>
      <c r="B51" t="s">
        <v>64</v>
      </c>
      <c r="C51" t="s">
        <v>62</v>
      </c>
      <c r="D51" t="s">
        <v>66</v>
      </c>
      <c r="E51" t="s">
        <v>70</v>
      </c>
      <c r="F51">
        <v>1</v>
      </c>
      <c r="G51">
        <v>28200</v>
      </c>
      <c r="H51">
        <v>1</v>
      </c>
      <c r="I51" t="s">
        <v>67</v>
      </c>
      <c r="J51">
        <v>6</v>
      </c>
      <c r="K51" t="s">
        <v>15</v>
      </c>
      <c r="L51" t="s">
        <v>52</v>
      </c>
      <c r="M51" t="s">
        <v>30</v>
      </c>
      <c r="N51" s="25">
        <v>41567</v>
      </c>
      <c r="O51">
        <v>223.565</v>
      </c>
      <c r="P51">
        <v>223.565</v>
      </c>
    </row>
    <row r="52" spans="1:16" x14ac:dyDescent="0.35">
      <c r="A52">
        <v>52</v>
      </c>
      <c r="B52" t="s">
        <v>64</v>
      </c>
      <c r="C52" t="s">
        <v>61</v>
      </c>
      <c r="D52" t="s">
        <v>58</v>
      </c>
      <c r="E52" t="s">
        <v>70</v>
      </c>
      <c r="F52">
        <v>1</v>
      </c>
      <c r="G52">
        <v>56700</v>
      </c>
      <c r="H52">
        <v>2</v>
      </c>
      <c r="I52" t="s">
        <v>67</v>
      </c>
      <c r="J52">
        <v>18</v>
      </c>
      <c r="K52" t="s">
        <v>15</v>
      </c>
      <c r="L52" t="s">
        <v>44</v>
      </c>
      <c r="M52" t="s">
        <v>29</v>
      </c>
      <c r="N52" s="25">
        <v>39831</v>
      </c>
      <c r="O52">
        <v>535.60199999999998</v>
      </c>
      <c r="P52">
        <v>535.60199999999998</v>
      </c>
    </row>
    <row r="53" spans="1:16" x14ac:dyDescent="0.35">
      <c r="A53">
        <v>53</v>
      </c>
      <c r="B53" t="s">
        <v>63</v>
      </c>
      <c r="C53" t="s">
        <v>62</v>
      </c>
      <c r="D53" t="s">
        <v>66</v>
      </c>
      <c r="E53" t="s">
        <v>70</v>
      </c>
      <c r="F53">
        <v>0</v>
      </c>
      <c r="G53">
        <v>12600</v>
      </c>
      <c r="H53">
        <v>0</v>
      </c>
      <c r="I53" t="s">
        <v>67</v>
      </c>
      <c r="J53">
        <v>6</v>
      </c>
      <c r="K53" t="s">
        <v>13</v>
      </c>
      <c r="L53" t="s">
        <v>48</v>
      </c>
      <c r="M53" t="s">
        <v>27</v>
      </c>
      <c r="N53" s="25">
        <v>40830</v>
      </c>
      <c r="O53">
        <v>241.113</v>
      </c>
      <c r="P53">
        <v>241.113</v>
      </c>
    </row>
    <row r="54" spans="1:16" x14ac:dyDescent="0.35">
      <c r="A54">
        <v>54</v>
      </c>
      <c r="B54" t="s">
        <v>65</v>
      </c>
      <c r="C54" t="s">
        <v>62</v>
      </c>
      <c r="D54" t="s">
        <v>58</v>
      </c>
      <c r="E54" t="s">
        <v>2</v>
      </c>
      <c r="F54">
        <v>1</v>
      </c>
      <c r="G54">
        <v>21500</v>
      </c>
      <c r="H54">
        <v>0</v>
      </c>
      <c r="I54" t="s">
        <v>67</v>
      </c>
      <c r="J54">
        <v>18</v>
      </c>
      <c r="K54" t="s">
        <v>15</v>
      </c>
      <c r="L54" t="s">
        <v>28</v>
      </c>
      <c r="M54" t="s">
        <v>28</v>
      </c>
      <c r="N54" s="25">
        <v>40868</v>
      </c>
      <c r="O54">
        <v>444.98700000000002</v>
      </c>
      <c r="P54">
        <v>444.98700000000002</v>
      </c>
    </row>
    <row r="55" spans="1:16" x14ac:dyDescent="0.35">
      <c r="A55">
        <v>55</v>
      </c>
      <c r="B55" t="s">
        <v>64</v>
      </c>
      <c r="C55" t="s">
        <v>61</v>
      </c>
      <c r="D55" t="s">
        <v>58</v>
      </c>
      <c r="E55" t="s">
        <v>2</v>
      </c>
      <c r="F55">
        <v>0</v>
      </c>
      <c r="G55">
        <v>96800</v>
      </c>
      <c r="H55">
        <v>2</v>
      </c>
      <c r="I55" t="s">
        <v>69</v>
      </c>
      <c r="J55">
        <v>18</v>
      </c>
      <c r="K55" t="s">
        <v>13</v>
      </c>
      <c r="L55" t="s">
        <v>43</v>
      </c>
      <c r="M55" t="s">
        <v>23</v>
      </c>
      <c r="N55" s="25">
        <v>40186</v>
      </c>
      <c r="O55">
        <v>2299.4699999999998</v>
      </c>
      <c r="P55">
        <v>2299.4699999999998</v>
      </c>
    </row>
    <row r="56" spans="1:16" x14ac:dyDescent="0.35">
      <c r="A56">
        <v>56</v>
      </c>
      <c r="B56" t="s">
        <v>65</v>
      </c>
      <c r="C56" t="s">
        <v>62</v>
      </c>
      <c r="D56" t="s">
        <v>58</v>
      </c>
      <c r="E56" t="s">
        <v>70</v>
      </c>
      <c r="F56">
        <v>0</v>
      </c>
      <c r="G56">
        <v>22000</v>
      </c>
      <c r="H56">
        <v>0</v>
      </c>
      <c r="I56" t="s">
        <v>68</v>
      </c>
      <c r="J56">
        <v>12</v>
      </c>
      <c r="K56" t="s">
        <v>15</v>
      </c>
      <c r="L56" t="s">
        <v>44</v>
      </c>
      <c r="M56" t="s">
        <v>29</v>
      </c>
      <c r="N56" s="25">
        <v>40121</v>
      </c>
      <c r="O56">
        <v>736.029</v>
      </c>
      <c r="P56">
        <v>736.029</v>
      </c>
    </row>
    <row r="57" spans="1:16" x14ac:dyDescent="0.35">
      <c r="A57">
        <v>57</v>
      </c>
      <c r="B57" t="s">
        <v>64</v>
      </c>
      <c r="C57" t="s">
        <v>61</v>
      </c>
      <c r="D57" t="s">
        <v>58</v>
      </c>
      <c r="E57" t="s">
        <v>70</v>
      </c>
      <c r="F57">
        <v>1</v>
      </c>
      <c r="G57">
        <v>57600</v>
      </c>
      <c r="H57">
        <v>1</v>
      </c>
      <c r="I57" t="s">
        <v>8</v>
      </c>
      <c r="J57">
        <v>6</v>
      </c>
      <c r="K57" t="s">
        <v>14</v>
      </c>
      <c r="L57" t="s">
        <v>40</v>
      </c>
      <c r="M57" t="s">
        <v>37</v>
      </c>
      <c r="N57" s="25">
        <v>42143</v>
      </c>
      <c r="O57">
        <v>1005.577</v>
      </c>
      <c r="P57">
        <v>1005.577</v>
      </c>
    </row>
    <row r="58" spans="1:16" x14ac:dyDescent="0.35">
      <c r="A58">
        <v>58</v>
      </c>
      <c r="B58" t="s">
        <v>65</v>
      </c>
      <c r="C58" t="s">
        <v>61</v>
      </c>
      <c r="D58" t="s">
        <v>58</v>
      </c>
      <c r="E58" t="s">
        <v>70</v>
      </c>
      <c r="F58">
        <v>1</v>
      </c>
      <c r="G58">
        <v>65300</v>
      </c>
      <c r="H58">
        <v>0</v>
      </c>
      <c r="I58" t="s">
        <v>69</v>
      </c>
      <c r="J58">
        <v>18</v>
      </c>
      <c r="K58" t="s">
        <v>12</v>
      </c>
      <c r="L58" t="s">
        <v>47</v>
      </c>
      <c r="M58" t="s">
        <v>16</v>
      </c>
      <c r="N58" s="25">
        <v>40948</v>
      </c>
      <c r="O58">
        <v>1443.44</v>
      </c>
      <c r="P58">
        <v>1443.44</v>
      </c>
    </row>
    <row r="59" spans="1:16" x14ac:dyDescent="0.35">
      <c r="A59">
        <v>59</v>
      </c>
      <c r="B59" t="s">
        <v>64</v>
      </c>
      <c r="C59" t="s">
        <v>62</v>
      </c>
      <c r="D59" t="s">
        <v>58</v>
      </c>
      <c r="E59" t="s">
        <v>2</v>
      </c>
      <c r="F59">
        <v>1</v>
      </c>
      <c r="G59">
        <v>63300</v>
      </c>
      <c r="H59">
        <v>2</v>
      </c>
      <c r="I59" t="s">
        <v>68</v>
      </c>
      <c r="J59">
        <v>24</v>
      </c>
      <c r="K59" t="s">
        <v>14</v>
      </c>
      <c r="L59" t="s">
        <v>40</v>
      </c>
      <c r="M59" t="s">
        <v>37</v>
      </c>
      <c r="N59" s="25">
        <v>39953</v>
      </c>
      <c r="O59">
        <v>678.88900000000001</v>
      </c>
      <c r="P59">
        <v>678.88900000000001</v>
      </c>
    </row>
    <row r="60" spans="1:16" x14ac:dyDescent="0.35">
      <c r="A60">
        <v>60</v>
      </c>
      <c r="B60" t="s">
        <v>65</v>
      </c>
      <c r="C60" t="s">
        <v>62</v>
      </c>
      <c r="D60" t="s">
        <v>66</v>
      </c>
      <c r="E60" t="s">
        <v>2</v>
      </c>
      <c r="F60">
        <v>1</v>
      </c>
      <c r="G60">
        <v>38200</v>
      </c>
      <c r="H60">
        <v>0</v>
      </c>
      <c r="I60" t="s">
        <v>68</v>
      </c>
      <c r="J60">
        <v>6</v>
      </c>
      <c r="K60" t="s">
        <v>13</v>
      </c>
      <c r="L60" t="s">
        <v>45</v>
      </c>
      <c r="M60" t="s">
        <v>26</v>
      </c>
      <c r="N60" s="25">
        <v>41638</v>
      </c>
      <c r="O60">
        <v>526.34299999999996</v>
      </c>
      <c r="P60">
        <v>526.34299999999996</v>
      </c>
    </row>
    <row r="61" spans="1:16" x14ac:dyDescent="0.35">
      <c r="A61">
        <v>61</v>
      </c>
      <c r="B61" t="s">
        <v>63</v>
      </c>
      <c r="C61" t="s">
        <v>62</v>
      </c>
      <c r="D61" t="s">
        <v>66</v>
      </c>
      <c r="E61" t="s">
        <v>70</v>
      </c>
      <c r="F61">
        <v>1</v>
      </c>
      <c r="G61">
        <v>11000</v>
      </c>
      <c r="H61">
        <v>2</v>
      </c>
      <c r="I61" t="s">
        <v>8</v>
      </c>
      <c r="J61">
        <v>18</v>
      </c>
      <c r="K61" t="s">
        <v>15</v>
      </c>
      <c r="L61" t="s">
        <v>52</v>
      </c>
      <c r="M61" t="s">
        <v>30</v>
      </c>
      <c r="N61" s="25">
        <v>42135</v>
      </c>
      <c r="O61">
        <v>393.488</v>
      </c>
      <c r="P61">
        <v>393.488</v>
      </c>
    </row>
    <row r="62" spans="1:16" x14ac:dyDescent="0.35">
      <c r="A62">
        <v>62</v>
      </c>
      <c r="B62" t="s">
        <v>65</v>
      </c>
      <c r="C62" t="s">
        <v>62</v>
      </c>
      <c r="D62" t="s">
        <v>58</v>
      </c>
      <c r="E62" t="s">
        <v>70</v>
      </c>
      <c r="F62">
        <v>0</v>
      </c>
      <c r="G62">
        <v>24000</v>
      </c>
      <c r="H62">
        <v>1</v>
      </c>
      <c r="I62" t="s">
        <v>67</v>
      </c>
      <c r="J62">
        <v>6</v>
      </c>
      <c r="K62" t="s">
        <v>15</v>
      </c>
      <c r="L62" t="s">
        <v>42</v>
      </c>
      <c r="M62" t="s">
        <v>32</v>
      </c>
      <c r="N62" s="25">
        <v>40098</v>
      </c>
      <c r="O62">
        <v>356.89699999999999</v>
      </c>
      <c r="P62">
        <v>356.89699999999999</v>
      </c>
    </row>
    <row r="63" spans="1:16" x14ac:dyDescent="0.35">
      <c r="A63">
        <v>63</v>
      </c>
      <c r="B63" t="s">
        <v>64</v>
      </c>
      <c r="C63" t="s">
        <v>62</v>
      </c>
      <c r="D63" t="s">
        <v>58</v>
      </c>
      <c r="E63" t="s">
        <v>70</v>
      </c>
      <c r="F63">
        <v>1</v>
      </c>
      <c r="G63">
        <v>47600</v>
      </c>
      <c r="H63">
        <v>1</v>
      </c>
      <c r="I63" t="s">
        <v>68</v>
      </c>
      <c r="J63">
        <v>12</v>
      </c>
      <c r="K63" t="s">
        <v>13</v>
      </c>
      <c r="L63" t="s">
        <v>46</v>
      </c>
      <c r="M63" t="s">
        <v>22</v>
      </c>
      <c r="N63" s="25">
        <v>40845</v>
      </c>
      <c r="O63">
        <v>800.60500000000002</v>
      </c>
      <c r="P63">
        <v>800.60500000000002</v>
      </c>
    </row>
    <row r="64" spans="1:16" x14ac:dyDescent="0.35">
      <c r="A64">
        <v>64</v>
      </c>
      <c r="B64" t="s">
        <v>64</v>
      </c>
      <c r="C64" t="s">
        <v>61</v>
      </c>
      <c r="D64" t="s">
        <v>58</v>
      </c>
      <c r="E64" t="s">
        <v>2</v>
      </c>
      <c r="F64">
        <v>1</v>
      </c>
      <c r="G64">
        <v>87000</v>
      </c>
      <c r="H64">
        <v>0</v>
      </c>
      <c r="I64" t="s">
        <v>69</v>
      </c>
      <c r="J64">
        <v>24</v>
      </c>
      <c r="K64" t="s">
        <v>15</v>
      </c>
      <c r="L64" t="s">
        <v>42</v>
      </c>
      <c r="M64" t="s">
        <v>32</v>
      </c>
      <c r="N64" s="25">
        <v>41395</v>
      </c>
      <c r="O64">
        <v>1594.4590000000001</v>
      </c>
      <c r="P64">
        <v>1594.4590000000001</v>
      </c>
    </row>
    <row r="65" spans="1:16" x14ac:dyDescent="0.35">
      <c r="A65">
        <v>65</v>
      </c>
      <c r="B65" t="s">
        <v>64</v>
      </c>
      <c r="C65" t="s">
        <v>61</v>
      </c>
      <c r="D65" t="s">
        <v>66</v>
      </c>
      <c r="E65" t="s">
        <v>2</v>
      </c>
      <c r="F65">
        <v>1</v>
      </c>
      <c r="G65">
        <v>117700</v>
      </c>
      <c r="H65">
        <v>1</v>
      </c>
      <c r="I65" t="s">
        <v>69</v>
      </c>
      <c r="J65">
        <v>12</v>
      </c>
      <c r="K65" t="s">
        <v>12</v>
      </c>
      <c r="L65" t="s">
        <v>41</v>
      </c>
      <c r="M65" t="s">
        <v>20</v>
      </c>
      <c r="N65" s="25">
        <v>39957</v>
      </c>
      <c r="O65">
        <v>2103.8409999999999</v>
      </c>
      <c r="P65">
        <v>2103.8409999999999</v>
      </c>
    </row>
    <row r="66" spans="1:16" x14ac:dyDescent="0.35">
      <c r="A66">
        <v>66</v>
      </c>
      <c r="B66" t="s">
        <v>63</v>
      </c>
      <c r="C66" t="s">
        <v>62</v>
      </c>
      <c r="D66" t="s">
        <v>66</v>
      </c>
      <c r="E66" t="s">
        <v>2</v>
      </c>
      <c r="F66">
        <v>0</v>
      </c>
      <c r="G66">
        <v>30100</v>
      </c>
      <c r="H66">
        <v>0</v>
      </c>
      <c r="I66" t="s">
        <v>68</v>
      </c>
      <c r="J66">
        <v>12</v>
      </c>
      <c r="K66" t="s">
        <v>15</v>
      </c>
      <c r="L66" t="s">
        <v>42</v>
      </c>
      <c r="M66" t="s">
        <v>32</v>
      </c>
      <c r="N66" s="25">
        <v>41194</v>
      </c>
      <c r="O66">
        <v>530.26199999999994</v>
      </c>
      <c r="P66">
        <v>530.26199999999994</v>
      </c>
    </row>
    <row r="67" spans="1:16" x14ac:dyDescent="0.35">
      <c r="A67">
        <v>67</v>
      </c>
      <c r="B67" t="s">
        <v>65</v>
      </c>
      <c r="C67" t="s">
        <v>62</v>
      </c>
      <c r="D67" t="s">
        <v>58</v>
      </c>
      <c r="E67" t="s">
        <v>70</v>
      </c>
      <c r="F67">
        <v>1</v>
      </c>
      <c r="G67">
        <v>12800</v>
      </c>
      <c r="H67">
        <v>0</v>
      </c>
      <c r="I67" t="s">
        <v>8</v>
      </c>
      <c r="J67">
        <v>12</v>
      </c>
      <c r="K67" t="s">
        <v>14</v>
      </c>
      <c r="L67" t="s">
        <v>51</v>
      </c>
      <c r="M67" t="s">
        <v>38</v>
      </c>
      <c r="N67" s="25">
        <v>42058</v>
      </c>
      <c r="O67">
        <v>230.249</v>
      </c>
      <c r="P67">
        <v>230.249</v>
      </c>
    </row>
    <row r="68" spans="1:16" x14ac:dyDescent="0.35">
      <c r="A68">
        <v>68</v>
      </c>
      <c r="B68" t="s">
        <v>64</v>
      </c>
      <c r="C68" t="s">
        <v>61</v>
      </c>
      <c r="D68" t="s">
        <v>58</v>
      </c>
      <c r="E68" t="s">
        <v>70</v>
      </c>
      <c r="F68">
        <v>1</v>
      </c>
      <c r="G68">
        <v>63200</v>
      </c>
      <c r="H68">
        <v>0</v>
      </c>
      <c r="I68" t="s">
        <v>69</v>
      </c>
      <c r="J68">
        <v>24</v>
      </c>
      <c r="K68" t="s">
        <v>14</v>
      </c>
      <c r="L68" t="s">
        <v>50</v>
      </c>
      <c r="M68" t="s">
        <v>34</v>
      </c>
      <c r="N68" s="25">
        <v>39832</v>
      </c>
      <c r="O68">
        <v>1932.4469999999999</v>
      </c>
      <c r="P68">
        <v>1932.4469999999999</v>
      </c>
    </row>
    <row r="69" spans="1:16" x14ac:dyDescent="0.35">
      <c r="A69">
        <v>69</v>
      </c>
      <c r="B69" t="s">
        <v>63</v>
      </c>
      <c r="C69" t="s">
        <v>61</v>
      </c>
      <c r="D69" t="s">
        <v>66</v>
      </c>
      <c r="E69" t="s">
        <v>2</v>
      </c>
      <c r="F69">
        <v>0</v>
      </c>
      <c r="G69">
        <v>41600</v>
      </c>
      <c r="H69">
        <v>0</v>
      </c>
      <c r="I69" t="s">
        <v>69</v>
      </c>
      <c r="J69">
        <v>24</v>
      </c>
      <c r="K69" t="s">
        <v>15</v>
      </c>
      <c r="L69" t="s">
        <v>52</v>
      </c>
      <c r="M69" t="s">
        <v>31</v>
      </c>
      <c r="N69" s="25">
        <v>41031</v>
      </c>
      <c r="O69">
        <v>1690.318</v>
      </c>
      <c r="P69">
        <v>1690.318</v>
      </c>
    </row>
    <row r="70" spans="1:16" x14ac:dyDescent="0.35">
      <c r="A70">
        <v>70</v>
      </c>
      <c r="B70" t="s">
        <v>64</v>
      </c>
      <c r="C70" t="s">
        <v>61</v>
      </c>
      <c r="D70" t="s">
        <v>58</v>
      </c>
      <c r="E70" t="s">
        <v>2</v>
      </c>
      <c r="F70">
        <v>0</v>
      </c>
      <c r="G70">
        <v>75500</v>
      </c>
      <c r="H70">
        <v>0</v>
      </c>
      <c r="I70" t="s">
        <v>8</v>
      </c>
      <c r="J70">
        <v>18</v>
      </c>
      <c r="K70" t="s">
        <v>12</v>
      </c>
      <c r="L70" t="s">
        <v>47</v>
      </c>
      <c r="M70" t="s">
        <v>16</v>
      </c>
      <c r="N70" s="25">
        <v>42187</v>
      </c>
      <c r="O70">
        <v>2449.6579999999999</v>
      </c>
      <c r="P70">
        <v>2449.6579999999999</v>
      </c>
    </row>
    <row r="71" spans="1:16" x14ac:dyDescent="0.35">
      <c r="A71">
        <v>71</v>
      </c>
      <c r="B71" t="s">
        <v>65</v>
      </c>
      <c r="C71" t="s">
        <v>62</v>
      </c>
      <c r="D71" t="s">
        <v>58</v>
      </c>
      <c r="E71" t="s">
        <v>2</v>
      </c>
      <c r="F71">
        <v>1</v>
      </c>
      <c r="G71">
        <v>74900</v>
      </c>
      <c r="H71">
        <v>0</v>
      </c>
      <c r="I71" t="s">
        <v>69</v>
      </c>
      <c r="J71">
        <v>12</v>
      </c>
      <c r="K71" t="s">
        <v>12</v>
      </c>
      <c r="L71" t="s">
        <v>53</v>
      </c>
      <c r="M71" t="s">
        <v>19</v>
      </c>
      <c r="N71" s="25">
        <v>41651</v>
      </c>
      <c r="O71">
        <v>1473.961</v>
      </c>
      <c r="P71">
        <v>1473.961</v>
      </c>
    </row>
    <row r="72" spans="1:16" x14ac:dyDescent="0.35">
      <c r="A72">
        <v>72</v>
      </c>
      <c r="B72" t="s">
        <v>64</v>
      </c>
      <c r="C72" t="s">
        <v>61</v>
      </c>
      <c r="D72" t="s">
        <v>66</v>
      </c>
      <c r="E72" t="s">
        <v>2</v>
      </c>
      <c r="F72">
        <v>0</v>
      </c>
      <c r="G72">
        <v>72200</v>
      </c>
      <c r="H72">
        <v>3</v>
      </c>
      <c r="I72" t="s">
        <v>68</v>
      </c>
      <c r="J72">
        <v>18</v>
      </c>
      <c r="K72" t="s">
        <v>15</v>
      </c>
      <c r="L72" t="s">
        <v>28</v>
      </c>
      <c r="M72" t="s">
        <v>33</v>
      </c>
      <c r="N72" s="25">
        <v>41702</v>
      </c>
      <c r="O72">
        <v>1810.5640000000001</v>
      </c>
      <c r="P72">
        <v>1810.5640000000001</v>
      </c>
    </row>
    <row r="73" spans="1:16" x14ac:dyDescent="0.35">
      <c r="A73">
        <v>73</v>
      </c>
      <c r="B73" t="s">
        <v>63</v>
      </c>
      <c r="C73" t="s">
        <v>62</v>
      </c>
      <c r="D73" t="s">
        <v>66</v>
      </c>
      <c r="E73" t="s">
        <v>2</v>
      </c>
      <c r="F73">
        <v>1</v>
      </c>
      <c r="G73">
        <v>36500</v>
      </c>
      <c r="H73">
        <v>1</v>
      </c>
      <c r="I73" t="s">
        <v>8</v>
      </c>
      <c r="J73">
        <v>18</v>
      </c>
      <c r="K73" t="s">
        <v>12</v>
      </c>
      <c r="L73" t="s">
        <v>47</v>
      </c>
      <c r="M73" t="s">
        <v>18</v>
      </c>
      <c r="N73" s="25">
        <v>42141</v>
      </c>
      <c r="O73">
        <v>747.43499999999995</v>
      </c>
      <c r="P73">
        <v>747.43499999999995</v>
      </c>
    </row>
    <row r="74" spans="1:16" x14ac:dyDescent="0.35">
      <c r="A74">
        <v>74</v>
      </c>
      <c r="B74" t="s">
        <v>64</v>
      </c>
      <c r="C74" t="s">
        <v>62</v>
      </c>
      <c r="D74" t="s">
        <v>66</v>
      </c>
      <c r="E74" t="s">
        <v>2</v>
      </c>
      <c r="F74">
        <v>1</v>
      </c>
      <c r="G74">
        <v>73000</v>
      </c>
      <c r="H74">
        <v>1</v>
      </c>
      <c r="I74" t="s">
        <v>68</v>
      </c>
      <c r="J74">
        <v>6</v>
      </c>
      <c r="K74" t="s">
        <v>14</v>
      </c>
      <c r="L74" t="s">
        <v>50</v>
      </c>
      <c r="M74" t="s">
        <v>34</v>
      </c>
      <c r="N74" s="25">
        <v>40256</v>
      </c>
      <c r="O74">
        <v>489.92899999999997</v>
      </c>
      <c r="P74">
        <v>489.92899999999997</v>
      </c>
    </row>
    <row r="75" spans="1:16" x14ac:dyDescent="0.35">
      <c r="A75">
        <v>75</v>
      </c>
      <c r="B75" t="s">
        <v>65</v>
      </c>
      <c r="C75" t="s">
        <v>62</v>
      </c>
      <c r="D75" t="s">
        <v>66</v>
      </c>
      <c r="E75" t="s">
        <v>70</v>
      </c>
      <c r="F75">
        <v>0</v>
      </c>
      <c r="G75">
        <v>15100</v>
      </c>
      <c r="H75">
        <v>0</v>
      </c>
      <c r="I75" t="s">
        <v>67</v>
      </c>
      <c r="J75">
        <v>6</v>
      </c>
      <c r="K75" t="s">
        <v>13</v>
      </c>
      <c r="L75" t="s">
        <v>43</v>
      </c>
      <c r="M75" t="s">
        <v>23</v>
      </c>
      <c r="N75" s="25">
        <v>41719</v>
      </c>
      <c r="O75">
        <v>348.45600000000002</v>
      </c>
      <c r="P75">
        <v>348.45600000000002</v>
      </c>
    </row>
    <row r="76" spans="1:16" x14ac:dyDescent="0.35">
      <c r="A76">
        <v>76</v>
      </c>
      <c r="B76" t="s">
        <v>63</v>
      </c>
      <c r="C76" t="s">
        <v>62</v>
      </c>
      <c r="D76" t="s">
        <v>66</v>
      </c>
      <c r="E76" t="s">
        <v>70</v>
      </c>
      <c r="F76">
        <v>0</v>
      </c>
      <c r="G76">
        <v>19800</v>
      </c>
      <c r="H76">
        <v>1</v>
      </c>
      <c r="I76" t="s">
        <v>67</v>
      </c>
      <c r="J76">
        <v>24</v>
      </c>
      <c r="K76" t="s">
        <v>12</v>
      </c>
      <c r="L76" t="s">
        <v>54</v>
      </c>
      <c r="M76" t="s">
        <v>21</v>
      </c>
      <c r="N76" s="25">
        <v>41658</v>
      </c>
      <c r="O76">
        <v>990.52499999999998</v>
      </c>
      <c r="P76">
        <v>990.52499999999998</v>
      </c>
    </row>
    <row r="77" spans="1:16" x14ac:dyDescent="0.35">
      <c r="A77">
        <v>77</v>
      </c>
      <c r="B77" t="s">
        <v>64</v>
      </c>
      <c r="C77" t="s">
        <v>61</v>
      </c>
      <c r="D77" t="s">
        <v>58</v>
      </c>
      <c r="E77" t="s">
        <v>70</v>
      </c>
      <c r="F77">
        <v>1</v>
      </c>
      <c r="G77">
        <v>64000</v>
      </c>
      <c r="H77">
        <v>3</v>
      </c>
      <c r="I77" t="s">
        <v>67</v>
      </c>
      <c r="J77">
        <v>12</v>
      </c>
      <c r="K77" t="s">
        <v>15</v>
      </c>
      <c r="L77" t="s">
        <v>52</v>
      </c>
      <c r="M77" t="s">
        <v>30</v>
      </c>
      <c r="N77" s="25">
        <v>40446</v>
      </c>
      <c r="O77">
        <v>410.02300000000002</v>
      </c>
      <c r="P77">
        <v>410.02300000000002</v>
      </c>
    </row>
    <row r="78" spans="1:16" x14ac:dyDescent="0.35">
      <c r="A78">
        <v>78</v>
      </c>
      <c r="B78" t="s">
        <v>63</v>
      </c>
      <c r="C78" t="s">
        <v>62</v>
      </c>
      <c r="D78" t="s">
        <v>66</v>
      </c>
      <c r="E78" t="s">
        <v>2</v>
      </c>
      <c r="F78">
        <v>1</v>
      </c>
      <c r="G78">
        <v>79400</v>
      </c>
      <c r="H78">
        <v>0</v>
      </c>
      <c r="I78" t="s">
        <v>8</v>
      </c>
      <c r="J78">
        <v>6</v>
      </c>
      <c r="K78" t="s">
        <v>15</v>
      </c>
      <c r="L78" t="s">
        <v>44</v>
      </c>
      <c r="M78" t="s">
        <v>29</v>
      </c>
      <c r="N78" s="25">
        <v>42125</v>
      </c>
      <c r="O78">
        <v>1175.433</v>
      </c>
      <c r="P78">
        <v>1175.433</v>
      </c>
    </row>
    <row r="79" spans="1:16" x14ac:dyDescent="0.35">
      <c r="A79">
        <v>79</v>
      </c>
      <c r="B79" t="s">
        <v>64</v>
      </c>
      <c r="C79" t="s">
        <v>62</v>
      </c>
      <c r="D79" t="s">
        <v>58</v>
      </c>
      <c r="E79" t="s">
        <v>2</v>
      </c>
      <c r="F79">
        <v>1</v>
      </c>
      <c r="G79">
        <v>82000</v>
      </c>
      <c r="H79">
        <v>0</v>
      </c>
      <c r="I79" t="s">
        <v>69</v>
      </c>
      <c r="J79">
        <v>18</v>
      </c>
      <c r="K79" t="s">
        <v>12</v>
      </c>
      <c r="L79" t="s">
        <v>47</v>
      </c>
      <c r="M79" t="s">
        <v>16</v>
      </c>
      <c r="N79" s="25">
        <v>41449</v>
      </c>
      <c r="O79">
        <v>1799.7629999999999</v>
      </c>
      <c r="P79">
        <v>1799.7629999999999</v>
      </c>
    </row>
    <row r="80" spans="1:16" x14ac:dyDescent="0.35">
      <c r="A80">
        <v>80</v>
      </c>
      <c r="B80" t="s">
        <v>64</v>
      </c>
      <c r="C80" t="s">
        <v>62</v>
      </c>
      <c r="D80" t="s">
        <v>66</v>
      </c>
      <c r="E80" t="s">
        <v>2</v>
      </c>
      <c r="F80">
        <v>1</v>
      </c>
      <c r="G80">
        <v>63500</v>
      </c>
      <c r="H80">
        <v>1</v>
      </c>
      <c r="I80" t="s">
        <v>68</v>
      </c>
      <c r="J80">
        <v>18</v>
      </c>
      <c r="K80" t="s">
        <v>12</v>
      </c>
      <c r="L80" t="s">
        <v>47</v>
      </c>
      <c r="M80" t="s">
        <v>16</v>
      </c>
      <c r="N80" s="25">
        <v>40772</v>
      </c>
      <c r="O80">
        <v>1023.379</v>
      </c>
      <c r="P80">
        <v>1023.379</v>
      </c>
    </row>
    <row r="81" spans="1:16" x14ac:dyDescent="0.35">
      <c r="A81">
        <v>81</v>
      </c>
      <c r="B81" t="s">
        <v>65</v>
      </c>
      <c r="C81" t="s">
        <v>62</v>
      </c>
      <c r="D81" t="s">
        <v>58</v>
      </c>
      <c r="E81" t="s">
        <v>2</v>
      </c>
      <c r="F81">
        <v>1</v>
      </c>
      <c r="G81">
        <v>118000</v>
      </c>
      <c r="H81">
        <v>3</v>
      </c>
      <c r="I81" t="s">
        <v>67</v>
      </c>
      <c r="J81">
        <v>12</v>
      </c>
      <c r="K81" t="s">
        <v>14</v>
      </c>
      <c r="L81" t="s">
        <v>51</v>
      </c>
      <c r="M81" t="s">
        <v>38</v>
      </c>
      <c r="N81" s="25">
        <v>42012</v>
      </c>
      <c r="O81">
        <v>581.20500000000004</v>
      </c>
      <c r="P81">
        <v>581.20500000000004</v>
      </c>
    </row>
    <row r="82" spans="1:16" x14ac:dyDescent="0.35">
      <c r="A82">
        <v>82</v>
      </c>
      <c r="B82" t="s">
        <v>63</v>
      </c>
      <c r="C82" t="s">
        <v>62</v>
      </c>
      <c r="D82" t="s">
        <v>66</v>
      </c>
      <c r="E82" t="s">
        <v>70</v>
      </c>
      <c r="F82">
        <v>1</v>
      </c>
      <c r="G82">
        <v>13300</v>
      </c>
      <c r="H82">
        <v>1</v>
      </c>
      <c r="I82" t="s">
        <v>8</v>
      </c>
      <c r="J82">
        <v>6</v>
      </c>
      <c r="K82" t="s">
        <v>15</v>
      </c>
      <c r="L82" t="s">
        <v>52</v>
      </c>
      <c r="M82" t="s">
        <v>31</v>
      </c>
      <c r="N82" s="25">
        <v>42144</v>
      </c>
      <c r="O82">
        <v>235.80799999999999</v>
      </c>
      <c r="P82">
        <v>235.80799999999999</v>
      </c>
    </row>
    <row r="83" spans="1:16" x14ac:dyDescent="0.35">
      <c r="A83">
        <v>83</v>
      </c>
      <c r="B83" t="s">
        <v>64</v>
      </c>
      <c r="C83" t="s">
        <v>61</v>
      </c>
      <c r="D83" t="s">
        <v>66</v>
      </c>
      <c r="E83" t="s">
        <v>70</v>
      </c>
      <c r="F83">
        <v>0</v>
      </c>
      <c r="G83">
        <v>45100</v>
      </c>
      <c r="H83">
        <v>1</v>
      </c>
      <c r="I83" t="s">
        <v>68</v>
      </c>
      <c r="J83">
        <v>12</v>
      </c>
      <c r="K83" t="s">
        <v>14</v>
      </c>
      <c r="L83" t="s">
        <v>40</v>
      </c>
      <c r="M83" t="s">
        <v>37</v>
      </c>
      <c r="N83" s="25">
        <v>42093</v>
      </c>
      <c r="O83">
        <v>793.74</v>
      </c>
      <c r="P83">
        <v>793.74</v>
      </c>
    </row>
    <row r="84" spans="1:16" x14ac:dyDescent="0.35">
      <c r="A84">
        <v>84</v>
      </c>
      <c r="B84" t="s">
        <v>65</v>
      </c>
      <c r="C84" t="s">
        <v>61</v>
      </c>
      <c r="D84" t="s">
        <v>58</v>
      </c>
      <c r="E84" t="s">
        <v>2</v>
      </c>
      <c r="F84">
        <v>1</v>
      </c>
      <c r="G84">
        <v>45900</v>
      </c>
      <c r="H84">
        <v>0</v>
      </c>
      <c r="I84" t="s">
        <v>68</v>
      </c>
      <c r="J84">
        <v>24</v>
      </c>
      <c r="K84" t="s">
        <v>14</v>
      </c>
      <c r="L84" t="s">
        <v>49</v>
      </c>
      <c r="M84" t="s">
        <v>39</v>
      </c>
      <c r="N84" s="25">
        <v>40569</v>
      </c>
      <c r="O84">
        <v>1645.453</v>
      </c>
      <c r="P84">
        <v>1645.453</v>
      </c>
    </row>
    <row r="85" spans="1:16" x14ac:dyDescent="0.35">
      <c r="A85">
        <v>85</v>
      </c>
      <c r="B85" t="s">
        <v>64</v>
      </c>
      <c r="C85" t="s">
        <v>62</v>
      </c>
      <c r="D85" t="s">
        <v>58</v>
      </c>
      <c r="E85" t="s">
        <v>70</v>
      </c>
      <c r="F85">
        <v>1</v>
      </c>
      <c r="G85">
        <v>43900</v>
      </c>
      <c r="H85">
        <v>2</v>
      </c>
      <c r="I85" t="s">
        <v>67</v>
      </c>
      <c r="J85">
        <v>6</v>
      </c>
      <c r="K85" t="s">
        <v>12</v>
      </c>
      <c r="L85" t="s">
        <v>41</v>
      </c>
      <c r="M85" t="s">
        <v>20</v>
      </c>
      <c r="N85" s="25">
        <v>40647</v>
      </c>
      <c r="O85">
        <v>357.50400000000002</v>
      </c>
      <c r="P85">
        <v>357.50400000000002</v>
      </c>
    </row>
    <row r="86" spans="1:16" x14ac:dyDescent="0.35">
      <c r="A86">
        <v>86</v>
      </c>
      <c r="B86" t="s">
        <v>65</v>
      </c>
      <c r="C86" t="s">
        <v>62</v>
      </c>
      <c r="D86" t="s">
        <v>58</v>
      </c>
      <c r="E86" t="s">
        <v>2</v>
      </c>
      <c r="F86">
        <v>0</v>
      </c>
      <c r="G86">
        <v>110000</v>
      </c>
      <c r="H86">
        <v>0</v>
      </c>
      <c r="I86" t="s">
        <v>69</v>
      </c>
      <c r="J86">
        <v>24</v>
      </c>
      <c r="K86" t="s">
        <v>15</v>
      </c>
      <c r="L86" t="s">
        <v>42</v>
      </c>
      <c r="M86" t="s">
        <v>32</v>
      </c>
      <c r="N86" s="25">
        <v>40452</v>
      </c>
      <c r="O86">
        <v>5564.1270000000004</v>
      </c>
      <c r="P86">
        <v>3500</v>
      </c>
    </row>
    <row r="87" spans="1:16" x14ac:dyDescent="0.35">
      <c r="A87">
        <v>87</v>
      </c>
      <c r="B87" t="s">
        <v>64</v>
      </c>
      <c r="C87" t="s">
        <v>61</v>
      </c>
      <c r="D87" t="s">
        <v>66</v>
      </c>
      <c r="E87" t="s">
        <v>70</v>
      </c>
      <c r="F87">
        <v>1</v>
      </c>
      <c r="G87">
        <v>63000</v>
      </c>
      <c r="H87">
        <v>0</v>
      </c>
      <c r="I87" t="s">
        <v>69</v>
      </c>
      <c r="J87">
        <v>24</v>
      </c>
      <c r="K87" t="s">
        <v>15</v>
      </c>
      <c r="L87" t="s">
        <v>42</v>
      </c>
      <c r="M87" t="s">
        <v>32</v>
      </c>
      <c r="N87" s="25">
        <v>40901</v>
      </c>
      <c r="O87">
        <v>1909.597</v>
      </c>
      <c r="P87">
        <v>1909.597</v>
      </c>
    </row>
    <row r="88" spans="1:16" x14ac:dyDescent="0.35">
      <c r="A88">
        <v>88</v>
      </c>
      <c r="B88" t="s">
        <v>64</v>
      </c>
      <c r="C88" t="s">
        <v>61</v>
      </c>
      <c r="D88" t="s">
        <v>66</v>
      </c>
      <c r="E88" t="s">
        <v>70</v>
      </c>
      <c r="F88">
        <v>1</v>
      </c>
      <c r="G88">
        <v>61800</v>
      </c>
      <c r="H88">
        <v>0</v>
      </c>
      <c r="I88" t="s">
        <v>69</v>
      </c>
      <c r="J88">
        <v>24</v>
      </c>
      <c r="K88" t="s">
        <v>14</v>
      </c>
      <c r="L88" t="s">
        <v>49</v>
      </c>
      <c r="M88" t="s">
        <v>39</v>
      </c>
      <c r="N88" s="25">
        <v>41990</v>
      </c>
      <c r="O88">
        <v>1155.684</v>
      </c>
      <c r="P88">
        <v>1155.684</v>
      </c>
    </row>
    <row r="89" spans="1:16" x14ac:dyDescent="0.35">
      <c r="A89">
        <v>89</v>
      </c>
      <c r="B89" t="s">
        <v>64</v>
      </c>
      <c r="C89" t="s">
        <v>62</v>
      </c>
      <c r="D89" t="s">
        <v>66</v>
      </c>
      <c r="E89" t="s">
        <v>2</v>
      </c>
      <c r="F89">
        <v>1</v>
      </c>
      <c r="G89">
        <v>53300</v>
      </c>
      <c r="H89">
        <v>0</v>
      </c>
      <c r="I89" t="s">
        <v>68</v>
      </c>
      <c r="J89">
        <v>24</v>
      </c>
      <c r="K89" t="s">
        <v>13</v>
      </c>
      <c r="L89" t="s">
        <v>42</v>
      </c>
      <c r="M89" t="s">
        <v>25</v>
      </c>
      <c r="N89" s="25">
        <v>42200</v>
      </c>
      <c r="O89">
        <v>1597.8409999999999</v>
      </c>
      <c r="P89">
        <v>1597.8409999999999</v>
      </c>
    </row>
    <row r="90" spans="1:16" x14ac:dyDescent="0.35">
      <c r="A90">
        <v>90</v>
      </c>
      <c r="B90" t="s">
        <v>63</v>
      </c>
      <c r="C90" t="s">
        <v>62</v>
      </c>
      <c r="D90" t="s">
        <v>66</v>
      </c>
      <c r="E90" t="s">
        <v>2</v>
      </c>
      <c r="F90">
        <v>1</v>
      </c>
      <c r="G90">
        <v>42000</v>
      </c>
      <c r="H90">
        <v>3</v>
      </c>
      <c r="I90" t="s">
        <v>67</v>
      </c>
      <c r="J90">
        <v>6</v>
      </c>
      <c r="K90" t="s">
        <v>12</v>
      </c>
      <c r="L90" t="s">
        <v>55</v>
      </c>
      <c r="M90" t="s">
        <v>17</v>
      </c>
      <c r="N90" s="25">
        <v>41043</v>
      </c>
      <c r="O90">
        <v>105.176</v>
      </c>
      <c r="P90">
        <v>105.176</v>
      </c>
    </row>
    <row r="91" spans="1:16" x14ac:dyDescent="0.35">
      <c r="A91">
        <v>91</v>
      </c>
      <c r="B91" t="s">
        <v>63</v>
      </c>
      <c r="C91" t="s">
        <v>62</v>
      </c>
      <c r="D91" t="s">
        <v>58</v>
      </c>
      <c r="E91" t="s">
        <v>70</v>
      </c>
      <c r="F91">
        <v>1</v>
      </c>
      <c r="G91">
        <v>25900</v>
      </c>
      <c r="H91">
        <v>2</v>
      </c>
      <c r="I91" t="s">
        <v>8</v>
      </c>
      <c r="J91">
        <v>12</v>
      </c>
      <c r="K91" t="s">
        <v>13</v>
      </c>
      <c r="L91" t="s">
        <v>43</v>
      </c>
      <c r="M91" t="s">
        <v>23</v>
      </c>
      <c r="N91" s="25">
        <v>42091</v>
      </c>
      <c r="O91">
        <v>449.19499999999999</v>
      </c>
      <c r="P91">
        <v>449.19499999999999</v>
      </c>
    </row>
    <row r="92" spans="1:16" x14ac:dyDescent="0.35">
      <c r="A92">
        <v>92</v>
      </c>
      <c r="B92" t="s">
        <v>63</v>
      </c>
      <c r="C92" t="s">
        <v>61</v>
      </c>
      <c r="D92" t="s">
        <v>66</v>
      </c>
      <c r="E92" t="s">
        <v>2</v>
      </c>
      <c r="F92">
        <v>0</v>
      </c>
      <c r="G92">
        <v>20200</v>
      </c>
      <c r="H92">
        <v>1</v>
      </c>
      <c r="I92" t="s">
        <v>67</v>
      </c>
      <c r="J92">
        <v>24</v>
      </c>
      <c r="K92" t="s">
        <v>15</v>
      </c>
      <c r="L92" t="s">
        <v>28</v>
      </c>
      <c r="M92" t="s">
        <v>33</v>
      </c>
      <c r="N92" s="25">
        <v>41257</v>
      </c>
      <c r="O92">
        <v>499.66500000000002</v>
      </c>
      <c r="P92">
        <v>499.66500000000002</v>
      </c>
    </row>
    <row r="93" spans="1:16" x14ac:dyDescent="0.35">
      <c r="A93">
        <v>93</v>
      </c>
      <c r="B93" t="s">
        <v>64</v>
      </c>
      <c r="C93" t="s">
        <v>62</v>
      </c>
      <c r="D93" t="s">
        <v>66</v>
      </c>
      <c r="E93" t="s">
        <v>70</v>
      </c>
      <c r="F93">
        <v>1</v>
      </c>
      <c r="G93">
        <v>46600</v>
      </c>
      <c r="H93">
        <v>0</v>
      </c>
      <c r="I93" t="s">
        <v>8</v>
      </c>
      <c r="J93">
        <v>12</v>
      </c>
      <c r="K93" t="s">
        <v>14</v>
      </c>
      <c r="L93" t="s">
        <v>40</v>
      </c>
      <c r="M93" t="s">
        <v>36</v>
      </c>
      <c r="N93" s="25">
        <v>42098</v>
      </c>
      <c r="O93">
        <v>546.41800000000001</v>
      </c>
      <c r="P93">
        <v>546.41800000000001</v>
      </c>
    </row>
    <row r="94" spans="1:16" x14ac:dyDescent="0.35">
      <c r="A94">
        <v>94</v>
      </c>
      <c r="B94" t="s">
        <v>63</v>
      </c>
      <c r="C94" t="s">
        <v>61</v>
      </c>
      <c r="D94" t="s">
        <v>66</v>
      </c>
      <c r="E94" t="s">
        <v>70</v>
      </c>
      <c r="F94">
        <v>1</v>
      </c>
      <c r="G94">
        <v>18700</v>
      </c>
      <c r="H94">
        <v>0</v>
      </c>
      <c r="I94" t="s">
        <v>67</v>
      </c>
      <c r="J94">
        <v>12</v>
      </c>
      <c r="K94" t="s">
        <v>14</v>
      </c>
      <c r="L94" t="s">
        <v>51</v>
      </c>
      <c r="M94" t="s">
        <v>38</v>
      </c>
      <c r="N94" s="25">
        <v>41024</v>
      </c>
      <c r="O94">
        <v>288.887</v>
      </c>
      <c r="P94">
        <v>288.887</v>
      </c>
    </row>
    <row r="95" spans="1:16" x14ac:dyDescent="0.35">
      <c r="A95">
        <v>95</v>
      </c>
      <c r="B95" t="s">
        <v>65</v>
      </c>
      <c r="C95" t="s">
        <v>61</v>
      </c>
      <c r="D95" t="s">
        <v>58</v>
      </c>
      <c r="E95" t="s">
        <v>70</v>
      </c>
      <c r="F95">
        <v>1</v>
      </c>
      <c r="G95">
        <v>45700</v>
      </c>
      <c r="H95">
        <v>0</v>
      </c>
      <c r="I95" t="s">
        <v>68</v>
      </c>
      <c r="J95">
        <v>18</v>
      </c>
      <c r="K95" t="s">
        <v>13</v>
      </c>
      <c r="L95" t="s">
        <v>56</v>
      </c>
      <c r="M95" t="s">
        <v>24</v>
      </c>
      <c r="N95" s="25">
        <v>40912</v>
      </c>
      <c r="O95">
        <v>724.17200000000003</v>
      </c>
      <c r="P95">
        <v>724.17200000000003</v>
      </c>
    </row>
    <row r="96" spans="1:16" x14ac:dyDescent="0.35">
      <c r="A96">
        <v>96</v>
      </c>
      <c r="B96" t="s">
        <v>63</v>
      </c>
      <c r="C96" t="s">
        <v>62</v>
      </c>
      <c r="D96" t="s">
        <v>58</v>
      </c>
      <c r="E96" t="s">
        <v>70</v>
      </c>
      <c r="F96">
        <v>1</v>
      </c>
      <c r="G96">
        <v>32600</v>
      </c>
      <c r="H96">
        <v>3</v>
      </c>
      <c r="I96" t="s">
        <v>67</v>
      </c>
      <c r="J96">
        <v>12</v>
      </c>
      <c r="K96" t="s">
        <v>14</v>
      </c>
      <c r="L96" t="s">
        <v>51</v>
      </c>
      <c r="M96" t="s">
        <v>38</v>
      </c>
      <c r="N96" s="25">
        <v>40993</v>
      </c>
      <c r="O96">
        <v>172.315</v>
      </c>
      <c r="P96">
        <v>172.315</v>
      </c>
    </row>
    <row r="97" spans="1:16" x14ac:dyDescent="0.35">
      <c r="A97">
        <v>97</v>
      </c>
      <c r="B97" t="s">
        <v>64</v>
      </c>
      <c r="C97" t="s">
        <v>61</v>
      </c>
      <c r="D97" t="s">
        <v>58</v>
      </c>
      <c r="E97" t="s">
        <v>2</v>
      </c>
      <c r="F97">
        <v>1</v>
      </c>
      <c r="G97">
        <v>96100</v>
      </c>
      <c r="H97">
        <v>0</v>
      </c>
      <c r="I97" t="s">
        <v>69</v>
      </c>
      <c r="J97">
        <v>6</v>
      </c>
      <c r="K97" t="s">
        <v>14</v>
      </c>
      <c r="L97" t="s">
        <v>50</v>
      </c>
      <c r="M97" t="s">
        <v>34</v>
      </c>
      <c r="N97" s="25">
        <v>41791</v>
      </c>
      <c r="O97">
        <v>1588.377</v>
      </c>
      <c r="P97">
        <v>1588.377</v>
      </c>
    </row>
    <row r="98" spans="1:16" x14ac:dyDescent="0.35">
      <c r="A98">
        <v>98</v>
      </c>
      <c r="B98" t="s">
        <v>63</v>
      </c>
      <c r="C98" t="s">
        <v>62</v>
      </c>
      <c r="D98" t="s">
        <v>66</v>
      </c>
      <c r="E98" t="s">
        <v>70</v>
      </c>
      <c r="F98">
        <v>0</v>
      </c>
      <c r="G98">
        <v>14400</v>
      </c>
      <c r="H98">
        <v>1</v>
      </c>
      <c r="I98" t="s">
        <v>67</v>
      </c>
      <c r="J98">
        <v>6</v>
      </c>
      <c r="K98" t="s">
        <v>15</v>
      </c>
      <c r="L98" t="s">
        <v>28</v>
      </c>
      <c r="M98" t="s">
        <v>33</v>
      </c>
      <c r="N98" s="25">
        <v>40372</v>
      </c>
      <c r="O98">
        <v>389.86399999999998</v>
      </c>
      <c r="P98">
        <v>389.86399999999998</v>
      </c>
    </row>
    <row r="99" spans="1:16" x14ac:dyDescent="0.35">
      <c r="A99">
        <v>99</v>
      </c>
      <c r="B99" t="s">
        <v>64</v>
      </c>
      <c r="C99" t="s">
        <v>61</v>
      </c>
      <c r="D99" t="s">
        <v>66</v>
      </c>
      <c r="E99" t="s">
        <v>70</v>
      </c>
      <c r="F99">
        <v>1</v>
      </c>
      <c r="G99">
        <v>54200</v>
      </c>
      <c r="H99">
        <v>0</v>
      </c>
      <c r="I99" t="s">
        <v>8</v>
      </c>
      <c r="J99">
        <v>18</v>
      </c>
      <c r="K99" t="s">
        <v>14</v>
      </c>
      <c r="L99" t="s">
        <v>50</v>
      </c>
      <c r="M99" t="s">
        <v>34</v>
      </c>
      <c r="N99" s="25">
        <v>42086</v>
      </c>
      <c r="O99">
        <v>1405.1890000000001</v>
      </c>
      <c r="P99">
        <v>1405.1890000000001</v>
      </c>
    </row>
    <row r="100" spans="1:16" x14ac:dyDescent="0.35">
      <c r="A100">
        <v>100</v>
      </c>
      <c r="B100" t="s">
        <v>64</v>
      </c>
      <c r="C100" t="s">
        <v>62</v>
      </c>
      <c r="D100" t="s">
        <v>58</v>
      </c>
      <c r="E100" t="s">
        <v>2</v>
      </c>
      <c r="F100">
        <v>0</v>
      </c>
      <c r="G100">
        <v>80600</v>
      </c>
      <c r="H100">
        <v>0</v>
      </c>
      <c r="I100" t="s">
        <v>69</v>
      </c>
      <c r="J100">
        <v>24</v>
      </c>
      <c r="K100" t="s">
        <v>15</v>
      </c>
      <c r="L100" t="s">
        <v>52</v>
      </c>
      <c r="M100" t="s">
        <v>31</v>
      </c>
      <c r="N100" s="25">
        <v>40931</v>
      </c>
      <c r="O100">
        <v>2839.63</v>
      </c>
      <c r="P100">
        <v>2839.63</v>
      </c>
    </row>
    <row r="101" spans="1:16" x14ac:dyDescent="0.35">
      <c r="A101">
        <v>101</v>
      </c>
      <c r="B101" t="s">
        <v>64</v>
      </c>
      <c r="C101" t="s">
        <v>62</v>
      </c>
      <c r="D101" t="s">
        <v>58</v>
      </c>
      <c r="E101" t="s">
        <v>2</v>
      </c>
      <c r="F101">
        <v>1</v>
      </c>
      <c r="G101">
        <v>48900</v>
      </c>
      <c r="H101">
        <v>3</v>
      </c>
      <c r="I101" t="s">
        <v>8</v>
      </c>
      <c r="J101">
        <v>18</v>
      </c>
      <c r="K101" t="s">
        <v>15</v>
      </c>
      <c r="L101" t="s">
        <v>52</v>
      </c>
      <c r="M101" t="s">
        <v>30</v>
      </c>
      <c r="N101" s="25">
        <v>42183</v>
      </c>
      <c r="O101">
        <v>914.94600000000003</v>
      </c>
      <c r="P101">
        <v>914.94600000000003</v>
      </c>
    </row>
    <row r="102" spans="1:16" x14ac:dyDescent="0.35">
      <c r="A102">
        <v>102</v>
      </c>
      <c r="B102" t="s">
        <v>65</v>
      </c>
      <c r="C102" t="s">
        <v>62</v>
      </c>
      <c r="D102" t="s">
        <v>58</v>
      </c>
      <c r="E102" t="s">
        <v>70</v>
      </c>
      <c r="F102">
        <v>1</v>
      </c>
      <c r="G102">
        <v>30300</v>
      </c>
      <c r="H102">
        <v>0</v>
      </c>
      <c r="I102" t="s">
        <v>67</v>
      </c>
      <c r="J102">
        <v>18</v>
      </c>
      <c r="K102" t="s">
        <v>14</v>
      </c>
      <c r="L102" t="s">
        <v>49</v>
      </c>
      <c r="M102" t="s">
        <v>39</v>
      </c>
      <c r="N102" s="25">
        <v>41231</v>
      </c>
      <c r="O102">
        <v>1061.9000000000001</v>
      </c>
      <c r="P102">
        <v>1061.9000000000001</v>
      </c>
    </row>
    <row r="103" spans="1:16" x14ac:dyDescent="0.35">
      <c r="A103">
        <v>103</v>
      </c>
      <c r="B103" t="s">
        <v>65</v>
      </c>
      <c r="C103" t="s">
        <v>61</v>
      </c>
      <c r="D103" t="s">
        <v>58</v>
      </c>
      <c r="E103" t="s">
        <v>2</v>
      </c>
      <c r="F103">
        <v>1</v>
      </c>
      <c r="G103">
        <v>124900</v>
      </c>
      <c r="H103">
        <v>0</v>
      </c>
      <c r="I103" t="s">
        <v>69</v>
      </c>
      <c r="J103">
        <v>18</v>
      </c>
      <c r="K103" t="s">
        <v>12</v>
      </c>
      <c r="L103" t="s">
        <v>54</v>
      </c>
      <c r="M103" t="s">
        <v>21</v>
      </c>
      <c r="N103" s="25">
        <v>42148</v>
      </c>
      <c r="O103">
        <v>4108.9679999999998</v>
      </c>
      <c r="P103">
        <v>3500</v>
      </c>
    </row>
    <row r="104" spans="1:16" x14ac:dyDescent="0.35">
      <c r="A104">
        <v>104</v>
      </c>
      <c r="B104" t="s">
        <v>63</v>
      </c>
      <c r="C104" t="s">
        <v>62</v>
      </c>
      <c r="D104" t="s">
        <v>66</v>
      </c>
      <c r="E104" t="s">
        <v>70</v>
      </c>
      <c r="F104">
        <v>1</v>
      </c>
      <c r="G104">
        <v>13700</v>
      </c>
      <c r="H104">
        <v>1</v>
      </c>
      <c r="I104" t="s">
        <v>8</v>
      </c>
      <c r="J104">
        <v>6</v>
      </c>
      <c r="K104" t="s">
        <v>13</v>
      </c>
      <c r="L104" t="s">
        <v>48</v>
      </c>
      <c r="M104" t="s">
        <v>27</v>
      </c>
      <c r="N104" s="25">
        <v>42143</v>
      </c>
      <c r="O104">
        <v>162.971</v>
      </c>
      <c r="P104">
        <v>162.971</v>
      </c>
    </row>
    <row r="105" spans="1:16" x14ac:dyDescent="0.35">
      <c r="A105">
        <v>105</v>
      </c>
      <c r="B105" t="s">
        <v>63</v>
      </c>
      <c r="C105" t="s">
        <v>61</v>
      </c>
      <c r="D105" t="s">
        <v>66</v>
      </c>
      <c r="E105" t="s">
        <v>2</v>
      </c>
      <c r="F105">
        <v>0</v>
      </c>
      <c r="G105">
        <v>60300</v>
      </c>
      <c r="H105">
        <v>1</v>
      </c>
      <c r="I105" t="s">
        <v>8</v>
      </c>
      <c r="J105">
        <v>6</v>
      </c>
      <c r="K105" t="s">
        <v>13</v>
      </c>
      <c r="L105" t="s">
        <v>42</v>
      </c>
      <c r="M105" t="s">
        <v>25</v>
      </c>
      <c r="N105" s="25">
        <v>42196</v>
      </c>
      <c r="O105">
        <v>1252.3240000000001</v>
      </c>
      <c r="P105">
        <v>1252.3240000000001</v>
      </c>
    </row>
    <row r="106" spans="1:16" x14ac:dyDescent="0.35">
      <c r="A106">
        <v>106</v>
      </c>
      <c r="B106" t="s">
        <v>64</v>
      </c>
      <c r="C106" t="s">
        <v>61</v>
      </c>
      <c r="D106" t="s">
        <v>66</v>
      </c>
      <c r="E106" t="s">
        <v>70</v>
      </c>
      <c r="F106">
        <v>1</v>
      </c>
      <c r="G106">
        <v>43100</v>
      </c>
      <c r="H106">
        <v>1</v>
      </c>
      <c r="I106" t="s">
        <v>8</v>
      </c>
      <c r="J106">
        <v>12</v>
      </c>
      <c r="K106" t="s">
        <v>14</v>
      </c>
      <c r="L106" t="s">
        <v>40</v>
      </c>
      <c r="M106" t="s">
        <v>37</v>
      </c>
      <c r="N106" s="25">
        <v>42089</v>
      </c>
      <c r="O106">
        <v>1224.433</v>
      </c>
      <c r="P106">
        <v>1224.433</v>
      </c>
    </row>
    <row r="107" spans="1:16" x14ac:dyDescent="0.35">
      <c r="A107">
        <v>107</v>
      </c>
      <c r="B107" t="s">
        <v>65</v>
      </c>
      <c r="C107" t="s">
        <v>62</v>
      </c>
      <c r="D107" t="s">
        <v>58</v>
      </c>
      <c r="E107" t="s">
        <v>2</v>
      </c>
      <c r="F107">
        <v>0</v>
      </c>
      <c r="G107">
        <v>128700</v>
      </c>
      <c r="H107">
        <v>0</v>
      </c>
      <c r="I107" t="s">
        <v>69</v>
      </c>
      <c r="J107">
        <v>24</v>
      </c>
      <c r="K107" t="s">
        <v>13</v>
      </c>
      <c r="L107" t="s">
        <v>48</v>
      </c>
      <c r="M107" t="s">
        <v>27</v>
      </c>
      <c r="N107" s="25">
        <v>41678</v>
      </c>
      <c r="O107">
        <v>3995.0120000000002</v>
      </c>
      <c r="P107">
        <v>3500</v>
      </c>
    </row>
    <row r="108" spans="1:16" x14ac:dyDescent="0.35">
      <c r="A108">
        <v>108</v>
      </c>
      <c r="B108" t="s">
        <v>64</v>
      </c>
      <c r="C108" t="s">
        <v>62</v>
      </c>
      <c r="D108" t="s">
        <v>66</v>
      </c>
      <c r="E108" t="s">
        <v>2</v>
      </c>
      <c r="F108">
        <v>1</v>
      </c>
      <c r="G108">
        <v>118300</v>
      </c>
      <c r="H108">
        <v>1</v>
      </c>
      <c r="I108" t="s">
        <v>8</v>
      </c>
      <c r="J108">
        <v>18</v>
      </c>
      <c r="K108" t="s">
        <v>15</v>
      </c>
      <c r="L108" t="s">
        <v>52</v>
      </c>
      <c r="M108" t="s">
        <v>31</v>
      </c>
      <c r="N108" s="25">
        <v>42155</v>
      </c>
      <c r="O108">
        <v>2680.51</v>
      </c>
      <c r="P108">
        <v>2680.51</v>
      </c>
    </row>
    <row r="109" spans="1:16" x14ac:dyDescent="0.35">
      <c r="A109">
        <v>109</v>
      </c>
      <c r="B109" t="s">
        <v>63</v>
      </c>
      <c r="C109" t="s">
        <v>61</v>
      </c>
      <c r="D109" t="s">
        <v>66</v>
      </c>
      <c r="E109" t="s">
        <v>2</v>
      </c>
      <c r="F109">
        <v>1</v>
      </c>
      <c r="G109">
        <v>36500</v>
      </c>
      <c r="H109">
        <v>0</v>
      </c>
      <c r="I109" t="s">
        <v>68</v>
      </c>
      <c r="J109">
        <v>24</v>
      </c>
      <c r="K109" t="s">
        <v>14</v>
      </c>
      <c r="L109" t="s">
        <v>50</v>
      </c>
      <c r="M109" t="s">
        <v>35</v>
      </c>
      <c r="N109" s="25">
        <v>41477</v>
      </c>
      <c r="O109">
        <v>1140.258</v>
      </c>
      <c r="P109">
        <v>1140.258</v>
      </c>
    </row>
    <row r="110" spans="1:16" x14ac:dyDescent="0.35">
      <c r="A110">
        <v>110</v>
      </c>
      <c r="B110" t="s">
        <v>63</v>
      </c>
      <c r="C110" t="s">
        <v>61</v>
      </c>
      <c r="D110" t="s">
        <v>66</v>
      </c>
      <c r="E110" t="s">
        <v>70</v>
      </c>
      <c r="F110">
        <v>1</v>
      </c>
      <c r="G110">
        <v>13400</v>
      </c>
      <c r="H110">
        <v>0</v>
      </c>
      <c r="I110" t="s">
        <v>67</v>
      </c>
      <c r="J110">
        <v>18</v>
      </c>
      <c r="K110" t="s">
        <v>13</v>
      </c>
      <c r="L110" t="s">
        <v>46</v>
      </c>
      <c r="M110" t="s">
        <v>22</v>
      </c>
      <c r="N110" s="25">
        <v>41506</v>
      </c>
      <c r="O110">
        <v>424.07400000000001</v>
      </c>
      <c r="P110">
        <v>424.07400000000001</v>
      </c>
    </row>
    <row r="111" spans="1:16" x14ac:dyDescent="0.35">
      <c r="A111">
        <v>111</v>
      </c>
      <c r="B111" t="s">
        <v>64</v>
      </c>
      <c r="C111" t="s">
        <v>61</v>
      </c>
      <c r="D111" t="s">
        <v>58</v>
      </c>
      <c r="E111" t="s">
        <v>2</v>
      </c>
      <c r="F111">
        <v>1</v>
      </c>
      <c r="G111">
        <v>101700</v>
      </c>
      <c r="H111">
        <v>1</v>
      </c>
      <c r="I111" t="s">
        <v>8</v>
      </c>
      <c r="J111">
        <v>6</v>
      </c>
      <c r="K111" t="s">
        <v>12</v>
      </c>
      <c r="L111" t="s">
        <v>47</v>
      </c>
      <c r="M111" t="s">
        <v>18</v>
      </c>
      <c r="N111" s="25">
        <v>42213</v>
      </c>
      <c r="O111">
        <v>940.64400000000001</v>
      </c>
      <c r="P111">
        <v>940.64400000000001</v>
      </c>
    </row>
    <row r="112" spans="1:16" x14ac:dyDescent="0.35">
      <c r="A112">
        <v>112</v>
      </c>
      <c r="B112" t="s">
        <v>64</v>
      </c>
      <c r="C112" t="s">
        <v>61</v>
      </c>
      <c r="D112" t="s">
        <v>58</v>
      </c>
      <c r="E112" t="s">
        <v>70</v>
      </c>
      <c r="F112">
        <v>1</v>
      </c>
      <c r="G112">
        <v>76800</v>
      </c>
      <c r="H112">
        <v>1</v>
      </c>
      <c r="I112" t="s">
        <v>68</v>
      </c>
      <c r="J112">
        <v>18</v>
      </c>
      <c r="K112" t="s">
        <v>15</v>
      </c>
      <c r="L112" t="s">
        <v>42</v>
      </c>
      <c r="M112" t="s">
        <v>32</v>
      </c>
      <c r="N112" s="25">
        <v>41565</v>
      </c>
      <c r="O112">
        <v>1060.702</v>
      </c>
      <c r="P112">
        <v>1060.702</v>
      </c>
    </row>
    <row r="113" spans="1:16" x14ac:dyDescent="0.35">
      <c r="A113">
        <v>113</v>
      </c>
      <c r="B113" t="s">
        <v>63</v>
      </c>
      <c r="C113" t="s">
        <v>61</v>
      </c>
      <c r="D113" t="s">
        <v>66</v>
      </c>
      <c r="E113" t="s">
        <v>70</v>
      </c>
      <c r="F113">
        <v>1</v>
      </c>
      <c r="G113">
        <v>21900</v>
      </c>
      <c r="H113">
        <v>0</v>
      </c>
      <c r="I113" t="s">
        <v>67</v>
      </c>
      <c r="J113">
        <v>12</v>
      </c>
      <c r="K113" t="s">
        <v>15</v>
      </c>
      <c r="L113" t="s">
        <v>52</v>
      </c>
      <c r="M113" t="s">
        <v>30</v>
      </c>
      <c r="N113" s="25">
        <v>40392</v>
      </c>
      <c r="O113">
        <v>275.64400000000001</v>
      </c>
      <c r="P113">
        <v>275.64400000000001</v>
      </c>
    </row>
    <row r="114" spans="1:16" x14ac:dyDescent="0.35">
      <c r="A114">
        <v>114</v>
      </c>
      <c r="B114" t="s">
        <v>63</v>
      </c>
      <c r="C114" t="s">
        <v>62</v>
      </c>
      <c r="D114" t="s">
        <v>66</v>
      </c>
      <c r="E114" t="s">
        <v>70</v>
      </c>
      <c r="F114">
        <v>0</v>
      </c>
      <c r="G114">
        <v>16100</v>
      </c>
      <c r="H114">
        <v>0</v>
      </c>
      <c r="I114" t="s">
        <v>8</v>
      </c>
      <c r="J114">
        <v>6</v>
      </c>
      <c r="K114" t="s">
        <v>15</v>
      </c>
      <c r="L114" t="s">
        <v>42</v>
      </c>
      <c r="M114" t="s">
        <v>32</v>
      </c>
      <c r="N114" s="25">
        <v>42092</v>
      </c>
      <c r="O114">
        <v>202.40100000000001</v>
      </c>
      <c r="P114">
        <v>202.40100000000001</v>
      </c>
    </row>
    <row r="115" spans="1:16" x14ac:dyDescent="0.35">
      <c r="A115">
        <v>115</v>
      </c>
      <c r="B115" t="s">
        <v>64</v>
      </c>
      <c r="C115" t="s">
        <v>62</v>
      </c>
      <c r="D115" t="s">
        <v>58</v>
      </c>
      <c r="E115" t="s">
        <v>70</v>
      </c>
      <c r="F115">
        <v>0</v>
      </c>
      <c r="G115">
        <v>64100</v>
      </c>
      <c r="H115">
        <v>2</v>
      </c>
      <c r="I115" t="s">
        <v>69</v>
      </c>
      <c r="J115">
        <v>24</v>
      </c>
      <c r="K115" t="s">
        <v>13</v>
      </c>
      <c r="L115" t="s">
        <v>42</v>
      </c>
      <c r="M115" t="s">
        <v>25</v>
      </c>
      <c r="N115" s="25">
        <v>40388</v>
      </c>
      <c r="O115">
        <v>1594.8420000000001</v>
      </c>
      <c r="P115">
        <v>1594.8420000000001</v>
      </c>
    </row>
    <row r="116" spans="1:16" x14ac:dyDescent="0.35">
      <c r="A116">
        <v>116</v>
      </c>
      <c r="B116" t="s">
        <v>64</v>
      </c>
      <c r="C116" t="s">
        <v>62</v>
      </c>
      <c r="D116" t="s">
        <v>66</v>
      </c>
      <c r="E116" t="s">
        <v>2</v>
      </c>
      <c r="F116">
        <v>1</v>
      </c>
      <c r="G116">
        <v>95900</v>
      </c>
      <c r="H116">
        <v>0</v>
      </c>
      <c r="I116" t="s">
        <v>8</v>
      </c>
      <c r="J116">
        <v>24</v>
      </c>
      <c r="K116" t="s">
        <v>13</v>
      </c>
      <c r="L116" t="s">
        <v>46</v>
      </c>
      <c r="M116" t="s">
        <v>22</v>
      </c>
      <c r="N116" s="25">
        <v>42062</v>
      </c>
      <c r="O116">
        <v>3168.2649999999999</v>
      </c>
      <c r="P116">
        <v>3168.2649999999999</v>
      </c>
    </row>
    <row r="117" spans="1:16" x14ac:dyDescent="0.35">
      <c r="A117">
        <v>117</v>
      </c>
      <c r="B117" t="s">
        <v>65</v>
      </c>
      <c r="C117" t="s">
        <v>62</v>
      </c>
      <c r="D117" t="s">
        <v>58</v>
      </c>
      <c r="E117" t="s">
        <v>70</v>
      </c>
      <c r="F117">
        <v>1</v>
      </c>
      <c r="G117">
        <v>58200</v>
      </c>
      <c r="H117">
        <v>0</v>
      </c>
      <c r="I117" t="s">
        <v>68</v>
      </c>
      <c r="J117">
        <v>18</v>
      </c>
      <c r="K117" t="s">
        <v>12</v>
      </c>
      <c r="L117" t="s">
        <v>53</v>
      </c>
      <c r="M117" t="s">
        <v>19</v>
      </c>
      <c r="N117" s="25">
        <v>41165</v>
      </c>
      <c r="O117">
        <v>981.35500000000002</v>
      </c>
      <c r="P117">
        <v>981.35500000000002</v>
      </c>
    </row>
    <row r="118" spans="1:16" x14ac:dyDescent="0.35">
      <c r="A118">
        <v>118</v>
      </c>
      <c r="B118" t="s">
        <v>64</v>
      </c>
      <c r="C118" t="s">
        <v>61</v>
      </c>
      <c r="D118" t="s">
        <v>58</v>
      </c>
      <c r="E118" t="s">
        <v>2</v>
      </c>
      <c r="F118">
        <v>0</v>
      </c>
      <c r="G118">
        <v>120000</v>
      </c>
      <c r="H118">
        <v>3</v>
      </c>
      <c r="I118" t="s">
        <v>69</v>
      </c>
      <c r="J118">
        <v>18</v>
      </c>
      <c r="K118" t="s">
        <v>12</v>
      </c>
      <c r="L118" t="s">
        <v>41</v>
      </c>
      <c r="M118" t="s">
        <v>20</v>
      </c>
      <c r="N118" s="25">
        <v>41061</v>
      </c>
      <c r="O118">
        <v>1925.519</v>
      </c>
      <c r="P118">
        <v>1925.519</v>
      </c>
    </row>
    <row r="119" spans="1:16" x14ac:dyDescent="0.35">
      <c r="A119">
        <v>119</v>
      </c>
      <c r="B119" t="s">
        <v>64</v>
      </c>
      <c r="C119" t="s">
        <v>61</v>
      </c>
      <c r="D119" t="s">
        <v>58</v>
      </c>
      <c r="E119" t="s">
        <v>70</v>
      </c>
      <c r="F119">
        <v>1</v>
      </c>
      <c r="G119">
        <v>68400</v>
      </c>
      <c r="H119">
        <v>0</v>
      </c>
      <c r="I119" t="s">
        <v>69</v>
      </c>
      <c r="J119">
        <v>18</v>
      </c>
      <c r="K119" t="s">
        <v>14</v>
      </c>
      <c r="L119" t="s">
        <v>50</v>
      </c>
      <c r="M119" t="s">
        <v>35</v>
      </c>
      <c r="N119" s="25">
        <v>41279</v>
      </c>
      <c r="O119">
        <v>1154.914</v>
      </c>
      <c r="P119">
        <v>1154.914</v>
      </c>
    </row>
    <row r="120" spans="1:16" x14ac:dyDescent="0.35">
      <c r="A120">
        <v>120</v>
      </c>
      <c r="B120" t="s">
        <v>64</v>
      </c>
      <c r="C120" t="s">
        <v>61</v>
      </c>
      <c r="D120" t="s">
        <v>58</v>
      </c>
      <c r="E120" t="s">
        <v>2</v>
      </c>
      <c r="F120">
        <v>1</v>
      </c>
      <c r="G120">
        <v>83600</v>
      </c>
      <c r="H120">
        <v>2</v>
      </c>
      <c r="I120" t="s">
        <v>68</v>
      </c>
      <c r="J120">
        <v>6</v>
      </c>
      <c r="K120" t="s">
        <v>15</v>
      </c>
      <c r="L120" t="s">
        <v>42</v>
      </c>
      <c r="M120" t="s">
        <v>32</v>
      </c>
      <c r="N120" s="25">
        <v>40889</v>
      </c>
      <c r="O120">
        <v>537.726</v>
      </c>
      <c r="P120">
        <v>537.726</v>
      </c>
    </row>
    <row r="121" spans="1:16" x14ac:dyDescent="0.35">
      <c r="A121">
        <v>121</v>
      </c>
      <c r="B121" t="s">
        <v>63</v>
      </c>
      <c r="C121" t="s">
        <v>62</v>
      </c>
      <c r="D121" t="s">
        <v>66</v>
      </c>
      <c r="E121" t="s">
        <v>70</v>
      </c>
      <c r="F121">
        <v>1</v>
      </c>
      <c r="G121">
        <v>13400</v>
      </c>
      <c r="H121">
        <v>1</v>
      </c>
      <c r="I121" t="s">
        <v>67</v>
      </c>
      <c r="J121">
        <v>12</v>
      </c>
      <c r="K121" t="s">
        <v>13</v>
      </c>
      <c r="L121" t="s">
        <v>56</v>
      </c>
      <c r="M121" t="s">
        <v>24</v>
      </c>
      <c r="N121" s="25">
        <v>41434</v>
      </c>
      <c r="O121">
        <v>142.547</v>
      </c>
      <c r="P121">
        <v>142.547</v>
      </c>
    </row>
    <row r="122" spans="1:16" x14ac:dyDescent="0.35">
      <c r="A122">
        <v>122</v>
      </c>
      <c r="B122" t="s">
        <v>65</v>
      </c>
      <c r="C122" t="s">
        <v>62</v>
      </c>
      <c r="D122" t="s">
        <v>58</v>
      </c>
      <c r="E122" t="s">
        <v>2</v>
      </c>
      <c r="F122">
        <v>1</v>
      </c>
      <c r="G122">
        <v>54700</v>
      </c>
      <c r="H122">
        <v>0</v>
      </c>
      <c r="I122" t="s">
        <v>68</v>
      </c>
      <c r="J122">
        <v>24</v>
      </c>
      <c r="K122" t="s">
        <v>12</v>
      </c>
      <c r="L122" t="s">
        <v>41</v>
      </c>
      <c r="M122" t="s">
        <v>20</v>
      </c>
      <c r="N122" s="25">
        <v>40015</v>
      </c>
      <c r="O122">
        <v>1403.8309999999999</v>
      </c>
      <c r="P122">
        <v>1403.8309999999999</v>
      </c>
    </row>
    <row r="123" spans="1:16" x14ac:dyDescent="0.35">
      <c r="A123">
        <v>123</v>
      </c>
      <c r="B123" t="s">
        <v>65</v>
      </c>
      <c r="C123" t="s">
        <v>61</v>
      </c>
      <c r="D123" t="s">
        <v>58</v>
      </c>
      <c r="E123" t="s">
        <v>2</v>
      </c>
      <c r="F123">
        <v>0</v>
      </c>
      <c r="G123">
        <v>41300</v>
      </c>
      <c r="H123">
        <v>0</v>
      </c>
      <c r="I123" t="s">
        <v>69</v>
      </c>
      <c r="J123">
        <v>24</v>
      </c>
      <c r="K123" t="s">
        <v>12</v>
      </c>
      <c r="L123" t="s">
        <v>41</v>
      </c>
      <c r="M123" t="s">
        <v>20</v>
      </c>
      <c r="N123" s="25">
        <v>41509</v>
      </c>
      <c r="O123">
        <v>1985.325</v>
      </c>
      <c r="P123">
        <v>1985.325</v>
      </c>
    </row>
    <row r="124" spans="1:16" x14ac:dyDescent="0.35">
      <c r="A124">
        <v>124</v>
      </c>
      <c r="B124" t="s">
        <v>64</v>
      </c>
      <c r="C124" t="s">
        <v>62</v>
      </c>
      <c r="D124" t="s">
        <v>58</v>
      </c>
      <c r="E124" t="s">
        <v>2</v>
      </c>
      <c r="F124">
        <v>1</v>
      </c>
      <c r="G124">
        <v>130700</v>
      </c>
      <c r="H124">
        <v>3</v>
      </c>
      <c r="I124" t="s">
        <v>8</v>
      </c>
      <c r="J124">
        <v>6</v>
      </c>
      <c r="K124" t="s">
        <v>14</v>
      </c>
      <c r="L124" t="s">
        <v>50</v>
      </c>
      <c r="M124" t="s">
        <v>34</v>
      </c>
      <c r="N124" s="25">
        <v>42241</v>
      </c>
      <c r="O124">
        <v>2070.2570000000001</v>
      </c>
      <c r="P124">
        <v>2070.2570000000001</v>
      </c>
    </row>
    <row r="125" spans="1:16" x14ac:dyDescent="0.35">
      <c r="A125">
        <v>125</v>
      </c>
      <c r="B125" t="s">
        <v>65</v>
      </c>
      <c r="C125" t="s">
        <v>62</v>
      </c>
      <c r="D125" t="s">
        <v>66</v>
      </c>
      <c r="E125" t="s">
        <v>2</v>
      </c>
      <c r="F125">
        <v>1</v>
      </c>
      <c r="G125">
        <v>39500</v>
      </c>
      <c r="H125">
        <v>0</v>
      </c>
      <c r="I125" t="s">
        <v>68</v>
      </c>
      <c r="J125">
        <v>12</v>
      </c>
      <c r="K125" t="s">
        <v>12</v>
      </c>
      <c r="L125" t="s">
        <v>47</v>
      </c>
      <c r="M125" t="s">
        <v>16</v>
      </c>
      <c r="N125" s="25">
        <v>42075</v>
      </c>
      <c r="O125">
        <v>1006.258</v>
      </c>
      <c r="P125">
        <v>1006.258</v>
      </c>
    </row>
    <row r="126" spans="1:16" x14ac:dyDescent="0.35">
      <c r="A126">
        <v>126</v>
      </c>
      <c r="B126" t="s">
        <v>64</v>
      </c>
      <c r="C126" t="s">
        <v>62</v>
      </c>
      <c r="D126" t="s">
        <v>58</v>
      </c>
      <c r="E126" t="s">
        <v>2</v>
      </c>
      <c r="F126">
        <v>1</v>
      </c>
      <c r="G126">
        <v>93400</v>
      </c>
      <c r="H126">
        <v>2</v>
      </c>
      <c r="I126" t="s">
        <v>8</v>
      </c>
      <c r="J126">
        <v>24</v>
      </c>
      <c r="K126" t="s">
        <v>12</v>
      </c>
      <c r="L126" t="s">
        <v>55</v>
      </c>
      <c r="M126" t="s">
        <v>17</v>
      </c>
      <c r="N126" s="25">
        <v>42029</v>
      </c>
      <c r="O126">
        <v>3079.0740000000001</v>
      </c>
      <c r="P126">
        <v>3079.0740000000001</v>
      </c>
    </row>
    <row r="127" spans="1:16" x14ac:dyDescent="0.35">
      <c r="A127">
        <v>127</v>
      </c>
      <c r="B127" t="s">
        <v>64</v>
      </c>
      <c r="C127" t="s">
        <v>61</v>
      </c>
      <c r="D127" t="s">
        <v>58</v>
      </c>
      <c r="E127" t="s">
        <v>2</v>
      </c>
      <c r="F127">
        <v>1</v>
      </c>
      <c r="G127">
        <v>83100</v>
      </c>
      <c r="H127">
        <v>2</v>
      </c>
      <c r="I127" t="s">
        <v>68</v>
      </c>
      <c r="J127">
        <v>6</v>
      </c>
      <c r="K127" t="s">
        <v>12</v>
      </c>
      <c r="L127" t="s">
        <v>54</v>
      </c>
      <c r="M127" t="s">
        <v>21</v>
      </c>
      <c r="N127" s="25">
        <v>41079</v>
      </c>
      <c r="O127">
        <v>586.34100000000001</v>
      </c>
      <c r="P127">
        <v>586.34100000000001</v>
      </c>
    </row>
    <row r="128" spans="1:16" x14ac:dyDescent="0.35">
      <c r="A128">
        <v>128</v>
      </c>
      <c r="B128" t="s">
        <v>64</v>
      </c>
      <c r="C128" t="s">
        <v>61</v>
      </c>
      <c r="D128" t="s">
        <v>58</v>
      </c>
      <c r="E128" t="s">
        <v>70</v>
      </c>
      <c r="F128">
        <v>1</v>
      </c>
      <c r="G128">
        <v>55900</v>
      </c>
      <c r="H128">
        <v>1</v>
      </c>
      <c r="I128" t="s">
        <v>8</v>
      </c>
      <c r="J128">
        <v>24</v>
      </c>
      <c r="K128" t="s">
        <v>12</v>
      </c>
      <c r="L128" t="s">
        <v>41</v>
      </c>
      <c r="M128" t="s">
        <v>20</v>
      </c>
      <c r="N128" s="25">
        <v>42104</v>
      </c>
      <c r="O128">
        <v>2555.4499999999998</v>
      </c>
      <c r="P128">
        <v>2555.4499999999998</v>
      </c>
    </row>
    <row r="129" spans="1:16" x14ac:dyDescent="0.35">
      <c r="A129">
        <v>129</v>
      </c>
      <c r="B129" t="s">
        <v>65</v>
      </c>
      <c r="C129" t="s">
        <v>61</v>
      </c>
      <c r="D129" t="s">
        <v>58</v>
      </c>
      <c r="E129" t="s">
        <v>2</v>
      </c>
      <c r="F129">
        <v>1</v>
      </c>
      <c r="G129">
        <v>71200</v>
      </c>
      <c r="H129">
        <v>1</v>
      </c>
      <c r="I129" t="s">
        <v>68</v>
      </c>
      <c r="J129">
        <v>12</v>
      </c>
      <c r="K129" t="s">
        <v>15</v>
      </c>
      <c r="L129" t="s">
        <v>28</v>
      </c>
      <c r="M129" t="s">
        <v>33</v>
      </c>
      <c r="N129" s="25">
        <v>40971</v>
      </c>
      <c r="O129">
        <v>637.80100000000004</v>
      </c>
      <c r="P129">
        <v>637.80100000000004</v>
      </c>
    </row>
    <row r="130" spans="1:16" x14ac:dyDescent="0.35">
      <c r="A130">
        <v>130</v>
      </c>
      <c r="B130" t="s">
        <v>64</v>
      </c>
      <c r="C130" t="s">
        <v>61</v>
      </c>
      <c r="D130" t="s">
        <v>66</v>
      </c>
      <c r="E130" t="s">
        <v>70</v>
      </c>
      <c r="F130">
        <v>1</v>
      </c>
      <c r="G130">
        <v>57800</v>
      </c>
      <c r="H130">
        <v>0</v>
      </c>
      <c r="I130" t="s">
        <v>68</v>
      </c>
      <c r="J130">
        <v>24</v>
      </c>
      <c r="K130" t="s">
        <v>12</v>
      </c>
      <c r="L130" t="s">
        <v>47</v>
      </c>
      <c r="M130" t="s">
        <v>16</v>
      </c>
      <c r="N130" s="25">
        <v>41111</v>
      </c>
      <c r="O130">
        <v>1148.6099999999999</v>
      </c>
      <c r="P130">
        <v>1148.6099999999999</v>
      </c>
    </row>
    <row r="131" spans="1:16" x14ac:dyDescent="0.35">
      <c r="A131">
        <v>131</v>
      </c>
      <c r="B131" t="s">
        <v>64</v>
      </c>
      <c r="C131" t="s">
        <v>61</v>
      </c>
      <c r="D131" t="s">
        <v>66</v>
      </c>
      <c r="E131" t="s">
        <v>70</v>
      </c>
      <c r="F131">
        <v>1</v>
      </c>
      <c r="G131">
        <v>59100</v>
      </c>
      <c r="H131">
        <v>2</v>
      </c>
      <c r="I131" t="s">
        <v>67</v>
      </c>
      <c r="J131">
        <v>18</v>
      </c>
      <c r="K131" t="s">
        <v>12</v>
      </c>
      <c r="L131" t="s">
        <v>47</v>
      </c>
      <c r="M131" t="s">
        <v>18</v>
      </c>
      <c r="N131" s="25">
        <v>41361</v>
      </c>
      <c r="O131">
        <v>579.54100000000005</v>
      </c>
      <c r="P131">
        <v>579.54100000000005</v>
      </c>
    </row>
    <row r="132" spans="1:16" x14ac:dyDescent="0.35">
      <c r="A132">
        <v>132</v>
      </c>
      <c r="B132" t="s">
        <v>63</v>
      </c>
      <c r="C132" t="s">
        <v>62</v>
      </c>
      <c r="D132" t="s">
        <v>66</v>
      </c>
      <c r="E132" t="s">
        <v>70</v>
      </c>
      <c r="F132">
        <v>0</v>
      </c>
      <c r="G132">
        <v>23100</v>
      </c>
      <c r="H132">
        <v>2</v>
      </c>
      <c r="I132" t="s">
        <v>67</v>
      </c>
      <c r="J132">
        <v>6</v>
      </c>
      <c r="K132" t="s">
        <v>14</v>
      </c>
      <c r="L132" t="s">
        <v>51</v>
      </c>
      <c r="M132" t="s">
        <v>38</v>
      </c>
      <c r="N132" s="25">
        <v>41068</v>
      </c>
      <c r="O132">
        <v>465.55399999999997</v>
      </c>
      <c r="P132">
        <v>465.55399999999997</v>
      </c>
    </row>
    <row r="133" spans="1:16" x14ac:dyDescent="0.35">
      <c r="A133">
        <v>133</v>
      </c>
      <c r="B133" t="s">
        <v>63</v>
      </c>
      <c r="C133" t="s">
        <v>61</v>
      </c>
      <c r="D133" t="s">
        <v>66</v>
      </c>
      <c r="E133" t="s">
        <v>70</v>
      </c>
      <c r="F133">
        <v>0</v>
      </c>
      <c r="G133">
        <v>10900</v>
      </c>
      <c r="H133">
        <v>0</v>
      </c>
      <c r="I133" t="s">
        <v>67</v>
      </c>
      <c r="J133">
        <v>24</v>
      </c>
      <c r="K133" t="s">
        <v>14</v>
      </c>
      <c r="L133" t="s">
        <v>51</v>
      </c>
      <c r="M133" t="s">
        <v>38</v>
      </c>
      <c r="N133" s="25">
        <v>41649</v>
      </c>
      <c r="O133">
        <v>407.30200000000002</v>
      </c>
      <c r="P133">
        <v>407.30200000000002</v>
      </c>
    </row>
    <row r="134" spans="1:16" x14ac:dyDescent="0.35">
      <c r="A134">
        <v>134</v>
      </c>
      <c r="B134" t="s">
        <v>64</v>
      </c>
      <c r="C134" t="s">
        <v>62</v>
      </c>
      <c r="D134" t="s">
        <v>58</v>
      </c>
      <c r="E134" t="s">
        <v>70</v>
      </c>
      <c r="F134">
        <v>0</v>
      </c>
      <c r="G134">
        <v>47500</v>
      </c>
      <c r="H134">
        <v>0</v>
      </c>
      <c r="I134" t="s">
        <v>69</v>
      </c>
      <c r="J134">
        <v>6</v>
      </c>
      <c r="K134" t="s">
        <v>13</v>
      </c>
      <c r="L134" t="s">
        <v>46</v>
      </c>
      <c r="M134" t="s">
        <v>22</v>
      </c>
      <c r="N134" s="25">
        <v>41993</v>
      </c>
      <c r="O134">
        <v>847.46900000000005</v>
      </c>
      <c r="P134">
        <v>847.46900000000005</v>
      </c>
    </row>
    <row r="135" spans="1:16" x14ac:dyDescent="0.35">
      <c r="A135">
        <v>135</v>
      </c>
      <c r="B135" t="s">
        <v>64</v>
      </c>
      <c r="C135" t="s">
        <v>61</v>
      </c>
      <c r="D135" t="s">
        <v>66</v>
      </c>
      <c r="E135" t="s">
        <v>2</v>
      </c>
      <c r="F135">
        <v>1</v>
      </c>
      <c r="G135">
        <v>76200</v>
      </c>
      <c r="H135">
        <v>1</v>
      </c>
      <c r="I135" t="s">
        <v>8</v>
      </c>
      <c r="J135">
        <v>24</v>
      </c>
      <c r="K135" t="s">
        <v>12</v>
      </c>
      <c r="L135" t="s">
        <v>41</v>
      </c>
      <c r="M135" t="s">
        <v>20</v>
      </c>
      <c r="N135" s="25">
        <v>42100</v>
      </c>
      <c r="O135">
        <v>2436.88</v>
      </c>
      <c r="P135">
        <v>2436.88</v>
      </c>
    </row>
    <row r="136" spans="1:16" x14ac:dyDescent="0.35">
      <c r="A136">
        <v>136</v>
      </c>
      <c r="B136" t="s">
        <v>63</v>
      </c>
      <c r="C136" t="s">
        <v>61</v>
      </c>
      <c r="D136" t="s">
        <v>66</v>
      </c>
      <c r="E136" t="s">
        <v>70</v>
      </c>
      <c r="F136">
        <v>1</v>
      </c>
      <c r="G136">
        <v>14200</v>
      </c>
      <c r="H136">
        <v>1</v>
      </c>
      <c r="I136" t="s">
        <v>8</v>
      </c>
      <c r="J136">
        <v>24</v>
      </c>
      <c r="K136" t="s">
        <v>15</v>
      </c>
      <c r="L136" t="s">
        <v>42</v>
      </c>
      <c r="M136" t="s">
        <v>32</v>
      </c>
      <c r="N136" s="25">
        <v>42167</v>
      </c>
      <c r="O136">
        <v>399.82400000000001</v>
      </c>
      <c r="P136">
        <v>399.82400000000001</v>
      </c>
    </row>
    <row r="137" spans="1:16" x14ac:dyDescent="0.35">
      <c r="A137">
        <v>137</v>
      </c>
      <c r="B137" t="s">
        <v>65</v>
      </c>
      <c r="C137" t="s">
        <v>62</v>
      </c>
      <c r="D137" t="s">
        <v>66</v>
      </c>
      <c r="E137" t="s">
        <v>2</v>
      </c>
      <c r="F137">
        <v>0</v>
      </c>
      <c r="G137">
        <v>52500</v>
      </c>
      <c r="H137">
        <v>0</v>
      </c>
      <c r="I137" t="s">
        <v>69</v>
      </c>
      <c r="J137">
        <v>24</v>
      </c>
      <c r="K137" t="s">
        <v>12</v>
      </c>
      <c r="L137" t="s">
        <v>53</v>
      </c>
      <c r="M137" t="s">
        <v>19</v>
      </c>
      <c r="N137" s="25">
        <v>40901</v>
      </c>
      <c r="O137">
        <v>2037.5160000000001</v>
      </c>
      <c r="P137">
        <v>2037.5160000000001</v>
      </c>
    </row>
    <row r="138" spans="1:16" x14ac:dyDescent="0.35">
      <c r="A138">
        <v>138</v>
      </c>
      <c r="B138" t="s">
        <v>64</v>
      </c>
      <c r="C138" t="s">
        <v>62</v>
      </c>
      <c r="D138" t="s">
        <v>66</v>
      </c>
      <c r="E138" t="s">
        <v>2</v>
      </c>
      <c r="F138">
        <v>0</v>
      </c>
      <c r="G138">
        <v>43300</v>
      </c>
      <c r="H138">
        <v>3</v>
      </c>
      <c r="I138" t="s">
        <v>68</v>
      </c>
      <c r="J138">
        <v>24</v>
      </c>
      <c r="K138" t="s">
        <v>13</v>
      </c>
      <c r="L138" t="s">
        <v>42</v>
      </c>
      <c r="M138" t="s">
        <v>25</v>
      </c>
      <c r="N138" s="25">
        <v>40245</v>
      </c>
      <c r="O138">
        <v>715.83500000000004</v>
      </c>
      <c r="P138">
        <v>715.83500000000004</v>
      </c>
    </row>
    <row r="139" spans="1:16" x14ac:dyDescent="0.35">
      <c r="A139">
        <v>139</v>
      </c>
      <c r="B139" t="s">
        <v>64</v>
      </c>
      <c r="C139" t="s">
        <v>61</v>
      </c>
      <c r="D139" t="s">
        <v>58</v>
      </c>
      <c r="E139" t="s">
        <v>70</v>
      </c>
      <c r="F139">
        <v>1</v>
      </c>
      <c r="G139">
        <v>66600</v>
      </c>
      <c r="H139">
        <v>0</v>
      </c>
      <c r="I139" t="s">
        <v>69</v>
      </c>
      <c r="J139">
        <v>18</v>
      </c>
      <c r="K139" t="s">
        <v>12</v>
      </c>
      <c r="L139" t="s">
        <v>55</v>
      </c>
      <c r="M139" t="s">
        <v>17</v>
      </c>
      <c r="N139" s="25">
        <v>41943</v>
      </c>
      <c r="O139">
        <v>1177.31</v>
      </c>
      <c r="P139">
        <v>1177.31</v>
      </c>
    </row>
    <row r="140" spans="1:16" x14ac:dyDescent="0.35">
      <c r="A140">
        <v>140</v>
      </c>
      <c r="B140" t="s">
        <v>64</v>
      </c>
      <c r="C140" t="s">
        <v>61</v>
      </c>
      <c r="D140" t="s">
        <v>66</v>
      </c>
      <c r="E140" t="s">
        <v>70</v>
      </c>
      <c r="F140">
        <v>1</v>
      </c>
      <c r="G140">
        <v>55100</v>
      </c>
      <c r="H140">
        <v>2</v>
      </c>
      <c r="I140" t="s">
        <v>8</v>
      </c>
      <c r="J140">
        <v>6</v>
      </c>
      <c r="K140" t="s">
        <v>14</v>
      </c>
      <c r="L140" t="s">
        <v>40</v>
      </c>
      <c r="M140" t="s">
        <v>37</v>
      </c>
      <c r="N140" s="25">
        <v>42043</v>
      </c>
      <c r="O140">
        <v>825.66600000000005</v>
      </c>
      <c r="P140">
        <v>825.66600000000005</v>
      </c>
    </row>
    <row r="141" spans="1:16" x14ac:dyDescent="0.35">
      <c r="A141">
        <v>141</v>
      </c>
      <c r="B141" t="s">
        <v>63</v>
      </c>
      <c r="C141" t="s">
        <v>62</v>
      </c>
      <c r="D141" t="s">
        <v>66</v>
      </c>
      <c r="E141" t="s">
        <v>70</v>
      </c>
      <c r="F141">
        <v>1</v>
      </c>
      <c r="G141">
        <v>10600</v>
      </c>
      <c r="H141">
        <v>2</v>
      </c>
      <c r="I141" t="s">
        <v>67</v>
      </c>
      <c r="J141">
        <v>12</v>
      </c>
      <c r="K141" t="s">
        <v>14</v>
      </c>
      <c r="L141" t="s">
        <v>49</v>
      </c>
      <c r="M141" t="s">
        <v>39</v>
      </c>
      <c r="N141" s="25">
        <v>41505</v>
      </c>
      <c r="O141">
        <v>114.02800000000001</v>
      </c>
      <c r="P141">
        <v>114.02800000000001</v>
      </c>
    </row>
    <row r="142" spans="1:16" x14ac:dyDescent="0.35">
      <c r="A142">
        <v>142</v>
      </c>
      <c r="B142" t="s">
        <v>65</v>
      </c>
      <c r="C142" t="s">
        <v>61</v>
      </c>
      <c r="D142" t="s">
        <v>66</v>
      </c>
      <c r="E142" t="s">
        <v>70</v>
      </c>
      <c r="F142">
        <v>1</v>
      </c>
      <c r="G142">
        <v>56300</v>
      </c>
      <c r="H142">
        <v>0</v>
      </c>
      <c r="I142" t="s">
        <v>68</v>
      </c>
      <c r="J142">
        <v>6</v>
      </c>
      <c r="K142" t="s">
        <v>15</v>
      </c>
      <c r="L142" t="s">
        <v>44</v>
      </c>
      <c r="M142" t="s">
        <v>29</v>
      </c>
      <c r="N142" s="25">
        <v>40619</v>
      </c>
      <c r="O142">
        <v>873.13900000000001</v>
      </c>
      <c r="P142">
        <v>873.13900000000001</v>
      </c>
    </row>
    <row r="143" spans="1:16" x14ac:dyDescent="0.35">
      <c r="A143">
        <v>143</v>
      </c>
      <c r="B143" t="s">
        <v>63</v>
      </c>
      <c r="C143" t="s">
        <v>61</v>
      </c>
      <c r="D143" t="s">
        <v>58</v>
      </c>
      <c r="E143" t="s">
        <v>2</v>
      </c>
      <c r="F143">
        <v>1</v>
      </c>
      <c r="G143">
        <v>58900</v>
      </c>
      <c r="H143">
        <v>0</v>
      </c>
      <c r="I143" t="s">
        <v>8</v>
      </c>
      <c r="J143">
        <v>18</v>
      </c>
      <c r="K143" t="s">
        <v>15</v>
      </c>
      <c r="L143" t="s">
        <v>28</v>
      </c>
      <c r="M143" t="s">
        <v>28</v>
      </c>
      <c r="N143" s="25">
        <v>42101</v>
      </c>
      <c r="O143">
        <v>1214.607</v>
      </c>
      <c r="P143">
        <v>1214.607</v>
      </c>
    </row>
    <row r="144" spans="1:16" x14ac:dyDescent="0.35">
      <c r="A144">
        <v>144</v>
      </c>
      <c r="B144" t="s">
        <v>64</v>
      </c>
      <c r="C144" t="s">
        <v>62</v>
      </c>
      <c r="D144" t="s">
        <v>58</v>
      </c>
      <c r="E144" t="s">
        <v>2</v>
      </c>
      <c r="F144">
        <v>1</v>
      </c>
      <c r="G144">
        <v>102500</v>
      </c>
      <c r="H144">
        <v>3</v>
      </c>
      <c r="I144" t="s">
        <v>67</v>
      </c>
      <c r="J144">
        <v>12</v>
      </c>
      <c r="K144" t="s">
        <v>15</v>
      </c>
      <c r="L144" t="s">
        <v>52</v>
      </c>
      <c r="M144" t="s">
        <v>31</v>
      </c>
      <c r="N144" s="25">
        <v>39956</v>
      </c>
      <c r="O144">
        <v>548.21199999999999</v>
      </c>
      <c r="P144">
        <v>548.21199999999999</v>
      </c>
    </row>
    <row r="145" spans="1:16" x14ac:dyDescent="0.35">
      <c r="A145">
        <v>145</v>
      </c>
      <c r="B145" t="s">
        <v>64</v>
      </c>
      <c r="C145" t="s">
        <v>61</v>
      </c>
      <c r="D145" t="s">
        <v>58</v>
      </c>
      <c r="E145" t="s">
        <v>70</v>
      </c>
      <c r="F145">
        <v>0</v>
      </c>
      <c r="G145">
        <v>71500</v>
      </c>
      <c r="H145">
        <v>0</v>
      </c>
      <c r="I145" t="s">
        <v>8</v>
      </c>
      <c r="J145">
        <v>6</v>
      </c>
      <c r="K145" t="s">
        <v>13</v>
      </c>
      <c r="L145" t="s">
        <v>42</v>
      </c>
      <c r="M145" t="s">
        <v>25</v>
      </c>
      <c r="N145" s="25">
        <v>42079</v>
      </c>
      <c r="O145">
        <v>963.64</v>
      </c>
      <c r="P145">
        <v>963.64</v>
      </c>
    </row>
    <row r="146" spans="1:16" x14ac:dyDescent="0.35">
      <c r="A146">
        <v>146</v>
      </c>
      <c r="B146" t="s">
        <v>65</v>
      </c>
      <c r="C146" t="s">
        <v>61</v>
      </c>
      <c r="D146" t="s">
        <v>58</v>
      </c>
      <c r="E146" t="s">
        <v>2</v>
      </c>
      <c r="F146">
        <v>1</v>
      </c>
      <c r="G146">
        <v>73300</v>
      </c>
      <c r="H146">
        <v>0</v>
      </c>
      <c r="I146" t="s">
        <v>8</v>
      </c>
      <c r="J146">
        <v>12</v>
      </c>
      <c r="K146" t="s">
        <v>13</v>
      </c>
      <c r="L146" t="s">
        <v>43</v>
      </c>
      <c r="M146" t="s">
        <v>23</v>
      </c>
      <c r="N146" s="25">
        <v>42035</v>
      </c>
      <c r="O146">
        <v>1694.4670000000001</v>
      </c>
      <c r="P146">
        <v>1694.4670000000001</v>
      </c>
    </row>
    <row r="147" spans="1:16" x14ac:dyDescent="0.35">
      <c r="A147">
        <v>147</v>
      </c>
      <c r="B147" t="s">
        <v>64</v>
      </c>
      <c r="C147" t="s">
        <v>61</v>
      </c>
      <c r="D147" t="s">
        <v>58</v>
      </c>
      <c r="E147" t="s">
        <v>2</v>
      </c>
      <c r="F147">
        <v>1</v>
      </c>
      <c r="G147">
        <v>69900</v>
      </c>
      <c r="H147">
        <v>1</v>
      </c>
      <c r="I147" t="s">
        <v>8</v>
      </c>
      <c r="J147">
        <v>18</v>
      </c>
      <c r="K147" t="s">
        <v>14</v>
      </c>
      <c r="L147" t="s">
        <v>51</v>
      </c>
      <c r="M147" t="s">
        <v>38</v>
      </c>
      <c r="N147" s="25">
        <v>42078</v>
      </c>
      <c r="O147">
        <v>2100.8910000000001</v>
      </c>
      <c r="P147">
        <v>2100.8910000000001</v>
      </c>
    </row>
    <row r="148" spans="1:16" x14ac:dyDescent="0.35">
      <c r="A148">
        <v>148</v>
      </c>
      <c r="B148" t="s">
        <v>63</v>
      </c>
      <c r="C148" t="s">
        <v>62</v>
      </c>
      <c r="D148" t="s">
        <v>66</v>
      </c>
      <c r="E148" t="s">
        <v>70</v>
      </c>
      <c r="F148">
        <v>1</v>
      </c>
      <c r="G148">
        <v>12100</v>
      </c>
      <c r="H148">
        <v>1</v>
      </c>
      <c r="I148" t="s">
        <v>67</v>
      </c>
      <c r="J148">
        <v>6</v>
      </c>
      <c r="K148" t="s">
        <v>12</v>
      </c>
      <c r="L148" t="s">
        <v>53</v>
      </c>
      <c r="M148" t="s">
        <v>19</v>
      </c>
      <c r="N148" s="25">
        <v>41529</v>
      </c>
      <c r="O148">
        <v>89.703000000000003</v>
      </c>
      <c r="P148">
        <v>89.703000000000003</v>
      </c>
    </row>
    <row r="149" spans="1:16" x14ac:dyDescent="0.35">
      <c r="A149">
        <v>149</v>
      </c>
      <c r="B149" t="s">
        <v>63</v>
      </c>
      <c r="C149" t="s">
        <v>62</v>
      </c>
      <c r="D149" t="s">
        <v>66</v>
      </c>
      <c r="E149" t="s">
        <v>70</v>
      </c>
      <c r="F149">
        <v>1</v>
      </c>
      <c r="G149">
        <v>23000</v>
      </c>
      <c r="H149">
        <v>3</v>
      </c>
      <c r="I149" t="s">
        <v>67</v>
      </c>
      <c r="J149">
        <v>6</v>
      </c>
      <c r="K149" t="s">
        <v>13</v>
      </c>
      <c r="L149" t="s">
        <v>43</v>
      </c>
      <c r="M149" t="s">
        <v>23</v>
      </c>
      <c r="N149" s="25">
        <v>42024</v>
      </c>
      <c r="O149">
        <v>78.701999999999998</v>
      </c>
      <c r="P149">
        <v>78.701999999999998</v>
      </c>
    </row>
    <row r="150" spans="1:16" x14ac:dyDescent="0.35">
      <c r="A150">
        <v>150</v>
      </c>
      <c r="B150" t="s">
        <v>64</v>
      </c>
      <c r="C150" t="s">
        <v>61</v>
      </c>
      <c r="D150" t="s">
        <v>66</v>
      </c>
      <c r="E150" t="s">
        <v>70</v>
      </c>
      <c r="F150">
        <v>1</v>
      </c>
      <c r="G150">
        <v>39500</v>
      </c>
      <c r="H150">
        <v>1</v>
      </c>
      <c r="I150" t="s">
        <v>8</v>
      </c>
      <c r="J150">
        <v>6</v>
      </c>
      <c r="K150" t="s">
        <v>14</v>
      </c>
      <c r="L150" t="s">
        <v>49</v>
      </c>
      <c r="M150" t="s">
        <v>39</v>
      </c>
      <c r="N150" s="25">
        <v>42132</v>
      </c>
      <c r="O150">
        <v>411.964</v>
      </c>
      <c r="P150">
        <v>411.964</v>
      </c>
    </row>
    <row r="151" spans="1:16" x14ac:dyDescent="0.35">
      <c r="A151">
        <v>151</v>
      </c>
      <c r="B151" t="s">
        <v>65</v>
      </c>
      <c r="C151" t="s">
        <v>61</v>
      </c>
      <c r="D151" t="s">
        <v>58</v>
      </c>
      <c r="E151" t="s">
        <v>2</v>
      </c>
      <c r="F151">
        <v>1</v>
      </c>
      <c r="G151">
        <v>55500</v>
      </c>
      <c r="H151">
        <v>0</v>
      </c>
      <c r="I151" t="s">
        <v>68</v>
      </c>
      <c r="J151">
        <v>18</v>
      </c>
      <c r="K151" t="s">
        <v>14</v>
      </c>
      <c r="L151" t="s">
        <v>50</v>
      </c>
      <c r="M151" t="s">
        <v>34</v>
      </c>
      <c r="N151" s="25">
        <v>39945</v>
      </c>
      <c r="O151">
        <v>857.976</v>
      </c>
      <c r="P151">
        <v>857.976</v>
      </c>
    </row>
    <row r="152" spans="1:16" x14ac:dyDescent="0.35">
      <c r="A152">
        <v>152</v>
      </c>
      <c r="B152" t="s">
        <v>64</v>
      </c>
      <c r="C152" t="s">
        <v>61</v>
      </c>
      <c r="D152" t="s">
        <v>66</v>
      </c>
      <c r="E152" t="s">
        <v>70</v>
      </c>
      <c r="F152">
        <v>1</v>
      </c>
      <c r="G152">
        <v>45600</v>
      </c>
      <c r="H152">
        <v>0</v>
      </c>
      <c r="I152" t="s">
        <v>68</v>
      </c>
      <c r="J152">
        <v>18</v>
      </c>
      <c r="K152" t="s">
        <v>12</v>
      </c>
      <c r="L152" t="s">
        <v>54</v>
      </c>
      <c r="M152" t="s">
        <v>21</v>
      </c>
      <c r="N152" s="25">
        <v>41915</v>
      </c>
      <c r="O152">
        <v>1387.9690000000001</v>
      </c>
      <c r="P152">
        <v>1387.9690000000001</v>
      </c>
    </row>
    <row r="153" spans="1:16" x14ac:dyDescent="0.35">
      <c r="A153">
        <v>153</v>
      </c>
      <c r="B153" t="s">
        <v>63</v>
      </c>
      <c r="C153" t="s">
        <v>61</v>
      </c>
      <c r="D153" t="s">
        <v>66</v>
      </c>
      <c r="E153" t="s">
        <v>70</v>
      </c>
      <c r="F153">
        <v>0</v>
      </c>
      <c r="G153">
        <v>19500</v>
      </c>
      <c r="H153">
        <v>0</v>
      </c>
      <c r="I153" t="s">
        <v>8</v>
      </c>
      <c r="J153">
        <v>24</v>
      </c>
      <c r="K153" t="s">
        <v>15</v>
      </c>
      <c r="L153" t="s">
        <v>42</v>
      </c>
      <c r="M153" t="s">
        <v>32</v>
      </c>
      <c r="N153" s="25">
        <v>42205</v>
      </c>
      <c r="O153">
        <v>571.447</v>
      </c>
      <c r="P153">
        <v>571.447</v>
      </c>
    </row>
    <row r="154" spans="1:16" x14ac:dyDescent="0.35">
      <c r="A154">
        <v>154</v>
      </c>
      <c r="B154" t="s">
        <v>64</v>
      </c>
      <c r="C154" t="s">
        <v>62</v>
      </c>
      <c r="D154" t="s">
        <v>58</v>
      </c>
      <c r="E154" t="s">
        <v>2</v>
      </c>
      <c r="F154">
        <v>0</v>
      </c>
      <c r="G154">
        <v>96800</v>
      </c>
      <c r="H154">
        <v>3</v>
      </c>
      <c r="I154" t="s">
        <v>8</v>
      </c>
      <c r="J154">
        <v>24</v>
      </c>
      <c r="K154" t="s">
        <v>13</v>
      </c>
      <c r="L154" t="s">
        <v>48</v>
      </c>
      <c r="M154" t="s">
        <v>27</v>
      </c>
      <c r="N154" s="25">
        <v>42122</v>
      </c>
      <c r="O154">
        <v>3081.5630000000001</v>
      </c>
      <c r="P154">
        <v>3081.5630000000001</v>
      </c>
    </row>
    <row r="155" spans="1:16" x14ac:dyDescent="0.35">
      <c r="A155">
        <v>155</v>
      </c>
      <c r="B155" t="s">
        <v>63</v>
      </c>
      <c r="C155" t="s">
        <v>62</v>
      </c>
      <c r="D155" t="s">
        <v>66</v>
      </c>
      <c r="E155" t="s">
        <v>70</v>
      </c>
      <c r="F155">
        <v>1</v>
      </c>
      <c r="G155">
        <v>10200</v>
      </c>
      <c r="H155">
        <v>3</v>
      </c>
      <c r="I155" t="s">
        <v>8</v>
      </c>
      <c r="J155">
        <v>6</v>
      </c>
      <c r="K155" t="s">
        <v>13</v>
      </c>
      <c r="L155" t="s">
        <v>45</v>
      </c>
      <c r="M155" t="s">
        <v>26</v>
      </c>
      <c r="N155" s="25">
        <v>42100</v>
      </c>
      <c r="O155">
        <v>198.50800000000001</v>
      </c>
      <c r="P155">
        <v>198.50800000000001</v>
      </c>
    </row>
    <row r="156" spans="1:16" x14ac:dyDescent="0.35">
      <c r="A156">
        <v>156</v>
      </c>
      <c r="B156" t="s">
        <v>64</v>
      </c>
      <c r="C156" t="s">
        <v>61</v>
      </c>
      <c r="D156" t="s">
        <v>58</v>
      </c>
      <c r="E156" t="s">
        <v>2</v>
      </c>
      <c r="F156">
        <v>1</v>
      </c>
      <c r="G156">
        <v>83700</v>
      </c>
      <c r="H156">
        <v>0</v>
      </c>
      <c r="I156" t="s">
        <v>69</v>
      </c>
      <c r="J156">
        <v>24</v>
      </c>
      <c r="K156" t="s">
        <v>15</v>
      </c>
      <c r="L156" t="s">
        <v>52</v>
      </c>
      <c r="M156" t="s">
        <v>31</v>
      </c>
      <c r="N156" s="25">
        <v>40395</v>
      </c>
      <c r="O156">
        <v>3343.9789999999998</v>
      </c>
      <c r="P156">
        <v>3343.9789999999998</v>
      </c>
    </row>
    <row r="157" spans="1:16" x14ac:dyDescent="0.35">
      <c r="A157">
        <v>157</v>
      </c>
      <c r="B157" t="s">
        <v>64</v>
      </c>
      <c r="C157" t="s">
        <v>62</v>
      </c>
      <c r="D157" t="s">
        <v>58</v>
      </c>
      <c r="E157" t="s">
        <v>2</v>
      </c>
      <c r="F157">
        <v>1</v>
      </c>
      <c r="G157">
        <v>72600</v>
      </c>
      <c r="H157">
        <v>1</v>
      </c>
      <c r="I157" t="s">
        <v>8</v>
      </c>
      <c r="J157">
        <v>18</v>
      </c>
      <c r="K157" t="s">
        <v>14</v>
      </c>
      <c r="L157" t="s">
        <v>49</v>
      </c>
      <c r="M157" t="s">
        <v>39</v>
      </c>
      <c r="N157" s="25">
        <v>42241</v>
      </c>
      <c r="O157">
        <v>1999.115</v>
      </c>
      <c r="P157">
        <v>1999.115</v>
      </c>
    </row>
    <row r="158" spans="1:16" x14ac:dyDescent="0.35">
      <c r="A158">
        <v>158</v>
      </c>
      <c r="B158" t="s">
        <v>64</v>
      </c>
      <c r="C158" t="s">
        <v>61</v>
      </c>
      <c r="D158" t="s">
        <v>66</v>
      </c>
      <c r="E158" t="s">
        <v>70</v>
      </c>
      <c r="F158">
        <v>0</v>
      </c>
      <c r="G158">
        <v>40500</v>
      </c>
      <c r="H158">
        <v>1</v>
      </c>
      <c r="I158" t="s">
        <v>8</v>
      </c>
      <c r="J158">
        <v>18</v>
      </c>
      <c r="K158" t="s">
        <v>15</v>
      </c>
      <c r="L158" t="s">
        <v>28</v>
      </c>
      <c r="M158" t="s">
        <v>33</v>
      </c>
      <c r="N158" s="25">
        <v>42177</v>
      </c>
      <c r="O158">
        <v>1072.8620000000001</v>
      </c>
      <c r="P158">
        <v>1072.8620000000001</v>
      </c>
    </row>
    <row r="159" spans="1:16" x14ac:dyDescent="0.35">
      <c r="A159">
        <v>159</v>
      </c>
      <c r="B159" t="s">
        <v>64</v>
      </c>
      <c r="C159" t="s">
        <v>61</v>
      </c>
      <c r="D159" t="s">
        <v>58</v>
      </c>
      <c r="E159" t="s">
        <v>2</v>
      </c>
      <c r="F159">
        <v>1</v>
      </c>
      <c r="G159">
        <v>63300</v>
      </c>
      <c r="H159">
        <v>2</v>
      </c>
      <c r="I159" t="s">
        <v>8</v>
      </c>
      <c r="J159">
        <v>6</v>
      </c>
      <c r="K159" t="s">
        <v>15</v>
      </c>
      <c r="L159" t="s">
        <v>44</v>
      </c>
      <c r="M159" t="s">
        <v>29</v>
      </c>
      <c r="N159" s="25">
        <v>42100</v>
      </c>
      <c r="O159">
        <v>632.70299999999997</v>
      </c>
      <c r="P159">
        <v>632.70299999999997</v>
      </c>
    </row>
    <row r="160" spans="1:16" x14ac:dyDescent="0.35">
      <c r="A160">
        <v>160</v>
      </c>
      <c r="B160" t="s">
        <v>63</v>
      </c>
      <c r="C160" t="s">
        <v>61</v>
      </c>
      <c r="D160" t="s">
        <v>66</v>
      </c>
      <c r="E160" t="s">
        <v>70</v>
      </c>
      <c r="F160">
        <v>1</v>
      </c>
      <c r="G160">
        <v>14800</v>
      </c>
      <c r="H160">
        <v>3</v>
      </c>
      <c r="I160" t="s">
        <v>8</v>
      </c>
      <c r="J160">
        <v>12</v>
      </c>
      <c r="K160" t="s">
        <v>15</v>
      </c>
      <c r="L160" t="s">
        <v>28</v>
      </c>
      <c r="M160" t="s">
        <v>28</v>
      </c>
      <c r="N160" s="25">
        <v>42065</v>
      </c>
      <c r="O160">
        <v>435.74700000000001</v>
      </c>
      <c r="P160">
        <v>435.74700000000001</v>
      </c>
    </row>
    <row r="161" spans="1:16" x14ac:dyDescent="0.35">
      <c r="A161">
        <v>161</v>
      </c>
      <c r="B161" t="s">
        <v>65</v>
      </c>
      <c r="C161" t="s">
        <v>62</v>
      </c>
      <c r="D161" t="s">
        <v>66</v>
      </c>
      <c r="E161" t="s">
        <v>2</v>
      </c>
      <c r="F161">
        <v>1</v>
      </c>
      <c r="G161">
        <v>84800</v>
      </c>
      <c r="H161">
        <v>0</v>
      </c>
      <c r="I161" t="s">
        <v>69</v>
      </c>
      <c r="J161">
        <v>18</v>
      </c>
      <c r="K161" t="s">
        <v>13</v>
      </c>
      <c r="L161" t="s">
        <v>45</v>
      </c>
      <c r="M161" t="s">
        <v>26</v>
      </c>
      <c r="N161" s="25">
        <v>40263</v>
      </c>
      <c r="O161">
        <v>2623.6680000000001</v>
      </c>
      <c r="P161">
        <v>2623.6680000000001</v>
      </c>
    </row>
    <row r="162" spans="1:16" x14ac:dyDescent="0.35">
      <c r="A162">
        <v>162</v>
      </c>
      <c r="B162" t="s">
        <v>64</v>
      </c>
      <c r="C162" t="s">
        <v>62</v>
      </c>
      <c r="D162" t="s">
        <v>58</v>
      </c>
      <c r="E162" t="s">
        <v>2</v>
      </c>
      <c r="F162">
        <v>1</v>
      </c>
      <c r="G162">
        <v>62200</v>
      </c>
      <c r="H162">
        <v>3</v>
      </c>
      <c r="I162" t="s">
        <v>8</v>
      </c>
      <c r="J162">
        <v>24</v>
      </c>
      <c r="K162" t="s">
        <v>13</v>
      </c>
      <c r="L162" t="s">
        <v>45</v>
      </c>
      <c r="M162" t="s">
        <v>26</v>
      </c>
      <c r="N162" s="25">
        <v>40701</v>
      </c>
      <c r="O162">
        <v>2119.13</v>
      </c>
      <c r="P162">
        <v>2119.13</v>
      </c>
    </row>
    <row r="163" spans="1:16" x14ac:dyDescent="0.35">
      <c r="A163">
        <v>163</v>
      </c>
      <c r="B163" t="s">
        <v>64</v>
      </c>
      <c r="C163" t="s">
        <v>61</v>
      </c>
      <c r="D163" t="s">
        <v>66</v>
      </c>
      <c r="E163" t="s">
        <v>2</v>
      </c>
      <c r="F163">
        <v>0</v>
      </c>
      <c r="G163">
        <v>84100</v>
      </c>
      <c r="H163">
        <v>1</v>
      </c>
      <c r="I163" t="s">
        <v>69</v>
      </c>
      <c r="J163">
        <v>24</v>
      </c>
      <c r="K163" t="s">
        <v>14</v>
      </c>
      <c r="L163" t="s">
        <v>50</v>
      </c>
      <c r="M163" t="s">
        <v>34</v>
      </c>
      <c r="N163" s="25">
        <v>41561</v>
      </c>
      <c r="O163">
        <v>2362.0300000000002</v>
      </c>
      <c r="P163">
        <v>2362.0300000000002</v>
      </c>
    </row>
    <row r="164" spans="1:16" x14ac:dyDescent="0.35">
      <c r="A164">
        <v>164</v>
      </c>
      <c r="B164" t="s">
        <v>63</v>
      </c>
      <c r="C164" t="s">
        <v>62</v>
      </c>
      <c r="D164" t="s">
        <v>66</v>
      </c>
      <c r="E164" t="s">
        <v>70</v>
      </c>
      <c r="F164">
        <v>1</v>
      </c>
      <c r="G164">
        <v>26600</v>
      </c>
      <c r="H164">
        <v>2</v>
      </c>
      <c r="I164" t="s">
        <v>67</v>
      </c>
      <c r="J164">
        <v>24</v>
      </c>
      <c r="K164" t="s">
        <v>14</v>
      </c>
      <c r="L164" t="s">
        <v>40</v>
      </c>
      <c r="M164" t="s">
        <v>37</v>
      </c>
      <c r="N164" s="25">
        <v>41138</v>
      </c>
      <c r="O164">
        <v>245.21299999999999</v>
      </c>
      <c r="P164">
        <v>245.21299999999999</v>
      </c>
    </row>
    <row r="165" spans="1:16" x14ac:dyDescent="0.35">
      <c r="A165">
        <v>165</v>
      </c>
      <c r="B165" t="s">
        <v>65</v>
      </c>
      <c r="C165" t="s">
        <v>62</v>
      </c>
      <c r="D165" t="s">
        <v>66</v>
      </c>
      <c r="E165" t="s">
        <v>70</v>
      </c>
      <c r="F165">
        <v>1</v>
      </c>
      <c r="G165">
        <v>42500</v>
      </c>
      <c r="H165">
        <v>0</v>
      </c>
      <c r="I165" t="s">
        <v>68</v>
      </c>
      <c r="J165">
        <v>24</v>
      </c>
      <c r="K165" t="s">
        <v>14</v>
      </c>
      <c r="L165" t="s">
        <v>51</v>
      </c>
      <c r="M165" t="s">
        <v>38</v>
      </c>
      <c r="N165" s="25">
        <v>41057</v>
      </c>
      <c r="O165">
        <v>918.16600000000005</v>
      </c>
      <c r="P165">
        <v>918.16600000000005</v>
      </c>
    </row>
    <row r="166" spans="1:16" x14ac:dyDescent="0.35">
      <c r="A166">
        <v>166</v>
      </c>
      <c r="B166" t="s">
        <v>63</v>
      </c>
      <c r="C166" t="s">
        <v>61</v>
      </c>
      <c r="D166" t="s">
        <v>66</v>
      </c>
      <c r="E166" t="s">
        <v>70</v>
      </c>
      <c r="F166">
        <v>0</v>
      </c>
      <c r="G166">
        <v>15300</v>
      </c>
      <c r="H166">
        <v>0</v>
      </c>
      <c r="I166" t="s">
        <v>67</v>
      </c>
      <c r="J166">
        <v>24</v>
      </c>
      <c r="K166" t="s">
        <v>13</v>
      </c>
      <c r="L166" t="s">
        <v>42</v>
      </c>
      <c r="M166" t="s">
        <v>25</v>
      </c>
      <c r="N166" s="25">
        <v>40050</v>
      </c>
      <c r="O166">
        <v>644.75800000000004</v>
      </c>
      <c r="P166">
        <v>644.75800000000004</v>
      </c>
    </row>
    <row r="167" spans="1:16" x14ac:dyDescent="0.35">
      <c r="A167">
        <v>167</v>
      </c>
      <c r="B167" t="s">
        <v>64</v>
      </c>
      <c r="C167" t="s">
        <v>61</v>
      </c>
      <c r="D167" t="s">
        <v>58</v>
      </c>
      <c r="E167" t="s">
        <v>2</v>
      </c>
      <c r="F167">
        <v>1</v>
      </c>
      <c r="G167">
        <v>67600</v>
      </c>
      <c r="H167">
        <v>1</v>
      </c>
      <c r="I167" t="s">
        <v>68</v>
      </c>
      <c r="J167">
        <v>18</v>
      </c>
      <c r="K167" t="s">
        <v>15</v>
      </c>
      <c r="L167" t="s">
        <v>52</v>
      </c>
      <c r="M167" t="s">
        <v>31</v>
      </c>
      <c r="N167" s="25">
        <v>40932</v>
      </c>
      <c r="O167">
        <v>1172.373</v>
      </c>
      <c r="P167">
        <v>1172.373</v>
      </c>
    </row>
    <row r="168" spans="1:16" x14ac:dyDescent="0.35">
      <c r="A168">
        <v>168</v>
      </c>
      <c r="B168" t="s">
        <v>63</v>
      </c>
      <c r="C168" t="s">
        <v>61</v>
      </c>
      <c r="D168" t="s">
        <v>66</v>
      </c>
      <c r="E168" t="s">
        <v>70</v>
      </c>
      <c r="F168">
        <v>1</v>
      </c>
      <c r="G168">
        <v>15200</v>
      </c>
      <c r="H168">
        <v>0</v>
      </c>
      <c r="I168" t="s">
        <v>8</v>
      </c>
      <c r="J168">
        <v>12</v>
      </c>
      <c r="K168" t="s">
        <v>14</v>
      </c>
      <c r="L168" t="s">
        <v>40</v>
      </c>
      <c r="M168" t="s">
        <v>36</v>
      </c>
      <c r="N168" s="25">
        <v>42034</v>
      </c>
      <c r="O168">
        <v>323.86399999999998</v>
      </c>
      <c r="P168">
        <v>323.86399999999998</v>
      </c>
    </row>
    <row r="169" spans="1:16" x14ac:dyDescent="0.35">
      <c r="A169">
        <v>169</v>
      </c>
      <c r="B169" t="s">
        <v>64</v>
      </c>
      <c r="C169" t="s">
        <v>62</v>
      </c>
      <c r="D169" t="s">
        <v>58</v>
      </c>
      <c r="E169" t="s">
        <v>70</v>
      </c>
      <c r="F169">
        <v>0</v>
      </c>
      <c r="G169">
        <v>56000</v>
      </c>
      <c r="H169">
        <v>3</v>
      </c>
      <c r="I169" t="s">
        <v>68</v>
      </c>
      <c r="J169">
        <v>6</v>
      </c>
      <c r="K169" t="s">
        <v>14</v>
      </c>
      <c r="L169" t="s">
        <v>51</v>
      </c>
      <c r="M169" t="s">
        <v>38</v>
      </c>
      <c r="N169" s="25">
        <v>41973</v>
      </c>
      <c r="O169">
        <v>530.26700000000005</v>
      </c>
      <c r="P169">
        <v>530.26700000000005</v>
      </c>
    </row>
    <row r="170" spans="1:16" x14ac:dyDescent="0.35">
      <c r="A170">
        <v>170</v>
      </c>
      <c r="B170" t="s">
        <v>64</v>
      </c>
      <c r="C170" t="s">
        <v>62</v>
      </c>
      <c r="D170" t="s">
        <v>58</v>
      </c>
      <c r="E170" t="s">
        <v>2</v>
      </c>
      <c r="F170">
        <v>1</v>
      </c>
      <c r="G170">
        <v>84800</v>
      </c>
      <c r="H170">
        <v>1</v>
      </c>
      <c r="I170" t="s">
        <v>8</v>
      </c>
      <c r="J170">
        <v>12</v>
      </c>
      <c r="K170" t="s">
        <v>14</v>
      </c>
      <c r="L170" t="s">
        <v>40</v>
      </c>
      <c r="M170" t="s">
        <v>36</v>
      </c>
      <c r="N170" s="25">
        <v>42081</v>
      </c>
      <c r="O170">
        <v>1826.338</v>
      </c>
      <c r="P170">
        <v>1826.338</v>
      </c>
    </row>
    <row r="171" spans="1:16" x14ac:dyDescent="0.35">
      <c r="A171">
        <v>171</v>
      </c>
      <c r="B171" t="s">
        <v>63</v>
      </c>
      <c r="C171" t="s">
        <v>62</v>
      </c>
      <c r="D171" t="s">
        <v>66</v>
      </c>
      <c r="E171" t="s">
        <v>70</v>
      </c>
      <c r="F171">
        <v>1</v>
      </c>
      <c r="G171">
        <v>10600</v>
      </c>
      <c r="H171">
        <v>2</v>
      </c>
      <c r="I171" t="s">
        <v>8</v>
      </c>
      <c r="J171">
        <v>24</v>
      </c>
      <c r="K171" t="s">
        <v>14</v>
      </c>
      <c r="L171" t="s">
        <v>50</v>
      </c>
      <c r="M171" t="s">
        <v>34</v>
      </c>
      <c r="N171" s="25">
        <v>42112</v>
      </c>
      <c r="O171">
        <v>516.68700000000001</v>
      </c>
      <c r="P171">
        <v>516.68700000000001</v>
      </c>
    </row>
    <row r="172" spans="1:16" x14ac:dyDescent="0.35">
      <c r="A172">
        <v>172</v>
      </c>
      <c r="B172" t="s">
        <v>65</v>
      </c>
      <c r="C172" t="s">
        <v>62</v>
      </c>
      <c r="D172" t="s">
        <v>66</v>
      </c>
      <c r="E172" t="s">
        <v>2</v>
      </c>
      <c r="F172">
        <v>0</v>
      </c>
      <c r="G172">
        <v>88400</v>
      </c>
      <c r="H172">
        <v>0</v>
      </c>
      <c r="I172" t="s">
        <v>69</v>
      </c>
      <c r="J172">
        <v>18</v>
      </c>
      <c r="K172" t="s">
        <v>15</v>
      </c>
      <c r="L172" t="s">
        <v>52</v>
      </c>
      <c r="M172" t="s">
        <v>31</v>
      </c>
      <c r="N172" s="25">
        <v>41388</v>
      </c>
      <c r="O172">
        <v>3631.8719999999998</v>
      </c>
      <c r="P172">
        <v>3500</v>
      </c>
    </row>
    <row r="173" spans="1:16" x14ac:dyDescent="0.35">
      <c r="A173">
        <v>173</v>
      </c>
      <c r="B173" t="s">
        <v>64</v>
      </c>
      <c r="C173" t="s">
        <v>61</v>
      </c>
      <c r="D173" t="s">
        <v>58</v>
      </c>
      <c r="E173" t="s">
        <v>2</v>
      </c>
      <c r="F173">
        <v>1</v>
      </c>
      <c r="G173">
        <v>87200</v>
      </c>
      <c r="H173">
        <v>0</v>
      </c>
      <c r="I173" t="s">
        <v>69</v>
      </c>
      <c r="J173">
        <v>18</v>
      </c>
      <c r="K173" t="s">
        <v>12</v>
      </c>
      <c r="L173" t="s">
        <v>47</v>
      </c>
      <c r="M173" t="s">
        <v>16</v>
      </c>
      <c r="N173" s="25">
        <v>41092</v>
      </c>
      <c r="O173">
        <v>1273.7570000000001</v>
      </c>
      <c r="P173">
        <v>1273.7570000000001</v>
      </c>
    </row>
    <row r="174" spans="1:16" x14ac:dyDescent="0.35">
      <c r="A174">
        <v>174</v>
      </c>
      <c r="B174" t="s">
        <v>64</v>
      </c>
      <c r="C174" t="s">
        <v>61</v>
      </c>
      <c r="D174" t="s">
        <v>66</v>
      </c>
      <c r="E174" t="s">
        <v>2</v>
      </c>
      <c r="F174">
        <v>1</v>
      </c>
      <c r="G174">
        <v>106700</v>
      </c>
      <c r="H174">
        <v>2</v>
      </c>
      <c r="I174" t="s">
        <v>68</v>
      </c>
      <c r="J174">
        <v>6</v>
      </c>
      <c r="K174" t="s">
        <v>13</v>
      </c>
      <c r="L174" t="s">
        <v>42</v>
      </c>
      <c r="M174" t="s">
        <v>25</v>
      </c>
      <c r="N174" s="25">
        <v>41709</v>
      </c>
      <c r="O174">
        <v>607.17399999999998</v>
      </c>
      <c r="P174">
        <v>607.17399999999998</v>
      </c>
    </row>
    <row r="175" spans="1:16" x14ac:dyDescent="0.35">
      <c r="A175">
        <v>175</v>
      </c>
      <c r="B175" t="s">
        <v>63</v>
      </c>
      <c r="C175" t="s">
        <v>61</v>
      </c>
      <c r="D175" t="s">
        <v>66</v>
      </c>
      <c r="E175" t="s">
        <v>70</v>
      </c>
      <c r="F175">
        <v>1</v>
      </c>
      <c r="G175">
        <v>27100</v>
      </c>
      <c r="H175">
        <v>1</v>
      </c>
      <c r="I175" t="s">
        <v>67</v>
      </c>
      <c r="J175">
        <v>12</v>
      </c>
      <c r="K175" t="s">
        <v>13</v>
      </c>
      <c r="L175" t="s">
        <v>56</v>
      </c>
      <c r="M175" t="s">
        <v>24</v>
      </c>
      <c r="N175" s="25">
        <v>41514</v>
      </c>
      <c r="O175">
        <v>268.31099999999998</v>
      </c>
      <c r="P175">
        <v>268.31099999999998</v>
      </c>
    </row>
    <row r="176" spans="1:16" x14ac:dyDescent="0.35">
      <c r="A176">
        <v>176</v>
      </c>
      <c r="B176" t="s">
        <v>64</v>
      </c>
      <c r="C176" t="s">
        <v>62</v>
      </c>
      <c r="D176" t="s">
        <v>58</v>
      </c>
      <c r="E176" t="s">
        <v>70</v>
      </c>
      <c r="F176">
        <v>1</v>
      </c>
      <c r="G176">
        <v>46600</v>
      </c>
      <c r="H176">
        <v>2</v>
      </c>
      <c r="I176" t="s">
        <v>8</v>
      </c>
      <c r="J176">
        <v>18</v>
      </c>
      <c r="K176" t="s">
        <v>13</v>
      </c>
      <c r="L176" t="s">
        <v>56</v>
      </c>
      <c r="M176" t="s">
        <v>24</v>
      </c>
      <c r="N176" s="25">
        <v>42172</v>
      </c>
      <c r="O176">
        <v>1152.7719999999999</v>
      </c>
      <c r="P176">
        <v>1152.7719999999999</v>
      </c>
    </row>
    <row r="177" spans="1:16" x14ac:dyDescent="0.35">
      <c r="A177">
        <v>177</v>
      </c>
      <c r="B177" t="s">
        <v>64</v>
      </c>
      <c r="C177" t="s">
        <v>62</v>
      </c>
      <c r="D177" t="s">
        <v>58</v>
      </c>
      <c r="E177" t="s">
        <v>70</v>
      </c>
      <c r="F177">
        <v>1</v>
      </c>
      <c r="G177">
        <v>49100</v>
      </c>
      <c r="H177">
        <v>2</v>
      </c>
      <c r="I177" t="s">
        <v>67</v>
      </c>
      <c r="J177">
        <v>6</v>
      </c>
      <c r="K177" t="s">
        <v>14</v>
      </c>
      <c r="L177" t="s">
        <v>40</v>
      </c>
      <c r="M177" t="s">
        <v>36</v>
      </c>
      <c r="N177" s="25">
        <v>40007</v>
      </c>
      <c r="O177">
        <v>474.06099999999998</v>
      </c>
      <c r="P177">
        <v>474.06099999999998</v>
      </c>
    </row>
    <row r="178" spans="1:16" x14ac:dyDescent="0.35">
      <c r="A178">
        <v>178</v>
      </c>
      <c r="B178" t="s">
        <v>64</v>
      </c>
      <c r="C178" t="s">
        <v>62</v>
      </c>
      <c r="D178" t="s">
        <v>58</v>
      </c>
      <c r="E178" t="s">
        <v>70</v>
      </c>
      <c r="F178">
        <v>1</v>
      </c>
      <c r="G178">
        <v>35200</v>
      </c>
      <c r="H178">
        <v>0</v>
      </c>
      <c r="I178" t="s">
        <v>68</v>
      </c>
      <c r="J178">
        <v>12</v>
      </c>
      <c r="K178" t="s">
        <v>12</v>
      </c>
      <c r="L178" t="s">
        <v>47</v>
      </c>
      <c r="M178" t="s">
        <v>16</v>
      </c>
      <c r="N178" s="25">
        <v>41095</v>
      </c>
      <c r="O178">
        <v>606.50699999999995</v>
      </c>
      <c r="P178">
        <v>606.50699999999995</v>
      </c>
    </row>
    <row r="179" spans="1:16" x14ac:dyDescent="0.35">
      <c r="A179">
        <v>179</v>
      </c>
      <c r="B179" t="s">
        <v>65</v>
      </c>
      <c r="C179" t="s">
        <v>62</v>
      </c>
      <c r="D179" t="s">
        <v>58</v>
      </c>
      <c r="E179" t="s">
        <v>70</v>
      </c>
      <c r="F179">
        <v>1</v>
      </c>
      <c r="G179">
        <v>35200</v>
      </c>
      <c r="H179">
        <v>0</v>
      </c>
      <c r="I179" t="s">
        <v>8</v>
      </c>
      <c r="J179">
        <v>12</v>
      </c>
      <c r="K179" t="s">
        <v>12</v>
      </c>
      <c r="L179" t="s">
        <v>54</v>
      </c>
      <c r="M179" t="s">
        <v>21</v>
      </c>
      <c r="N179" s="25">
        <v>42191</v>
      </c>
      <c r="O179">
        <v>827.17200000000003</v>
      </c>
      <c r="P179">
        <v>827.17200000000003</v>
      </c>
    </row>
    <row r="180" spans="1:16" x14ac:dyDescent="0.35">
      <c r="A180">
        <v>180</v>
      </c>
      <c r="B180" t="s">
        <v>65</v>
      </c>
      <c r="C180" t="s">
        <v>62</v>
      </c>
      <c r="D180" t="s">
        <v>58</v>
      </c>
      <c r="E180" t="s">
        <v>2</v>
      </c>
      <c r="F180">
        <v>0</v>
      </c>
      <c r="G180">
        <v>84100</v>
      </c>
      <c r="H180">
        <v>0</v>
      </c>
      <c r="I180" t="s">
        <v>69</v>
      </c>
      <c r="J180">
        <v>18</v>
      </c>
      <c r="K180" t="s">
        <v>15</v>
      </c>
      <c r="L180" t="s">
        <v>52</v>
      </c>
      <c r="M180" t="s">
        <v>30</v>
      </c>
      <c r="N180" s="25">
        <v>40329</v>
      </c>
      <c r="O180">
        <v>2710.0410000000002</v>
      </c>
      <c r="P180">
        <v>2710.0410000000002</v>
      </c>
    </row>
    <row r="181" spans="1:16" x14ac:dyDescent="0.35">
      <c r="A181">
        <v>181</v>
      </c>
      <c r="B181" t="s">
        <v>63</v>
      </c>
      <c r="C181" t="s">
        <v>61</v>
      </c>
      <c r="D181" t="s">
        <v>66</v>
      </c>
      <c r="E181" t="s">
        <v>70</v>
      </c>
      <c r="F181">
        <v>1</v>
      </c>
      <c r="G181">
        <v>25800</v>
      </c>
      <c r="H181">
        <v>0</v>
      </c>
      <c r="I181" t="s">
        <v>8</v>
      </c>
      <c r="J181">
        <v>6</v>
      </c>
      <c r="K181" t="s">
        <v>15</v>
      </c>
      <c r="L181" t="s">
        <v>44</v>
      </c>
      <c r="M181" t="s">
        <v>29</v>
      </c>
      <c r="N181" s="25">
        <v>42117</v>
      </c>
      <c r="O181">
        <v>451.01600000000002</v>
      </c>
      <c r="P181">
        <v>451.01600000000002</v>
      </c>
    </row>
    <row r="182" spans="1:16" x14ac:dyDescent="0.35">
      <c r="A182">
        <v>182</v>
      </c>
      <c r="B182" t="s">
        <v>64</v>
      </c>
      <c r="C182" t="s">
        <v>62</v>
      </c>
      <c r="D182" t="s">
        <v>58</v>
      </c>
      <c r="E182" t="s">
        <v>2</v>
      </c>
      <c r="F182">
        <v>1</v>
      </c>
      <c r="G182">
        <v>49700</v>
      </c>
      <c r="H182">
        <v>2</v>
      </c>
      <c r="I182" t="s">
        <v>67</v>
      </c>
      <c r="J182">
        <v>18</v>
      </c>
      <c r="K182" t="s">
        <v>13</v>
      </c>
      <c r="L182" t="s">
        <v>48</v>
      </c>
      <c r="M182" t="s">
        <v>27</v>
      </c>
      <c r="N182" s="25">
        <v>41596</v>
      </c>
      <c r="O182">
        <v>613.09699999999998</v>
      </c>
      <c r="P182">
        <v>613.09699999999998</v>
      </c>
    </row>
    <row r="183" spans="1:16" x14ac:dyDescent="0.35">
      <c r="A183">
        <v>183</v>
      </c>
      <c r="B183" t="s">
        <v>63</v>
      </c>
      <c r="C183" t="s">
        <v>62</v>
      </c>
      <c r="D183" t="s">
        <v>66</v>
      </c>
      <c r="E183" t="s">
        <v>70</v>
      </c>
      <c r="F183">
        <v>1</v>
      </c>
      <c r="G183">
        <v>13200</v>
      </c>
      <c r="H183">
        <v>1</v>
      </c>
      <c r="I183" t="s">
        <v>67</v>
      </c>
      <c r="J183">
        <v>12</v>
      </c>
      <c r="K183" t="s">
        <v>15</v>
      </c>
      <c r="L183" t="s">
        <v>52</v>
      </c>
      <c r="M183" t="s">
        <v>31</v>
      </c>
      <c r="N183" s="25">
        <v>40929</v>
      </c>
      <c r="O183">
        <v>226.845</v>
      </c>
      <c r="P183">
        <v>226.845</v>
      </c>
    </row>
    <row r="184" spans="1:16" x14ac:dyDescent="0.35">
      <c r="A184">
        <v>184</v>
      </c>
      <c r="B184" t="s">
        <v>63</v>
      </c>
      <c r="C184" t="s">
        <v>62</v>
      </c>
      <c r="D184" t="s">
        <v>66</v>
      </c>
      <c r="E184" t="s">
        <v>70</v>
      </c>
      <c r="F184">
        <v>1</v>
      </c>
      <c r="G184">
        <v>14600</v>
      </c>
      <c r="H184">
        <v>3</v>
      </c>
      <c r="I184" t="s">
        <v>67</v>
      </c>
      <c r="J184">
        <v>6</v>
      </c>
      <c r="K184" t="s">
        <v>14</v>
      </c>
      <c r="L184" t="s">
        <v>51</v>
      </c>
      <c r="M184" t="s">
        <v>38</v>
      </c>
      <c r="N184" s="25">
        <v>40418</v>
      </c>
      <c r="O184">
        <v>46.55</v>
      </c>
      <c r="P184">
        <v>46.55</v>
      </c>
    </row>
    <row r="185" spans="1:16" x14ac:dyDescent="0.35">
      <c r="A185">
        <v>185</v>
      </c>
      <c r="B185" t="s">
        <v>64</v>
      </c>
      <c r="C185" t="s">
        <v>61</v>
      </c>
      <c r="D185" t="s">
        <v>58</v>
      </c>
      <c r="E185" t="s">
        <v>2</v>
      </c>
      <c r="F185">
        <v>1</v>
      </c>
      <c r="G185">
        <v>109900</v>
      </c>
      <c r="H185">
        <v>2</v>
      </c>
      <c r="I185" t="s">
        <v>68</v>
      </c>
      <c r="J185">
        <v>12</v>
      </c>
      <c r="K185" t="s">
        <v>13</v>
      </c>
      <c r="L185" t="s">
        <v>43</v>
      </c>
      <c r="M185" t="s">
        <v>23</v>
      </c>
      <c r="N185" s="25">
        <v>41141</v>
      </c>
      <c r="O185">
        <v>870.19500000000005</v>
      </c>
      <c r="P185">
        <v>870.19500000000005</v>
      </c>
    </row>
    <row r="186" spans="1:16" x14ac:dyDescent="0.35">
      <c r="A186">
        <v>186</v>
      </c>
      <c r="B186" t="s">
        <v>64</v>
      </c>
      <c r="C186" t="s">
        <v>62</v>
      </c>
      <c r="D186" t="s">
        <v>58</v>
      </c>
      <c r="E186" t="s">
        <v>2</v>
      </c>
      <c r="F186">
        <v>1</v>
      </c>
      <c r="G186">
        <v>126300</v>
      </c>
      <c r="H186">
        <v>1</v>
      </c>
      <c r="I186" t="s">
        <v>69</v>
      </c>
      <c r="J186">
        <v>6</v>
      </c>
      <c r="K186" t="s">
        <v>14</v>
      </c>
      <c r="L186" t="s">
        <v>51</v>
      </c>
      <c r="M186" t="s">
        <v>38</v>
      </c>
      <c r="N186" s="25">
        <v>40023</v>
      </c>
      <c r="O186">
        <v>1888.376</v>
      </c>
      <c r="P186">
        <v>1888.376</v>
      </c>
    </row>
    <row r="187" spans="1:16" x14ac:dyDescent="0.35">
      <c r="A187">
        <v>187</v>
      </c>
      <c r="B187" t="s">
        <v>64</v>
      </c>
      <c r="C187" t="s">
        <v>61</v>
      </c>
      <c r="D187" t="s">
        <v>58</v>
      </c>
      <c r="E187" t="s">
        <v>2</v>
      </c>
      <c r="F187">
        <v>0</v>
      </c>
      <c r="G187">
        <v>100600</v>
      </c>
      <c r="H187">
        <v>3</v>
      </c>
      <c r="I187" t="s">
        <v>69</v>
      </c>
      <c r="J187">
        <v>24</v>
      </c>
      <c r="K187" t="s">
        <v>13</v>
      </c>
      <c r="L187" t="s">
        <v>42</v>
      </c>
      <c r="M187" t="s">
        <v>25</v>
      </c>
      <c r="N187" s="25">
        <v>41684</v>
      </c>
      <c r="O187">
        <v>2838.1819999999998</v>
      </c>
      <c r="P187">
        <v>2838.1819999999998</v>
      </c>
    </row>
    <row r="188" spans="1:16" x14ac:dyDescent="0.35">
      <c r="A188">
        <v>188</v>
      </c>
      <c r="B188" t="s">
        <v>65</v>
      </c>
      <c r="C188" t="s">
        <v>62</v>
      </c>
      <c r="D188" t="s">
        <v>66</v>
      </c>
      <c r="E188" t="s">
        <v>70</v>
      </c>
      <c r="F188">
        <v>0</v>
      </c>
      <c r="G188">
        <v>11700</v>
      </c>
      <c r="H188">
        <v>0</v>
      </c>
      <c r="I188" t="s">
        <v>67</v>
      </c>
      <c r="J188">
        <v>18</v>
      </c>
      <c r="K188" t="s">
        <v>15</v>
      </c>
      <c r="L188" t="s">
        <v>42</v>
      </c>
      <c r="M188" t="s">
        <v>32</v>
      </c>
      <c r="N188" s="25">
        <v>41720</v>
      </c>
      <c r="O188">
        <v>539.76900000000001</v>
      </c>
      <c r="P188">
        <v>539.76900000000001</v>
      </c>
    </row>
    <row r="189" spans="1:16" x14ac:dyDescent="0.35">
      <c r="A189">
        <v>189</v>
      </c>
      <c r="B189" t="s">
        <v>64</v>
      </c>
      <c r="C189" t="s">
        <v>62</v>
      </c>
      <c r="D189" t="s">
        <v>66</v>
      </c>
      <c r="E189" t="s">
        <v>70</v>
      </c>
      <c r="F189">
        <v>1</v>
      </c>
      <c r="G189">
        <v>36400</v>
      </c>
      <c r="H189">
        <v>2</v>
      </c>
      <c r="I189" t="s">
        <v>67</v>
      </c>
      <c r="J189">
        <v>18</v>
      </c>
      <c r="K189" t="s">
        <v>15</v>
      </c>
      <c r="L189" t="s">
        <v>28</v>
      </c>
      <c r="M189" t="s">
        <v>33</v>
      </c>
      <c r="N189" s="25">
        <v>41627</v>
      </c>
      <c r="O189">
        <v>506.00200000000001</v>
      </c>
      <c r="P189">
        <v>506.00200000000001</v>
      </c>
    </row>
    <row r="190" spans="1:16" x14ac:dyDescent="0.35">
      <c r="A190">
        <v>190</v>
      </c>
      <c r="B190" t="s">
        <v>63</v>
      </c>
      <c r="C190" t="s">
        <v>62</v>
      </c>
      <c r="D190" t="s">
        <v>66</v>
      </c>
      <c r="E190" t="s">
        <v>70</v>
      </c>
      <c r="F190">
        <v>1</v>
      </c>
      <c r="G190">
        <v>22200</v>
      </c>
      <c r="H190">
        <v>2</v>
      </c>
      <c r="I190" t="s">
        <v>67</v>
      </c>
      <c r="J190">
        <v>18</v>
      </c>
      <c r="K190" t="s">
        <v>14</v>
      </c>
      <c r="L190" t="s">
        <v>40</v>
      </c>
      <c r="M190" t="s">
        <v>37</v>
      </c>
      <c r="N190" s="25">
        <v>41678</v>
      </c>
      <c r="O190">
        <v>274.80399999999997</v>
      </c>
      <c r="P190">
        <v>274.80399999999997</v>
      </c>
    </row>
    <row r="191" spans="1:16" x14ac:dyDescent="0.35">
      <c r="A191">
        <v>191</v>
      </c>
      <c r="B191" t="s">
        <v>64</v>
      </c>
      <c r="C191" t="s">
        <v>61</v>
      </c>
      <c r="D191" t="s">
        <v>58</v>
      </c>
      <c r="E191" t="s">
        <v>2</v>
      </c>
      <c r="F191">
        <v>1</v>
      </c>
      <c r="G191">
        <v>106400</v>
      </c>
      <c r="H191">
        <v>0</v>
      </c>
      <c r="I191" t="s">
        <v>8</v>
      </c>
      <c r="J191">
        <v>12</v>
      </c>
      <c r="K191" t="s">
        <v>13</v>
      </c>
      <c r="L191" t="s">
        <v>56</v>
      </c>
      <c r="M191" t="s">
        <v>24</v>
      </c>
      <c r="N191" s="25">
        <v>42241</v>
      </c>
      <c r="O191">
        <v>1757.404</v>
      </c>
      <c r="P191">
        <v>1757.404</v>
      </c>
    </row>
    <row r="192" spans="1:16" x14ac:dyDescent="0.35">
      <c r="A192">
        <v>192</v>
      </c>
      <c r="B192" t="s">
        <v>65</v>
      </c>
      <c r="C192" t="s">
        <v>62</v>
      </c>
      <c r="D192" t="s">
        <v>58</v>
      </c>
      <c r="E192" t="s">
        <v>2</v>
      </c>
      <c r="F192">
        <v>1</v>
      </c>
      <c r="G192">
        <v>112800</v>
      </c>
      <c r="H192">
        <v>0</v>
      </c>
      <c r="I192" t="s">
        <v>69</v>
      </c>
      <c r="J192">
        <v>12</v>
      </c>
      <c r="K192" t="s">
        <v>14</v>
      </c>
      <c r="L192" t="s">
        <v>50</v>
      </c>
      <c r="M192" t="s">
        <v>34</v>
      </c>
      <c r="N192" s="25">
        <v>40265</v>
      </c>
      <c r="O192">
        <v>1861.434</v>
      </c>
      <c r="P192">
        <v>1861.434</v>
      </c>
    </row>
    <row r="193" spans="1:16" x14ac:dyDescent="0.35">
      <c r="A193">
        <v>193</v>
      </c>
      <c r="B193" t="s">
        <v>65</v>
      </c>
      <c r="C193" t="s">
        <v>61</v>
      </c>
      <c r="D193" t="s">
        <v>58</v>
      </c>
      <c r="E193" t="s">
        <v>2</v>
      </c>
      <c r="F193">
        <v>1</v>
      </c>
      <c r="G193">
        <v>95900</v>
      </c>
      <c r="H193">
        <v>0</v>
      </c>
      <c r="I193" t="s">
        <v>69</v>
      </c>
      <c r="J193">
        <v>24</v>
      </c>
      <c r="K193" t="s">
        <v>14</v>
      </c>
      <c r="L193" t="s">
        <v>40</v>
      </c>
      <c r="M193" t="s">
        <v>37</v>
      </c>
      <c r="N193" s="25">
        <v>40413</v>
      </c>
      <c r="O193">
        <v>2585.087</v>
      </c>
      <c r="P193">
        <v>2585.087</v>
      </c>
    </row>
    <row r="194" spans="1:16" x14ac:dyDescent="0.35">
      <c r="A194">
        <v>194</v>
      </c>
      <c r="B194" t="s">
        <v>64</v>
      </c>
      <c r="C194" t="s">
        <v>61</v>
      </c>
      <c r="D194" t="s">
        <v>66</v>
      </c>
      <c r="E194" t="s">
        <v>2</v>
      </c>
      <c r="F194">
        <v>1</v>
      </c>
      <c r="G194">
        <v>88000</v>
      </c>
      <c r="H194">
        <v>2</v>
      </c>
      <c r="I194" t="s">
        <v>68</v>
      </c>
      <c r="J194">
        <v>6</v>
      </c>
      <c r="K194" t="s">
        <v>15</v>
      </c>
      <c r="L194" t="s">
        <v>42</v>
      </c>
      <c r="M194" t="s">
        <v>32</v>
      </c>
      <c r="N194" s="25">
        <v>40831</v>
      </c>
      <c r="O194">
        <v>523.80399999999997</v>
      </c>
      <c r="P194">
        <v>523.80399999999997</v>
      </c>
    </row>
    <row r="195" spans="1:16" x14ac:dyDescent="0.35">
      <c r="A195">
        <v>195</v>
      </c>
      <c r="B195" t="s">
        <v>64</v>
      </c>
      <c r="C195" t="s">
        <v>61</v>
      </c>
      <c r="D195" t="s">
        <v>66</v>
      </c>
      <c r="E195" t="s">
        <v>70</v>
      </c>
      <c r="F195">
        <v>1</v>
      </c>
      <c r="G195">
        <v>44500</v>
      </c>
      <c r="H195">
        <v>0</v>
      </c>
      <c r="I195" t="s">
        <v>68</v>
      </c>
      <c r="J195">
        <v>24</v>
      </c>
      <c r="K195" t="s">
        <v>14</v>
      </c>
      <c r="L195" t="s">
        <v>51</v>
      </c>
      <c r="M195" t="s">
        <v>38</v>
      </c>
      <c r="N195" s="25">
        <v>41118</v>
      </c>
      <c r="O195">
        <v>1174.7829999999999</v>
      </c>
      <c r="P195">
        <v>1174.7829999999999</v>
      </c>
    </row>
    <row r="196" spans="1:16" x14ac:dyDescent="0.35">
      <c r="A196">
        <v>196</v>
      </c>
      <c r="B196" t="s">
        <v>65</v>
      </c>
      <c r="C196" t="s">
        <v>62</v>
      </c>
      <c r="D196" t="s">
        <v>58</v>
      </c>
      <c r="E196" t="s">
        <v>2</v>
      </c>
      <c r="F196">
        <v>1</v>
      </c>
      <c r="G196">
        <v>43600</v>
      </c>
      <c r="H196">
        <v>0</v>
      </c>
      <c r="I196" t="s">
        <v>68</v>
      </c>
      <c r="J196">
        <v>12</v>
      </c>
      <c r="K196" t="s">
        <v>13</v>
      </c>
      <c r="L196" t="s">
        <v>43</v>
      </c>
      <c r="M196" t="s">
        <v>23</v>
      </c>
      <c r="N196" s="25">
        <v>42168</v>
      </c>
      <c r="O196">
        <v>1046.5719999999999</v>
      </c>
      <c r="P196">
        <v>1046.5719999999999</v>
      </c>
    </row>
    <row r="197" spans="1:16" x14ac:dyDescent="0.35">
      <c r="A197">
        <v>197</v>
      </c>
      <c r="B197" t="s">
        <v>63</v>
      </c>
      <c r="C197" t="s">
        <v>61</v>
      </c>
      <c r="D197" t="s">
        <v>66</v>
      </c>
      <c r="E197" t="s">
        <v>70</v>
      </c>
      <c r="F197">
        <v>0</v>
      </c>
      <c r="G197">
        <v>20800</v>
      </c>
      <c r="H197">
        <v>0</v>
      </c>
      <c r="I197" t="s">
        <v>8</v>
      </c>
      <c r="J197">
        <v>6</v>
      </c>
      <c r="K197" t="s">
        <v>14</v>
      </c>
      <c r="L197" t="s">
        <v>50</v>
      </c>
      <c r="M197" t="s">
        <v>34</v>
      </c>
      <c r="N197" s="25">
        <v>42221</v>
      </c>
      <c r="O197">
        <v>259.81799999999998</v>
      </c>
      <c r="P197">
        <v>259.81799999999998</v>
      </c>
    </row>
    <row r="198" spans="1:16" x14ac:dyDescent="0.35">
      <c r="A198">
        <v>198</v>
      </c>
      <c r="B198" t="s">
        <v>65</v>
      </c>
      <c r="C198" t="s">
        <v>61</v>
      </c>
      <c r="D198" t="s">
        <v>58</v>
      </c>
      <c r="E198" t="s">
        <v>2</v>
      </c>
      <c r="F198">
        <v>1</v>
      </c>
      <c r="G198">
        <v>23400</v>
      </c>
      <c r="H198">
        <v>0</v>
      </c>
      <c r="I198" t="s">
        <v>67</v>
      </c>
      <c r="J198">
        <v>6</v>
      </c>
      <c r="K198" t="s">
        <v>13</v>
      </c>
      <c r="L198" t="s">
        <v>45</v>
      </c>
      <c r="M198" t="s">
        <v>26</v>
      </c>
      <c r="N198" s="25">
        <v>40891</v>
      </c>
      <c r="O198">
        <v>347.54500000000002</v>
      </c>
      <c r="P198">
        <v>347.54500000000002</v>
      </c>
    </row>
    <row r="199" spans="1:16" x14ac:dyDescent="0.35">
      <c r="A199">
        <v>199</v>
      </c>
      <c r="B199" t="s">
        <v>64</v>
      </c>
      <c r="C199" t="s">
        <v>62</v>
      </c>
      <c r="D199" t="s">
        <v>66</v>
      </c>
      <c r="E199" t="s">
        <v>70</v>
      </c>
      <c r="F199">
        <v>1</v>
      </c>
      <c r="G199">
        <v>46600</v>
      </c>
      <c r="H199">
        <v>0</v>
      </c>
      <c r="I199" t="s">
        <v>68</v>
      </c>
      <c r="J199">
        <v>24</v>
      </c>
      <c r="K199" t="s">
        <v>15</v>
      </c>
      <c r="L199" t="s">
        <v>52</v>
      </c>
      <c r="M199" t="s">
        <v>30</v>
      </c>
      <c r="N199" s="25">
        <v>42014</v>
      </c>
      <c r="O199">
        <v>905.80799999999999</v>
      </c>
      <c r="P199">
        <v>905.80799999999999</v>
      </c>
    </row>
    <row r="200" spans="1:16" x14ac:dyDescent="0.35">
      <c r="A200">
        <v>200</v>
      </c>
      <c r="B200" t="s">
        <v>63</v>
      </c>
      <c r="C200" t="s">
        <v>62</v>
      </c>
      <c r="D200" t="s">
        <v>66</v>
      </c>
      <c r="E200" t="s">
        <v>70</v>
      </c>
      <c r="F200">
        <v>1</v>
      </c>
      <c r="G200">
        <v>31300</v>
      </c>
      <c r="H200">
        <v>1</v>
      </c>
      <c r="I200" t="s">
        <v>67</v>
      </c>
      <c r="J200">
        <v>6</v>
      </c>
      <c r="K200" t="s">
        <v>12</v>
      </c>
      <c r="L200" t="s">
        <v>55</v>
      </c>
      <c r="M200" t="s">
        <v>17</v>
      </c>
      <c r="N200" s="25">
        <v>40321</v>
      </c>
      <c r="O200">
        <v>357.04399999999998</v>
      </c>
      <c r="P200">
        <v>357.04399999999998</v>
      </c>
    </row>
    <row r="201" spans="1:16" x14ac:dyDescent="0.35">
      <c r="A201">
        <v>201</v>
      </c>
      <c r="B201" t="s">
        <v>63</v>
      </c>
      <c r="C201" t="s">
        <v>62</v>
      </c>
      <c r="D201" t="s">
        <v>66</v>
      </c>
      <c r="E201" t="s">
        <v>2</v>
      </c>
      <c r="F201">
        <v>0</v>
      </c>
      <c r="G201">
        <v>33200</v>
      </c>
      <c r="H201">
        <v>1</v>
      </c>
      <c r="I201" t="s">
        <v>8</v>
      </c>
      <c r="J201">
        <v>24</v>
      </c>
      <c r="K201" t="s">
        <v>12</v>
      </c>
      <c r="L201" t="s">
        <v>54</v>
      </c>
      <c r="M201" t="s">
        <v>21</v>
      </c>
      <c r="N201" s="25">
        <v>42080</v>
      </c>
      <c r="O201">
        <v>1639.0260000000001</v>
      </c>
      <c r="P201">
        <v>1639.0260000000001</v>
      </c>
    </row>
    <row r="202" spans="1:16" x14ac:dyDescent="0.35">
      <c r="A202">
        <v>202</v>
      </c>
      <c r="B202" t="s">
        <v>65</v>
      </c>
      <c r="C202" t="s">
        <v>62</v>
      </c>
      <c r="D202" t="s">
        <v>58</v>
      </c>
      <c r="E202" t="s">
        <v>2</v>
      </c>
      <c r="F202">
        <v>0</v>
      </c>
      <c r="G202">
        <v>70400</v>
      </c>
      <c r="H202">
        <v>0</v>
      </c>
      <c r="I202" t="s">
        <v>69</v>
      </c>
      <c r="J202">
        <v>18</v>
      </c>
      <c r="K202" t="s">
        <v>13</v>
      </c>
      <c r="L202" t="s">
        <v>48</v>
      </c>
      <c r="M202" t="s">
        <v>27</v>
      </c>
      <c r="N202" s="25">
        <v>40644</v>
      </c>
      <c r="O202">
        <v>2609.7919999999999</v>
      </c>
      <c r="P202">
        <v>2609.7919999999999</v>
      </c>
    </row>
    <row r="203" spans="1:16" x14ac:dyDescent="0.35">
      <c r="A203">
        <v>203</v>
      </c>
      <c r="B203" t="s">
        <v>63</v>
      </c>
      <c r="C203" t="s">
        <v>61</v>
      </c>
      <c r="D203" t="s">
        <v>66</v>
      </c>
      <c r="E203" t="s">
        <v>70</v>
      </c>
      <c r="F203">
        <v>1</v>
      </c>
      <c r="G203">
        <v>17000</v>
      </c>
      <c r="H203">
        <v>0</v>
      </c>
      <c r="I203" t="s">
        <v>8</v>
      </c>
      <c r="J203">
        <v>18</v>
      </c>
      <c r="K203" t="s">
        <v>13</v>
      </c>
      <c r="L203" t="s">
        <v>46</v>
      </c>
      <c r="M203" t="s">
        <v>22</v>
      </c>
      <c r="N203" s="25">
        <v>42215</v>
      </c>
      <c r="O203">
        <v>581.22400000000005</v>
      </c>
      <c r="P203">
        <v>581.22400000000005</v>
      </c>
    </row>
    <row r="204" spans="1:16" x14ac:dyDescent="0.35">
      <c r="A204">
        <v>204</v>
      </c>
      <c r="B204" t="s">
        <v>64</v>
      </c>
      <c r="C204" t="s">
        <v>62</v>
      </c>
      <c r="D204" t="s">
        <v>66</v>
      </c>
      <c r="E204" t="s">
        <v>70</v>
      </c>
      <c r="F204">
        <v>1</v>
      </c>
      <c r="G204">
        <v>26200</v>
      </c>
      <c r="H204">
        <v>1</v>
      </c>
      <c r="I204" t="s">
        <v>67</v>
      </c>
      <c r="J204">
        <v>12</v>
      </c>
      <c r="K204" t="s">
        <v>13</v>
      </c>
      <c r="L204" t="s">
        <v>45</v>
      </c>
      <c r="M204" t="s">
        <v>26</v>
      </c>
      <c r="N204" s="25">
        <v>40186</v>
      </c>
      <c r="O204">
        <v>380.96800000000002</v>
      </c>
      <c r="P204">
        <v>380.96800000000002</v>
      </c>
    </row>
    <row r="205" spans="1:16" x14ac:dyDescent="0.35">
      <c r="A205">
        <v>205</v>
      </c>
      <c r="B205" t="s">
        <v>65</v>
      </c>
      <c r="C205" t="s">
        <v>61</v>
      </c>
      <c r="D205" t="s">
        <v>58</v>
      </c>
      <c r="E205" t="s">
        <v>2</v>
      </c>
      <c r="F205">
        <v>1</v>
      </c>
      <c r="G205">
        <v>108900</v>
      </c>
      <c r="H205">
        <v>0</v>
      </c>
      <c r="I205" t="s">
        <v>69</v>
      </c>
      <c r="J205">
        <v>12</v>
      </c>
      <c r="K205" t="s">
        <v>12</v>
      </c>
      <c r="L205" t="s">
        <v>47</v>
      </c>
      <c r="M205" t="s">
        <v>16</v>
      </c>
      <c r="N205" s="25">
        <v>41941</v>
      </c>
      <c r="O205">
        <v>1841.405</v>
      </c>
      <c r="P205">
        <v>1841.405</v>
      </c>
    </row>
    <row r="206" spans="1:16" x14ac:dyDescent="0.35">
      <c r="A206">
        <v>206</v>
      </c>
      <c r="B206" t="s">
        <v>65</v>
      </c>
      <c r="C206" t="s">
        <v>62</v>
      </c>
      <c r="D206" t="s">
        <v>58</v>
      </c>
      <c r="E206" t="s">
        <v>70</v>
      </c>
      <c r="F206">
        <v>1</v>
      </c>
      <c r="G206">
        <v>17300</v>
      </c>
      <c r="H206">
        <v>0</v>
      </c>
      <c r="I206" t="s">
        <v>67</v>
      </c>
      <c r="J206">
        <v>6</v>
      </c>
      <c r="K206" t="s">
        <v>15</v>
      </c>
      <c r="L206" t="s">
        <v>28</v>
      </c>
      <c r="M206" t="s">
        <v>28</v>
      </c>
      <c r="N206" s="25">
        <v>41397</v>
      </c>
      <c r="O206">
        <v>165.935</v>
      </c>
      <c r="P206">
        <v>165.935</v>
      </c>
    </row>
    <row r="207" spans="1:16" x14ac:dyDescent="0.35">
      <c r="A207">
        <v>207</v>
      </c>
      <c r="B207" t="s">
        <v>64</v>
      </c>
      <c r="C207" t="s">
        <v>61</v>
      </c>
      <c r="D207" t="s">
        <v>66</v>
      </c>
      <c r="E207" t="s">
        <v>70</v>
      </c>
      <c r="F207">
        <v>0</v>
      </c>
      <c r="G207">
        <v>51900</v>
      </c>
      <c r="H207">
        <v>0</v>
      </c>
      <c r="I207" t="s">
        <v>69</v>
      </c>
      <c r="J207">
        <v>18</v>
      </c>
      <c r="K207" t="s">
        <v>15</v>
      </c>
      <c r="L207" t="s">
        <v>42</v>
      </c>
      <c r="M207" t="s">
        <v>32</v>
      </c>
      <c r="N207" s="25">
        <v>40822</v>
      </c>
      <c r="O207">
        <v>1491.568</v>
      </c>
      <c r="P207">
        <v>1491.568</v>
      </c>
    </row>
    <row r="208" spans="1:16" x14ac:dyDescent="0.35">
      <c r="A208">
        <v>208</v>
      </c>
      <c r="B208" t="s">
        <v>65</v>
      </c>
      <c r="C208" t="s">
        <v>62</v>
      </c>
      <c r="D208" t="s">
        <v>66</v>
      </c>
      <c r="E208" t="s">
        <v>70</v>
      </c>
      <c r="F208">
        <v>1</v>
      </c>
      <c r="G208">
        <v>33600</v>
      </c>
      <c r="H208">
        <v>0</v>
      </c>
      <c r="I208" t="s">
        <v>68</v>
      </c>
      <c r="J208">
        <v>12</v>
      </c>
      <c r="K208" t="s">
        <v>12</v>
      </c>
      <c r="L208" t="s">
        <v>55</v>
      </c>
      <c r="M208" t="s">
        <v>17</v>
      </c>
      <c r="N208" s="25">
        <v>40250</v>
      </c>
      <c r="O208">
        <v>573.202</v>
      </c>
      <c r="P208">
        <v>573.202</v>
      </c>
    </row>
    <row r="209" spans="1:16" x14ac:dyDescent="0.35">
      <c r="A209">
        <v>209</v>
      </c>
      <c r="B209" t="s">
        <v>63</v>
      </c>
      <c r="C209" t="s">
        <v>62</v>
      </c>
      <c r="D209" t="s">
        <v>66</v>
      </c>
      <c r="E209" t="s">
        <v>2</v>
      </c>
      <c r="F209">
        <v>1</v>
      </c>
      <c r="G209">
        <v>61000</v>
      </c>
      <c r="H209">
        <v>1</v>
      </c>
      <c r="I209" t="s">
        <v>8</v>
      </c>
      <c r="J209">
        <v>18</v>
      </c>
      <c r="K209" t="s">
        <v>15</v>
      </c>
      <c r="L209" t="s">
        <v>44</v>
      </c>
      <c r="M209" t="s">
        <v>29</v>
      </c>
      <c r="N209" s="25">
        <v>42050</v>
      </c>
      <c r="O209">
        <v>1611.3789999999999</v>
      </c>
      <c r="P209">
        <v>1611.3789999999999</v>
      </c>
    </row>
    <row r="210" spans="1:16" x14ac:dyDescent="0.35">
      <c r="A210">
        <v>210</v>
      </c>
      <c r="B210" t="s">
        <v>65</v>
      </c>
      <c r="C210" t="s">
        <v>62</v>
      </c>
      <c r="D210" t="s">
        <v>58</v>
      </c>
      <c r="E210" t="s">
        <v>2</v>
      </c>
      <c r="F210">
        <v>1</v>
      </c>
      <c r="G210">
        <v>41600</v>
      </c>
      <c r="H210">
        <v>0</v>
      </c>
      <c r="I210" t="s">
        <v>8</v>
      </c>
      <c r="J210">
        <v>18</v>
      </c>
      <c r="K210" t="s">
        <v>14</v>
      </c>
      <c r="L210" t="s">
        <v>50</v>
      </c>
      <c r="M210" t="s">
        <v>35</v>
      </c>
      <c r="N210" s="25">
        <v>42187</v>
      </c>
      <c r="O210">
        <v>982.04100000000005</v>
      </c>
      <c r="P210">
        <v>982.04100000000005</v>
      </c>
    </row>
    <row r="211" spans="1:16" x14ac:dyDescent="0.35">
      <c r="A211">
        <v>211</v>
      </c>
      <c r="B211" t="s">
        <v>63</v>
      </c>
      <c r="C211" t="s">
        <v>62</v>
      </c>
      <c r="D211" t="s">
        <v>66</v>
      </c>
      <c r="E211" t="s">
        <v>2</v>
      </c>
      <c r="F211">
        <v>1</v>
      </c>
      <c r="G211">
        <v>54200</v>
      </c>
      <c r="H211">
        <v>1</v>
      </c>
      <c r="I211" t="s">
        <v>68</v>
      </c>
      <c r="J211">
        <v>6</v>
      </c>
      <c r="K211" t="s">
        <v>14</v>
      </c>
      <c r="L211" t="s">
        <v>51</v>
      </c>
      <c r="M211" t="s">
        <v>38</v>
      </c>
      <c r="N211" s="25">
        <v>41251</v>
      </c>
      <c r="O211">
        <v>486.077</v>
      </c>
      <c r="P211">
        <v>486.077</v>
      </c>
    </row>
    <row r="212" spans="1:16" x14ac:dyDescent="0.35">
      <c r="A212">
        <v>212</v>
      </c>
      <c r="B212" t="s">
        <v>65</v>
      </c>
      <c r="C212" t="s">
        <v>61</v>
      </c>
      <c r="D212" t="s">
        <v>66</v>
      </c>
      <c r="E212" t="s">
        <v>2</v>
      </c>
      <c r="F212">
        <v>0</v>
      </c>
      <c r="G212">
        <v>66200</v>
      </c>
      <c r="H212">
        <v>0</v>
      </c>
      <c r="I212" t="s">
        <v>69</v>
      </c>
      <c r="J212">
        <v>24</v>
      </c>
      <c r="K212" t="s">
        <v>14</v>
      </c>
      <c r="L212" t="s">
        <v>49</v>
      </c>
      <c r="M212" t="s">
        <v>39</v>
      </c>
      <c r="N212" s="25">
        <v>40978</v>
      </c>
      <c r="O212">
        <v>2057.1799999999998</v>
      </c>
      <c r="P212">
        <v>2057.1799999999998</v>
      </c>
    </row>
    <row r="213" spans="1:16" x14ac:dyDescent="0.35">
      <c r="A213">
        <v>213</v>
      </c>
      <c r="B213" t="s">
        <v>64</v>
      </c>
      <c r="C213" t="s">
        <v>62</v>
      </c>
      <c r="D213" t="s">
        <v>58</v>
      </c>
      <c r="E213" t="s">
        <v>70</v>
      </c>
      <c r="F213">
        <v>1</v>
      </c>
      <c r="G213">
        <v>72200</v>
      </c>
      <c r="H213">
        <v>0</v>
      </c>
      <c r="I213" t="s">
        <v>8</v>
      </c>
      <c r="J213">
        <v>18</v>
      </c>
      <c r="K213" t="s">
        <v>15</v>
      </c>
      <c r="L213" t="s">
        <v>52</v>
      </c>
      <c r="M213" t="s">
        <v>30</v>
      </c>
      <c r="N213" s="25">
        <v>42041</v>
      </c>
      <c r="O213">
        <v>3278.0830000000001</v>
      </c>
      <c r="P213">
        <v>3278.0830000000001</v>
      </c>
    </row>
    <row r="214" spans="1:16" x14ac:dyDescent="0.35">
      <c r="A214">
        <v>214</v>
      </c>
      <c r="B214" t="s">
        <v>64</v>
      </c>
      <c r="C214" t="s">
        <v>62</v>
      </c>
      <c r="D214" t="s">
        <v>66</v>
      </c>
      <c r="E214" t="s">
        <v>70</v>
      </c>
      <c r="F214">
        <v>1</v>
      </c>
      <c r="G214">
        <v>39700</v>
      </c>
      <c r="H214">
        <v>3</v>
      </c>
      <c r="I214" t="s">
        <v>67</v>
      </c>
      <c r="J214">
        <v>12</v>
      </c>
      <c r="K214" t="s">
        <v>12</v>
      </c>
      <c r="L214" t="s">
        <v>55</v>
      </c>
      <c r="M214" t="s">
        <v>17</v>
      </c>
      <c r="N214" s="25">
        <v>40167</v>
      </c>
      <c r="O214">
        <v>238.06700000000001</v>
      </c>
      <c r="P214">
        <v>238.06700000000001</v>
      </c>
    </row>
    <row r="215" spans="1:16" x14ac:dyDescent="0.35">
      <c r="A215">
        <v>215</v>
      </c>
      <c r="B215" t="s">
        <v>63</v>
      </c>
      <c r="C215" t="s">
        <v>61</v>
      </c>
      <c r="D215" t="s">
        <v>66</v>
      </c>
      <c r="E215" t="s">
        <v>2</v>
      </c>
      <c r="F215">
        <v>1</v>
      </c>
      <c r="G215">
        <v>36900</v>
      </c>
      <c r="H215">
        <v>0</v>
      </c>
      <c r="I215" t="s">
        <v>68</v>
      </c>
      <c r="J215">
        <v>18</v>
      </c>
      <c r="K215" t="s">
        <v>14</v>
      </c>
      <c r="L215" t="s">
        <v>50</v>
      </c>
      <c r="M215" t="s">
        <v>35</v>
      </c>
      <c r="N215" s="25">
        <v>40574</v>
      </c>
      <c r="O215">
        <v>721.33500000000004</v>
      </c>
      <c r="P215">
        <v>721.33500000000004</v>
      </c>
    </row>
    <row r="216" spans="1:16" x14ac:dyDescent="0.35">
      <c r="A216">
        <v>216</v>
      </c>
      <c r="B216" t="s">
        <v>64</v>
      </c>
      <c r="C216" t="s">
        <v>61</v>
      </c>
      <c r="D216" t="s">
        <v>58</v>
      </c>
      <c r="E216" t="s">
        <v>2</v>
      </c>
      <c r="F216">
        <v>1</v>
      </c>
      <c r="G216">
        <v>96100</v>
      </c>
      <c r="H216">
        <v>3</v>
      </c>
      <c r="I216" t="s">
        <v>67</v>
      </c>
      <c r="J216">
        <v>12</v>
      </c>
      <c r="K216" t="s">
        <v>12</v>
      </c>
      <c r="L216" t="s">
        <v>55</v>
      </c>
      <c r="M216" t="s">
        <v>17</v>
      </c>
      <c r="N216" s="25">
        <v>40950</v>
      </c>
      <c r="O216">
        <v>316.15100000000001</v>
      </c>
      <c r="P216">
        <v>316.15100000000001</v>
      </c>
    </row>
    <row r="217" spans="1:16" x14ac:dyDescent="0.35">
      <c r="A217">
        <v>217</v>
      </c>
      <c r="B217" t="s">
        <v>63</v>
      </c>
      <c r="C217" t="s">
        <v>62</v>
      </c>
      <c r="D217" t="s">
        <v>66</v>
      </c>
      <c r="E217" t="s">
        <v>70</v>
      </c>
      <c r="F217">
        <v>1</v>
      </c>
      <c r="G217">
        <v>11700</v>
      </c>
      <c r="H217">
        <v>0</v>
      </c>
      <c r="I217" t="s">
        <v>67</v>
      </c>
      <c r="J217">
        <v>12</v>
      </c>
      <c r="K217" t="s">
        <v>13</v>
      </c>
      <c r="L217" t="s">
        <v>56</v>
      </c>
      <c r="M217" t="s">
        <v>24</v>
      </c>
      <c r="N217" s="25">
        <v>41449</v>
      </c>
      <c r="O217">
        <v>192.577</v>
      </c>
      <c r="P217">
        <v>192.577</v>
      </c>
    </row>
    <row r="218" spans="1:16" x14ac:dyDescent="0.35">
      <c r="A218">
        <v>218</v>
      </c>
      <c r="B218" t="s">
        <v>63</v>
      </c>
      <c r="C218" t="s">
        <v>61</v>
      </c>
      <c r="D218" t="s">
        <v>66</v>
      </c>
      <c r="E218" t="s">
        <v>70</v>
      </c>
      <c r="F218">
        <v>1</v>
      </c>
      <c r="G218">
        <v>31600</v>
      </c>
      <c r="H218">
        <v>1</v>
      </c>
      <c r="I218" t="s">
        <v>8</v>
      </c>
      <c r="J218">
        <v>12</v>
      </c>
      <c r="K218" t="s">
        <v>14</v>
      </c>
      <c r="L218" t="s">
        <v>50</v>
      </c>
      <c r="M218" t="s">
        <v>34</v>
      </c>
      <c r="N218" s="25">
        <v>42199</v>
      </c>
      <c r="O218">
        <v>475.60500000000002</v>
      </c>
      <c r="P218">
        <v>475.60500000000002</v>
      </c>
    </row>
    <row r="219" spans="1:16" x14ac:dyDescent="0.35">
      <c r="A219">
        <v>219</v>
      </c>
      <c r="B219" t="s">
        <v>65</v>
      </c>
      <c r="C219" t="s">
        <v>62</v>
      </c>
      <c r="D219" t="s">
        <v>58</v>
      </c>
      <c r="E219" t="s">
        <v>2</v>
      </c>
      <c r="F219">
        <v>1</v>
      </c>
      <c r="G219">
        <v>82800</v>
      </c>
      <c r="H219">
        <v>0</v>
      </c>
      <c r="I219" t="s">
        <v>69</v>
      </c>
      <c r="J219">
        <v>24</v>
      </c>
      <c r="K219" t="s">
        <v>12</v>
      </c>
      <c r="L219" t="s">
        <v>47</v>
      </c>
      <c r="M219" t="s">
        <v>18</v>
      </c>
      <c r="N219" s="25">
        <v>41704</v>
      </c>
      <c r="O219">
        <v>3009.9789999999998</v>
      </c>
      <c r="P219">
        <v>3009.9789999999998</v>
      </c>
    </row>
    <row r="220" spans="1:16" x14ac:dyDescent="0.35">
      <c r="A220">
        <v>220</v>
      </c>
      <c r="B220" t="s">
        <v>63</v>
      </c>
      <c r="C220" t="s">
        <v>62</v>
      </c>
      <c r="D220" t="s">
        <v>66</v>
      </c>
      <c r="E220" t="s">
        <v>2</v>
      </c>
      <c r="F220">
        <v>1</v>
      </c>
      <c r="G220">
        <v>40900</v>
      </c>
      <c r="H220">
        <v>1</v>
      </c>
      <c r="I220" t="s">
        <v>68</v>
      </c>
      <c r="J220">
        <v>18</v>
      </c>
      <c r="K220" t="s">
        <v>14</v>
      </c>
      <c r="L220" t="s">
        <v>50</v>
      </c>
      <c r="M220" t="s">
        <v>35</v>
      </c>
      <c r="N220" s="25">
        <v>40777</v>
      </c>
      <c r="O220">
        <v>961.60900000000004</v>
      </c>
      <c r="P220">
        <v>961.60900000000004</v>
      </c>
    </row>
    <row r="221" spans="1:16" x14ac:dyDescent="0.35">
      <c r="A221">
        <v>221</v>
      </c>
      <c r="B221" t="s">
        <v>64</v>
      </c>
      <c r="C221" t="s">
        <v>61</v>
      </c>
      <c r="D221" t="s">
        <v>66</v>
      </c>
      <c r="E221" t="s">
        <v>2</v>
      </c>
      <c r="F221">
        <v>1</v>
      </c>
      <c r="G221">
        <v>65800</v>
      </c>
      <c r="H221">
        <v>2</v>
      </c>
      <c r="I221" t="s">
        <v>68</v>
      </c>
      <c r="J221">
        <v>18</v>
      </c>
      <c r="K221" t="s">
        <v>14</v>
      </c>
      <c r="L221" t="s">
        <v>49</v>
      </c>
      <c r="M221" t="s">
        <v>39</v>
      </c>
      <c r="N221" s="25">
        <v>41556</v>
      </c>
      <c r="O221">
        <v>577.53599999999994</v>
      </c>
      <c r="P221">
        <v>577.53599999999994</v>
      </c>
    </row>
    <row r="222" spans="1:16" x14ac:dyDescent="0.35">
      <c r="A222">
        <v>222</v>
      </c>
      <c r="B222" t="s">
        <v>63</v>
      </c>
      <c r="C222" t="s">
        <v>61</v>
      </c>
      <c r="D222" t="s">
        <v>66</v>
      </c>
      <c r="E222" t="s">
        <v>2</v>
      </c>
      <c r="F222">
        <v>1</v>
      </c>
      <c r="G222">
        <v>39700</v>
      </c>
      <c r="H222">
        <v>0</v>
      </c>
      <c r="I222" t="s">
        <v>68</v>
      </c>
      <c r="J222">
        <v>18</v>
      </c>
      <c r="K222" t="s">
        <v>13</v>
      </c>
      <c r="L222" t="s">
        <v>45</v>
      </c>
      <c r="M222" t="s">
        <v>26</v>
      </c>
      <c r="N222" s="25">
        <v>41924</v>
      </c>
      <c r="O222">
        <v>1011.061</v>
      </c>
      <c r="P222">
        <v>1011.061</v>
      </c>
    </row>
    <row r="223" spans="1:16" x14ac:dyDescent="0.35">
      <c r="A223">
        <v>223</v>
      </c>
      <c r="B223" t="s">
        <v>65</v>
      </c>
      <c r="C223" t="s">
        <v>62</v>
      </c>
      <c r="D223" t="s">
        <v>58</v>
      </c>
      <c r="E223" t="s">
        <v>2</v>
      </c>
      <c r="F223">
        <v>0</v>
      </c>
      <c r="G223">
        <v>79300</v>
      </c>
      <c r="H223">
        <v>0</v>
      </c>
      <c r="I223" t="s">
        <v>8</v>
      </c>
      <c r="J223">
        <v>12</v>
      </c>
      <c r="K223" t="s">
        <v>15</v>
      </c>
      <c r="L223" t="s">
        <v>44</v>
      </c>
      <c r="M223" t="s">
        <v>29</v>
      </c>
      <c r="N223" s="25">
        <v>42070</v>
      </c>
      <c r="O223">
        <v>2046.912</v>
      </c>
      <c r="P223">
        <v>2046.912</v>
      </c>
    </row>
    <row r="224" spans="1:16" x14ac:dyDescent="0.35">
      <c r="A224">
        <v>224</v>
      </c>
      <c r="B224" t="s">
        <v>64</v>
      </c>
      <c r="C224" t="s">
        <v>62</v>
      </c>
      <c r="D224" t="s">
        <v>66</v>
      </c>
      <c r="E224" t="s">
        <v>2</v>
      </c>
      <c r="F224">
        <v>1</v>
      </c>
      <c r="G224">
        <v>40500</v>
      </c>
      <c r="H224">
        <v>2</v>
      </c>
      <c r="I224" t="s">
        <v>67</v>
      </c>
      <c r="J224">
        <v>18</v>
      </c>
      <c r="K224" t="s">
        <v>13</v>
      </c>
      <c r="L224" t="s">
        <v>48</v>
      </c>
      <c r="M224" t="s">
        <v>27</v>
      </c>
      <c r="N224" s="25">
        <v>40817</v>
      </c>
      <c r="O224">
        <v>622.01800000000003</v>
      </c>
      <c r="P224">
        <v>622.01800000000003</v>
      </c>
    </row>
    <row r="225" spans="1:16" x14ac:dyDescent="0.35">
      <c r="A225">
        <v>225</v>
      </c>
      <c r="B225" t="s">
        <v>64</v>
      </c>
      <c r="C225" t="s">
        <v>62</v>
      </c>
      <c r="D225" t="s">
        <v>58</v>
      </c>
      <c r="E225" t="s">
        <v>2</v>
      </c>
      <c r="F225">
        <v>1</v>
      </c>
      <c r="G225">
        <v>64100</v>
      </c>
      <c r="H225">
        <v>1</v>
      </c>
      <c r="I225" t="s">
        <v>68</v>
      </c>
      <c r="J225">
        <v>18</v>
      </c>
      <c r="K225" t="s">
        <v>13</v>
      </c>
      <c r="L225" t="s">
        <v>46</v>
      </c>
      <c r="M225" t="s">
        <v>22</v>
      </c>
      <c r="N225" s="25">
        <v>41532</v>
      </c>
      <c r="O225">
        <v>1332.173</v>
      </c>
      <c r="P225">
        <v>1332.173</v>
      </c>
    </row>
    <row r="226" spans="1:16" x14ac:dyDescent="0.35">
      <c r="A226">
        <v>226</v>
      </c>
      <c r="B226" t="s">
        <v>64</v>
      </c>
      <c r="C226" t="s">
        <v>62</v>
      </c>
      <c r="D226" t="s">
        <v>66</v>
      </c>
      <c r="E226" t="s">
        <v>70</v>
      </c>
      <c r="F226">
        <v>1</v>
      </c>
      <c r="G226">
        <v>42000</v>
      </c>
      <c r="H226">
        <v>3</v>
      </c>
      <c r="I226" t="s">
        <v>67</v>
      </c>
      <c r="J226">
        <v>18</v>
      </c>
      <c r="K226" t="s">
        <v>12</v>
      </c>
      <c r="L226" t="s">
        <v>41</v>
      </c>
      <c r="M226" t="s">
        <v>20</v>
      </c>
      <c r="N226" s="25">
        <v>41954</v>
      </c>
      <c r="O226">
        <v>232.107</v>
      </c>
      <c r="P226">
        <v>232.107</v>
      </c>
    </row>
    <row r="227" spans="1:16" x14ac:dyDescent="0.35">
      <c r="A227">
        <v>227</v>
      </c>
      <c r="B227" t="s">
        <v>65</v>
      </c>
      <c r="C227" t="s">
        <v>62</v>
      </c>
      <c r="D227" t="s">
        <v>58</v>
      </c>
      <c r="E227" t="s">
        <v>70</v>
      </c>
      <c r="F227">
        <v>1</v>
      </c>
      <c r="G227">
        <v>32500</v>
      </c>
      <c r="H227">
        <v>0</v>
      </c>
      <c r="I227" t="s">
        <v>68</v>
      </c>
      <c r="J227">
        <v>24</v>
      </c>
      <c r="K227" t="s">
        <v>14</v>
      </c>
      <c r="L227" t="s">
        <v>50</v>
      </c>
      <c r="M227" t="s">
        <v>34</v>
      </c>
      <c r="N227" s="25">
        <v>40851</v>
      </c>
      <c r="O227">
        <v>882.86199999999997</v>
      </c>
      <c r="P227">
        <v>882.86199999999997</v>
      </c>
    </row>
    <row r="228" spans="1:16" x14ac:dyDescent="0.35">
      <c r="A228">
        <v>228</v>
      </c>
      <c r="B228" t="s">
        <v>65</v>
      </c>
      <c r="C228" t="s">
        <v>62</v>
      </c>
      <c r="D228" t="s">
        <v>66</v>
      </c>
      <c r="E228" t="s">
        <v>2</v>
      </c>
      <c r="F228">
        <v>1</v>
      </c>
      <c r="G228">
        <v>68600</v>
      </c>
      <c r="H228">
        <v>0</v>
      </c>
      <c r="I228" t="s">
        <v>69</v>
      </c>
      <c r="J228">
        <v>18</v>
      </c>
      <c r="K228" t="s">
        <v>12</v>
      </c>
      <c r="L228" t="s">
        <v>47</v>
      </c>
      <c r="M228" t="s">
        <v>16</v>
      </c>
      <c r="N228" s="25">
        <v>41945</v>
      </c>
      <c r="O228">
        <v>1341.8689999999999</v>
      </c>
      <c r="P228">
        <v>1341.8689999999999</v>
      </c>
    </row>
    <row r="229" spans="1:16" x14ac:dyDescent="0.35">
      <c r="A229">
        <v>229</v>
      </c>
      <c r="B229" t="s">
        <v>64</v>
      </c>
      <c r="C229" t="s">
        <v>61</v>
      </c>
      <c r="D229" t="s">
        <v>66</v>
      </c>
      <c r="E229" t="s">
        <v>70</v>
      </c>
      <c r="F229">
        <v>1</v>
      </c>
      <c r="G229">
        <v>60400</v>
      </c>
      <c r="H229">
        <v>1</v>
      </c>
      <c r="I229" t="s">
        <v>68</v>
      </c>
      <c r="J229">
        <v>6</v>
      </c>
      <c r="K229" t="s">
        <v>13</v>
      </c>
      <c r="L229" t="s">
        <v>48</v>
      </c>
      <c r="M229" t="s">
        <v>27</v>
      </c>
      <c r="N229" s="25">
        <v>41377</v>
      </c>
      <c r="O229">
        <v>791.23599999999999</v>
      </c>
      <c r="P229">
        <v>791.23599999999999</v>
      </c>
    </row>
    <row r="230" spans="1:16" x14ac:dyDescent="0.35">
      <c r="A230">
        <v>230</v>
      </c>
      <c r="B230" t="s">
        <v>64</v>
      </c>
      <c r="C230" t="s">
        <v>61</v>
      </c>
      <c r="D230" t="s">
        <v>58</v>
      </c>
      <c r="E230" t="s">
        <v>2</v>
      </c>
      <c r="F230">
        <v>0</v>
      </c>
      <c r="G230">
        <v>130600</v>
      </c>
      <c r="H230">
        <v>0</v>
      </c>
      <c r="I230" t="s">
        <v>69</v>
      </c>
      <c r="J230">
        <v>18</v>
      </c>
      <c r="K230" t="s">
        <v>13</v>
      </c>
      <c r="L230" t="s">
        <v>48</v>
      </c>
      <c r="M230" t="s">
        <v>27</v>
      </c>
      <c r="N230" s="25">
        <v>41928</v>
      </c>
      <c r="O230">
        <v>3441.549</v>
      </c>
      <c r="P230">
        <v>3441.549</v>
      </c>
    </row>
    <row r="231" spans="1:16" x14ac:dyDescent="0.35">
      <c r="A231">
        <v>231</v>
      </c>
      <c r="B231" t="s">
        <v>65</v>
      </c>
      <c r="C231" t="s">
        <v>61</v>
      </c>
      <c r="D231" t="s">
        <v>58</v>
      </c>
      <c r="E231" t="s">
        <v>2</v>
      </c>
      <c r="F231">
        <v>1</v>
      </c>
      <c r="G231">
        <v>73100</v>
      </c>
      <c r="H231">
        <v>0</v>
      </c>
      <c r="I231" t="s">
        <v>69</v>
      </c>
      <c r="J231">
        <v>6</v>
      </c>
      <c r="K231" t="s">
        <v>14</v>
      </c>
      <c r="L231" t="s">
        <v>40</v>
      </c>
      <c r="M231" t="s">
        <v>36</v>
      </c>
      <c r="N231" s="25">
        <v>41634</v>
      </c>
      <c r="O231">
        <v>1582.021</v>
      </c>
      <c r="P231">
        <v>1582.021</v>
      </c>
    </row>
    <row r="232" spans="1:16" x14ac:dyDescent="0.35">
      <c r="A232">
        <v>232</v>
      </c>
      <c r="B232" t="s">
        <v>65</v>
      </c>
      <c r="C232" t="s">
        <v>62</v>
      </c>
      <c r="D232" t="s">
        <v>58</v>
      </c>
      <c r="E232" t="s">
        <v>70</v>
      </c>
      <c r="F232">
        <v>1</v>
      </c>
      <c r="G232">
        <v>23800</v>
      </c>
      <c r="H232">
        <v>0</v>
      </c>
      <c r="I232" t="s">
        <v>67</v>
      </c>
      <c r="J232">
        <v>6</v>
      </c>
      <c r="K232" t="s">
        <v>13</v>
      </c>
      <c r="L232" t="s">
        <v>48</v>
      </c>
      <c r="M232" t="s">
        <v>27</v>
      </c>
      <c r="N232" s="25">
        <v>40223</v>
      </c>
      <c r="O232">
        <v>438.49599999999998</v>
      </c>
      <c r="P232">
        <v>438.49599999999998</v>
      </c>
    </row>
    <row r="233" spans="1:16" x14ac:dyDescent="0.35">
      <c r="A233">
        <v>233</v>
      </c>
      <c r="B233" t="s">
        <v>64</v>
      </c>
      <c r="C233" t="s">
        <v>61</v>
      </c>
      <c r="D233" t="s">
        <v>58</v>
      </c>
      <c r="E233" t="s">
        <v>70</v>
      </c>
      <c r="F233">
        <v>1</v>
      </c>
      <c r="G233">
        <v>52900</v>
      </c>
      <c r="H233">
        <v>1</v>
      </c>
      <c r="I233" t="s">
        <v>8</v>
      </c>
      <c r="J233">
        <v>24</v>
      </c>
      <c r="K233" t="s">
        <v>13</v>
      </c>
      <c r="L233" t="s">
        <v>45</v>
      </c>
      <c r="M233" t="s">
        <v>26</v>
      </c>
      <c r="N233" s="25">
        <v>42041</v>
      </c>
      <c r="O233">
        <v>2316.442</v>
      </c>
      <c r="P233">
        <v>2316.442</v>
      </c>
    </row>
    <row r="234" spans="1:16" x14ac:dyDescent="0.35">
      <c r="A234">
        <v>234</v>
      </c>
      <c r="B234" t="s">
        <v>63</v>
      </c>
      <c r="C234" t="s">
        <v>61</v>
      </c>
      <c r="D234" t="s">
        <v>66</v>
      </c>
      <c r="E234" t="s">
        <v>2</v>
      </c>
      <c r="F234">
        <v>1</v>
      </c>
      <c r="G234">
        <v>53600</v>
      </c>
      <c r="H234">
        <v>1</v>
      </c>
      <c r="I234" t="s">
        <v>68</v>
      </c>
      <c r="J234">
        <v>24</v>
      </c>
      <c r="K234" t="s">
        <v>12</v>
      </c>
      <c r="L234" t="s">
        <v>41</v>
      </c>
      <c r="M234" t="s">
        <v>20</v>
      </c>
      <c r="N234" s="25">
        <v>41854</v>
      </c>
      <c r="O234">
        <v>972.92899999999997</v>
      </c>
      <c r="P234">
        <v>972.92899999999997</v>
      </c>
    </row>
    <row r="235" spans="1:16" x14ac:dyDescent="0.35">
      <c r="A235">
        <v>235</v>
      </c>
      <c r="B235" t="s">
        <v>64</v>
      </c>
      <c r="C235" t="s">
        <v>61</v>
      </c>
      <c r="D235" t="s">
        <v>66</v>
      </c>
      <c r="E235" t="s">
        <v>70</v>
      </c>
      <c r="F235">
        <v>1</v>
      </c>
      <c r="G235">
        <v>55600</v>
      </c>
      <c r="H235">
        <v>0</v>
      </c>
      <c r="I235" t="s">
        <v>68</v>
      </c>
      <c r="J235">
        <v>6</v>
      </c>
      <c r="K235" t="s">
        <v>12</v>
      </c>
      <c r="L235" t="s">
        <v>54</v>
      </c>
      <c r="M235" t="s">
        <v>21</v>
      </c>
      <c r="N235" s="25">
        <v>41546</v>
      </c>
      <c r="O235">
        <v>984.41200000000003</v>
      </c>
      <c r="P235">
        <v>984.41200000000003</v>
      </c>
    </row>
    <row r="236" spans="1:16" x14ac:dyDescent="0.35">
      <c r="A236">
        <v>236</v>
      </c>
      <c r="B236" t="s">
        <v>65</v>
      </c>
      <c r="C236" t="s">
        <v>61</v>
      </c>
      <c r="D236" t="s">
        <v>58</v>
      </c>
      <c r="E236" t="s">
        <v>2</v>
      </c>
      <c r="F236">
        <v>0</v>
      </c>
      <c r="G236">
        <v>52000</v>
      </c>
      <c r="H236">
        <v>0</v>
      </c>
      <c r="I236" t="s">
        <v>69</v>
      </c>
      <c r="J236">
        <v>18</v>
      </c>
      <c r="K236" t="s">
        <v>13</v>
      </c>
      <c r="L236" t="s">
        <v>42</v>
      </c>
      <c r="M236" t="s">
        <v>25</v>
      </c>
      <c r="N236" s="25">
        <v>41391</v>
      </c>
      <c r="O236">
        <v>2544.605</v>
      </c>
      <c r="P236">
        <v>2544.605</v>
      </c>
    </row>
    <row r="237" spans="1:16" x14ac:dyDescent="0.35">
      <c r="A237">
        <v>237</v>
      </c>
      <c r="B237" t="s">
        <v>64</v>
      </c>
      <c r="C237" t="s">
        <v>62</v>
      </c>
      <c r="D237" t="s">
        <v>66</v>
      </c>
      <c r="E237" t="s">
        <v>2</v>
      </c>
      <c r="F237">
        <v>1</v>
      </c>
      <c r="G237">
        <v>79500</v>
      </c>
      <c r="H237">
        <v>0</v>
      </c>
      <c r="I237" t="s">
        <v>69</v>
      </c>
      <c r="J237">
        <v>12</v>
      </c>
      <c r="K237" t="s">
        <v>15</v>
      </c>
      <c r="L237" t="s">
        <v>28</v>
      </c>
      <c r="M237" t="s">
        <v>28</v>
      </c>
      <c r="N237" s="25">
        <v>41997</v>
      </c>
      <c r="O237">
        <v>1650.913</v>
      </c>
      <c r="P237">
        <v>1650.913</v>
      </c>
    </row>
    <row r="238" spans="1:16" x14ac:dyDescent="0.35">
      <c r="A238">
        <v>238</v>
      </c>
      <c r="B238" t="s">
        <v>64</v>
      </c>
      <c r="C238" t="s">
        <v>61</v>
      </c>
      <c r="D238" t="s">
        <v>66</v>
      </c>
      <c r="E238" t="s">
        <v>2</v>
      </c>
      <c r="F238">
        <v>0</v>
      </c>
      <c r="G238">
        <v>64600</v>
      </c>
      <c r="H238">
        <v>2</v>
      </c>
      <c r="I238" t="s">
        <v>8</v>
      </c>
      <c r="J238">
        <v>24</v>
      </c>
      <c r="K238" t="s">
        <v>14</v>
      </c>
      <c r="L238" t="s">
        <v>49</v>
      </c>
      <c r="M238" t="s">
        <v>39</v>
      </c>
      <c r="N238" s="25">
        <v>42235</v>
      </c>
      <c r="O238">
        <v>2934.8760000000002</v>
      </c>
      <c r="P238">
        <v>2934.8760000000002</v>
      </c>
    </row>
    <row r="239" spans="1:16" x14ac:dyDescent="0.35">
      <c r="A239">
        <v>239</v>
      </c>
      <c r="B239" t="s">
        <v>63</v>
      </c>
      <c r="C239" t="s">
        <v>62</v>
      </c>
      <c r="D239" t="s">
        <v>66</v>
      </c>
      <c r="E239" t="s">
        <v>70</v>
      </c>
      <c r="F239">
        <v>1</v>
      </c>
      <c r="G239">
        <v>14300</v>
      </c>
      <c r="H239">
        <v>1</v>
      </c>
      <c r="I239" t="s">
        <v>8</v>
      </c>
      <c r="J239">
        <v>18</v>
      </c>
      <c r="K239" t="s">
        <v>13</v>
      </c>
      <c r="L239" t="s">
        <v>42</v>
      </c>
      <c r="M239" t="s">
        <v>25</v>
      </c>
      <c r="N239" s="25">
        <v>42199</v>
      </c>
      <c r="O239">
        <v>458.28699999999998</v>
      </c>
      <c r="P239">
        <v>458.28699999999998</v>
      </c>
    </row>
    <row r="240" spans="1:16" x14ac:dyDescent="0.35">
      <c r="A240">
        <v>240</v>
      </c>
      <c r="B240" t="s">
        <v>64</v>
      </c>
      <c r="C240" t="s">
        <v>61</v>
      </c>
      <c r="D240" t="s">
        <v>58</v>
      </c>
      <c r="E240" t="s">
        <v>2</v>
      </c>
      <c r="F240">
        <v>1</v>
      </c>
      <c r="G240">
        <v>100000</v>
      </c>
      <c r="H240">
        <v>1</v>
      </c>
      <c r="I240" t="s">
        <v>69</v>
      </c>
      <c r="J240">
        <v>24</v>
      </c>
      <c r="K240" t="s">
        <v>12</v>
      </c>
      <c r="L240" t="s">
        <v>55</v>
      </c>
      <c r="M240" t="s">
        <v>17</v>
      </c>
      <c r="N240" s="25">
        <v>41351</v>
      </c>
      <c r="O240">
        <v>2247.366</v>
      </c>
      <c r="P240">
        <v>2247.366</v>
      </c>
    </row>
    <row r="241" spans="1:16" x14ac:dyDescent="0.35">
      <c r="A241">
        <v>241</v>
      </c>
      <c r="B241" t="s">
        <v>64</v>
      </c>
      <c r="C241" t="s">
        <v>61</v>
      </c>
      <c r="D241" t="s">
        <v>58</v>
      </c>
      <c r="E241" t="s">
        <v>70</v>
      </c>
      <c r="F241">
        <v>0</v>
      </c>
      <c r="G241">
        <v>48100</v>
      </c>
      <c r="H241">
        <v>2</v>
      </c>
      <c r="I241" t="s">
        <v>68</v>
      </c>
      <c r="J241">
        <v>18</v>
      </c>
      <c r="K241" t="s">
        <v>13</v>
      </c>
      <c r="L241" t="s">
        <v>46</v>
      </c>
      <c r="M241" t="s">
        <v>22</v>
      </c>
      <c r="N241" s="25">
        <v>41059</v>
      </c>
      <c r="O241">
        <v>961.005</v>
      </c>
      <c r="P241">
        <v>961.005</v>
      </c>
    </row>
    <row r="242" spans="1:16" x14ac:dyDescent="0.35">
      <c r="A242">
        <v>242</v>
      </c>
      <c r="B242" t="s">
        <v>64</v>
      </c>
      <c r="C242" t="s">
        <v>61</v>
      </c>
      <c r="D242" t="s">
        <v>58</v>
      </c>
      <c r="E242" t="s">
        <v>2</v>
      </c>
      <c r="F242">
        <v>1</v>
      </c>
      <c r="G242">
        <v>107300</v>
      </c>
      <c r="H242">
        <v>2</v>
      </c>
      <c r="I242" t="s">
        <v>68</v>
      </c>
      <c r="J242">
        <v>24</v>
      </c>
      <c r="K242" t="s">
        <v>15</v>
      </c>
      <c r="L242" t="s">
        <v>52</v>
      </c>
      <c r="M242" t="s">
        <v>30</v>
      </c>
      <c r="N242" s="25">
        <v>41093</v>
      </c>
      <c r="O242">
        <v>1194.239</v>
      </c>
      <c r="P242">
        <v>1194.239</v>
      </c>
    </row>
    <row r="243" spans="1:16" x14ac:dyDescent="0.35">
      <c r="A243">
        <v>243</v>
      </c>
      <c r="B243" t="s">
        <v>64</v>
      </c>
      <c r="C243" t="s">
        <v>61</v>
      </c>
      <c r="D243" t="s">
        <v>58</v>
      </c>
      <c r="E243" t="s">
        <v>2</v>
      </c>
      <c r="F243">
        <v>1</v>
      </c>
      <c r="G243">
        <v>85600</v>
      </c>
      <c r="H243">
        <v>0</v>
      </c>
      <c r="I243" t="s">
        <v>69</v>
      </c>
      <c r="J243">
        <v>24</v>
      </c>
      <c r="K243" t="s">
        <v>13</v>
      </c>
      <c r="L243" t="s">
        <v>42</v>
      </c>
      <c r="M243" t="s">
        <v>25</v>
      </c>
      <c r="N243" s="25">
        <v>42121</v>
      </c>
      <c r="O243">
        <v>3380.1410000000001</v>
      </c>
      <c r="P243">
        <v>3380.1410000000001</v>
      </c>
    </row>
    <row r="244" spans="1:16" x14ac:dyDescent="0.35">
      <c r="A244">
        <v>244</v>
      </c>
      <c r="B244" t="s">
        <v>64</v>
      </c>
      <c r="C244" t="s">
        <v>61</v>
      </c>
      <c r="D244" t="s">
        <v>58</v>
      </c>
      <c r="E244" t="s">
        <v>2</v>
      </c>
      <c r="F244">
        <v>0</v>
      </c>
      <c r="G244">
        <v>82400</v>
      </c>
      <c r="H244">
        <v>2</v>
      </c>
      <c r="I244" t="s">
        <v>69</v>
      </c>
      <c r="J244">
        <v>24</v>
      </c>
      <c r="K244" t="s">
        <v>13</v>
      </c>
      <c r="L244" t="s">
        <v>45</v>
      </c>
      <c r="M244" t="s">
        <v>26</v>
      </c>
      <c r="N244" s="25">
        <v>41723</v>
      </c>
      <c r="O244">
        <v>2035.4929999999999</v>
      </c>
      <c r="P244">
        <v>2035.4929999999999</v>
      </c>
    </row>
    <row r="245" spans="1:16" x14ac:dyDescent="0.35">
      <c r="A245">
        <v>245</v>
      </c>
      <c r="B245" t="s">
        <v>64</v>
      </c>
      <c r="C245" t="s">
        <v>61</v>
      </c>
      <c r="D245" t="s">
        <v>58</v>
      </c>
      <c r="E245" t="s">
        <v>70</v>
      </c>
      <c r="F245">
        <v>0</v>
      </c>
      <c r="G245">
        <v>55600</v>
      </c>
      <c r="H245">
        <v>0</v>
      </c>
      <c r="I245" t="s">
        <v>69</v>
      </c>
      <c r="J245">
        <v>18</v>
      </c>
      <c r="K245" t="s">
        <v>13</v>
      </c>
      <c r="L245" t="s">
        <v>48</v>
      </c>
      <c r="M245" t="s">
        <v>27</v>
      </c>
      <c r="N245" s="25">
        <v>40103</v>
      </c>
      <c r="O245">
        <v>1786.4970000000001</v>
      </c>
      <c r="P245">
        <v>1786.4970000000001</v>
      </c>
    </row>
    <row r="246" spans="1:16" x14ac:dyDescent="0.35">
      <c r="A246">
        <v>246</v>
      </c>
      <c r="B246" t="s">
        <v>64</v>
      </c>
      <c r="C246" t="s">
        <v>61</v>
      </c>
      <c r="D246" t="s">
        <v>66</v>
      </c>
      <c r="E246" t="s">
        <v>70</v>
      </c>
      <c r="F246">
        <v>1</v>
      </c>
      <c r="G246">
        <v>54700</v>
      </c>
      <c r="H246">
        <v>0</v>
      </c>
      <c r="I246" t="s">
        <v>68</v>
      </c>
      <c r="J246">
        <v>24</v>
      </c>
      <c r="K246" t="s">
        <v>13</v>
      </c>
      <c r="L246" t="s">
        <v>45</v>
      </c>
      <c r="M246" t="s">
        <v>26</v>
      </c>
      <c r="N246" s="25">
        <v>40075</v>
      </c>
      <c r="O246">
        <v>1355.395</v>
      </c>
      <c r="P246">
        <v>1355.395</v>
      </c>
    </row>
    <row r="247" spans="1:16" x14ac:dyDescent="0.35">
      <c r="A247">
        <v>247</v>
      </c>
      <c r="B247" t="s">
        <v>64</v>
      </c>
      <c r="C247" t="s">
        <v>62</v>
      </c>
      <c r="D247" t="s">
        <v>66</v>
      </c>
      <c r="E247" t="s">
        <v>70</v>
      </c>
      <c r="F247">
        <v>1</v>
      </c>
      <c r="G247">
        <v>46500</v>
      </c>
      <c r="H247">
        <v>1</v>
      </c>
      <c r="I247" t="s">
        <v>68</v>
      </c>
      <c r="J247">
        <v>24</v>
      </c>
      <c r="K247" t="s">
        <v>15</v>
      </c>
      <c r="L247" t="s">
        <v>52</v>
      </c>
      <c r="M247" t="s">
        <v>31</v>
      </c>
      <c r="N247" s="25">
        <v>42241</v>
      </c>
      <c r="O247">
        <v>829.23699999999997</v>
      </c>
      <c r="P247">
        <v>829.23699999999997</v>
      </c>
    </row>
    <row r="248" spans="1:16" x14ac:dyDescent="0.35">
      <c r="A248">
        <v>248</v>
      </c>
      <c r="B248" t="s">
        <v>65</v>
      </c>
      <c r="C248" t="s">
        <v>62</v>
      </c>
      <c r="D248" t="s">
        <v>58</v>
      </c>
      <c r="E248" t="s">
        <v>70</v>
      </c>
      <c r="F248">
        <v>1</v>
      </c>
      <c r="G248">
        <v>35900</v>
      </c>
      <c r="H248">
        <v>0</v>
      </c>
      <c r="I248" t="s">
        <v>8</v>
      </c>
      <c r="J248">
        <v>12</v>
      </c>
      <c r="K248" t="s">
        <v>14</v>
      </c>
      <c r="L248" t="s">
        <v>50</v>
      </c>
      <c r="M248" t="s">
        <v>35</v>
      </c>
      <c r="N248" s="25">
        <v>42172</v>
      </c>
      <c r="O248">
        <v>962.01199999999994</v>
      </c>
      <c r="P248">
        <v>962.01199999999994</v>
      </c>
    </row>
    <row r="249" spans="1:16" x14ac:dyDescent="0.35">
      <c r="A249">
        <v>249</v>
      </c>
      <c r="B249" t="s">
        <v>64</v>
      </c>
      <c r="C249" t="s">
        <v>61</v>
      </c>
      <c r="D249" t="s">
        <v>66</v>
      </c>
      <c r="E249" t="s">
        <v>2</v>
      </c>
      <c r="F249">
        <v>1</v>
      </c>
      <c r="G249">
        <v>106100</v>
      </c>
      <c r="H249">
        <v>3</v>
      </c>
      <c r="I249" t="s">
        <v>67</v>
      </c>
      <c r="J249">
        <v>12</v>
      </c>
      <c r="K249" t="s">
        <v>12</v>
      </c>
      <c r="L249" t="s">
        <v>55</v>
      </c>
      <c r="M249" t="s">
        <v>17</v>
      </c>
      <c r="N249" s="25">
        <v>40870</v>
      </c>
      <c r="O249">
        <v>472.04700000000003</v>
      </c>
      <c r="P249">
        <v>472.04700000000003</v>
      </c>
    </row>
    <row r="250" spans="1:16" x14ac:dyDescent="0.35">
      <c r="A250">
        <v>250</v>
      </c>
      <c r="B250" t="s">
        <v>64</v>
      </c>
      <c r="C250" t="s">
        <v>61</v>
      </c>
      <c r="D250" t="s">
        <v>58</v>
      </c>
      <c r="E250" t="s">
        <v>70</v>
      </c>
      <c r="F250">
        <v>1</v>
      </c>
      <c r="G250">
        <v>49200</v>
      </c>
      <c r="H250">
        <v>3</v>
      </c>
      <c r="I250" t="s">
        <v>67</v>
      </c>
      <c r="J250">
        <v>12</v>
      </c>
      <c r="K250" t="s">
        <v>15</v>
      </c>
      <c r="L250" t="s">
        <v>28</v>
      </c>
      <c r="M250" t="s">
        <v>33</v>
      </c>
      <c r="N250" s="25">
        <v>42214</v>
      </c>
      <c r="O250">
        <v>209.52099999999999</v>
      </c>
      <c r="P250">
        <v>209.52099999999999</v>
      </c>
    </row>
    <row r="251" spans="1:16" x14ac:dyDescent="0.35">
      <c r="A251">
        <v>251</v>
      </c>
      <c r="B251" t="s">
        <v>63</v>
      </c>
      <c r="C251" t="s">
        <v>62</v>
      </c>
      <c r="D251" t="s">
        <v>66</v>
      </c>
      <c r="E251" t="s">
        <v>70</v>
      </c>
      <c r="F251">
        <v>0</v>
      </c>
      <c r="G251">
        <v>10800</v>
      </c>
      <c r="H251">
        <v>3</v>
      </c>
      <c r="I251" t="s">
        <v>67</v>
      </c>
      <c r="J251">
        <v>6</v>
      </c>
      <c r="K251" t="s">
        <v>13</v>
      </c>
      <c r="L251" t="s">
        <v>46</v>
      </c>
      <c r="M251" t="s">
        <v>22</v>
      </c>
      <c r="N251" s="25">
        <v>40879</v>
      </c>
      <c r="O251">
        <v>123.07</v>
      </c>
      <c r="P251">
        <v>123.07</v>
      </c>
    </row>
    <row r="252" spans="1:16" x14ac:dyDescent="0.35">
      <c r="A252">
        <v>252</v>
      </c>
      <c r="B252" t="s">
        <v>64</v>
      </c>
      <c r="C252" t="s">
        <v>61</v>
      </c>
      <c r="D252" t="s">
        <v>66</v>
      </c>
      <c r="E252" t="s">
        <v>70</v>
      </c>
      <c r="F252">
        <v>1</v>
      </c>
      <c r="G252">
        <v>45200</v>
      </c>
      <c r="H252">
        <v>1</v>
      </c>
      <c r="I252" t="s">
        <v>68</v>
      </c>
      <c r="J252">
        <v>18</v>
      </c>
      <c r="K252" t="s">
        <v>12</v>
      </c>
      <c r="L252" t="s">
        <v>55</v>
      </c>
      <c r="M252" t="s">
        <v>17</v>
      </c>
      <c r="N252" s="25">
        <v>42080</v>
      </c>
      <c r="O252">
        <v>698.61400000000003</v>
      </c>
      <c r="P252">
        <v>698.61400000000003</v>
      </c>
    </row>
    <row r="253" spans="1:16" x14ac:dyDescent="0.35">
      <c r="A253">
        <v>253</v>
      </c>
      <c r="B253" t="s">
        <v>65</v>
      </c>
      <c r="C253" t="s">
        <v>62</v>
      </c>
      <c r="D253" t="s">
        <v>66</v>
      </c>
      <c r="E253" t="s">
        <v>70</v>
      </c>
      <c r="F253">
        <v>0</v>
      </c>
      <c r="G253">
        <v>20400</v>
      </c>
      <c r="H253">
        <v>0</v>
      </c>
      <c r="I253" t="s">
        <v>8</v>
      </c>
      <c r="J253">
        <v>24</v>
      </c>
      <c r="K253" t="s">
        <v>14</v>
      </c>
      <c r="L253" t="s">
        <v>50</v>
      </c>
      <c r="M253" t="s">
        <v>35</v>
      </c>
      <c r="N253" s="25">
        <v>42084</v>
      </c>
      <c r="O253">
        <v>513.07600000000002</v>
      </c>
      <c r="P253">
        <v>513.07600000000002</v>
      </c>
    </row>
    <row r="254" spans="1:16" x14ac:dyDescent="0.35">
      <c r="A254">
        <v>254</v>
      </c>
      <c r="B254" t="s">
        <v>64</v>
      </c>
      <c r="C254" t="s">
        <v>61</v>
      </c>
      <c r="D254" t="s">
        <v>58</v>
      </c>
      <c r="E254" t="s">
        <v>2</v>
      </c>
      <c r="F254">
        <v>0</v>
      </c>
      <c r="G254">
        <v>95800</v>
      </c>
      <c r="H254">
        <v>3</v>
      </c>
      <c r="I254" t="s">
        <v>8</v>
      </c>
      <c r="J254">
        <v>12</v>
      </c>
      <c r="K254" t="s">
        <v>14</v>
      </c>
      <c r="L254" t="s">
        <v>40</v>
      </c>
      <c r="M254" t="s">
        <v>37</v>
      </c>
      <c r="N254" s="25">
        <v>42082</v>
      </c>
      <c r="O254">
        <v>2581.4259999999999</v>
      </c>
      <c r="P254">
        <v>2581.4259999999999</v>
      </c>
    </row>
    <row r="255" spans="1:16" x14ac:dyDescent="0.35">
      <c r="A255">
        <v>255</v>
      </c>
      <c r="B255" t="s">
        <v>64</v>
      </c>
      <c r="C255" t="s">
        <v>61</v>
      </c>
      <c r="D255" t="s">
        <v>58</v>
      </c>
      <c r="E255" t="s">
        <v>2</v>
      </c>
      <c r="F255">
        <v>1</v>
      </c>
      <c r="G255">
        <v>111400</v>
      </c>
      <c r="H255">
        <v>0</v>
      </c>
      <c r="I255" t="s">
        <v>69</v>
      </c>
      <c r="J255">
        <v>12</v>
      </c>
      <c r="K255" t="s">
        <v>13</v>
      </c>
      <c r="L255" t="s">
        <v>43</v>
      </c>
      <c r="M255" t="s">
        <v>23</v>
      </c>
      <c r="N255" s="25">
        <v>39831</v>
      </c>
      <c r="O255">
        <v>2136.348</v>
      </c>
      <c r="P255">
        <v>2136.348</v>
      </c>
    </row>
    <row r="256" spans="1:16" x14ac:dyDescent="0.35">
      <c r="A256">
        <v>256</v>
      </c>
      <c r="B256" t="s">
        <v>65</v>
      </c>
      <c r="C256" t="s">
        <v>62</v>
      </c>
      <c r="D256" t="s">
        <v>58</v>
      </c>
      <c r="E256" t="s">
        <v>2</v>
      </c>
      <c r="F256">
        <v>1</v>
      </c>
      <c r="G256">
        <v>49200</v>
      </c>
      <c r="H256">
        <v>0</v>
      </c>
      <c r="I256" t="s">
        <v>68</v>
      </c>
      <c r="J256">
        <v>12</v>
      </c>
      <c r="K256" t="s">
        <v>13</v>
      </c>
      <c r="L256" t="s">
        <v>48</v>
      </c>
      <c r="M256" t="s">
        <v>27</v>
      </c>
      <c r="N256" s="25">
        <v>41896</v>
      </c>
      <c r="O256">
        <v>1077.723</v>
      </c>
      <c r="P256">
        <v>1077.723</v>
      </c>
    </row>
    <row r="257" spans="1:16" x14ac:dyDescent="0.35">
      <c r="A257">
        <v>257</v>
      </c>
      <c r="B257" t="s">
        <v>64</v>
      </c>
      <c r="C257" t="s">
        <v>61</v>
      </c>
      <c r="D257" t="s">
        <v>66</v>
      </c>
      <c r="E257" t="s">
        <v>2</v>
      </c>
      <c r="F257">
        <v>0</v>
      </c>
      <c r="G257">
        <v>48800</v>
      </c>
      <c r="H257">
        <v>2</v>
      </c>
      <c r="I257" t="s">
        <v>8</v>
      </c>
      <c r="J257">
        <v>12</v>
      </c>
      <c r="K257" t="s">
        <v>14</v>
      </c>
      <c r="L257" t="s">
        <v>40</v>
      </c>
      <c r="M257" t="s">
        <v>37</v>
      </c>
      <c r="N257" s="25">
        <v>42148</v>
      </c>
      <c r="O257">
        <v>1646.8889999999999</v>
      </c>
      <c r="P257">
        <v>1646.8889999999999</v>
      </c>
    </row>
    <row r="258" spans="1:16" x14ac:dyDescent="0.35">
      <c r="A258">
        <v>258</v>
      </c>
      <c r="B258" t="s">
        <v>63</v>
      </c>
      <c r="C258" t="s">
        <v>62</v>
      </c>
      <c r="D258" t="s">
        <v>66</v>
      </c>
      <c r="E258" t="s">
        <v>70</v>
      </c>
      <c r="F258">
        <v>1</v>
      </c>
      <c r="G258">
        <v>14000</v>
      </c>
      <c r="H258">
        <v>0</v>
      </c>
      <c r="I258" t="s">
        <v>67</v>
      </c>
      <c r="J258">
        <v>12</v>
      </c>
      <c r="K258" t="s">
        <v>13</v>
      </c>
      <c r="L258" t="s">
        <v>48</v>
      </c>
      <c r="M258" t="s">
        <v>27</v>
      </c>
      <c r="N258" s="25">
        <v>40526</v>
      </c>
      <c r="O258">
        <v>229.20099999999999</v>
      </c>
      <c r="P258">
        <v>229.20099999999999</v>
      </c>
    </row>
    <row r="259" spans="1:16" x14ac:dyDescent="0.35">
      <c r="A259">
        <v>259</v>
      </c>
      <c r="B259" t="s">
        <v>64</v>
      </c>
      <c r="C259" t="s">
        <v>61</v>
      </c>
      <c r="D259" t="s">
        <v>58</v>
      </c>
      <c r="E259" t="s">
        <v>70</v>
      </c>
      <c r="F259">
        <v>1</v>
      </c>
      <c r="G259">
        <v>82800</v>
      </c>
      <c r="H259">
        <v>0</v>
      </c>
      <c r="I259" t="s">
        <v>8</v>
      </c>
      <c r="J259">
        <v>6</v>
      </c>
      <c r="K259" t="s">
        <v>15</v>
      </c>
      <c r="L259" t="s">
        <v>28</v>
      </c>
      <c r="M259" t="s">
        <v>28</v>
      </c>
      <c r="N259" s="25">
        <v>42151</v>
      </c>
      <c r="O259">
        <v>1543.5630000000001</v>
      </c>
      <c r="P259">
        <v>1543.5630000000001</v>
      </c>
    </row>
    <row r="260" spans="1:16" x14ac:dyDescent="0.35">
      <c r="A260">
        <v>260</v>
      </c>
      <c r="B260" t="s">
        <v>63</v>
      </c>
      <c r="C260" t="s">
        <v>62</v>
      </c>
      <c r="D260" t="s">
        <v>66</v>
      </c>
      <c r="E260" t="s">
        <v>70</v>
      </c>
      <c r="F260">
        <v>0</v>
      </c>
      <c r="G260">
        <v>12900</v>
      </c>
      <c r="H260">
        <v>1</v>
      </c>
      <c r="I260" t="s">
        <v>67</v>
      </c>
      <c r="J260">
        <v>6</v>
      </c>
      <c r="K260" t="s">
        <v>14</v>
      </c>
      <c r="L260" t="s">
        <v>40</v>
      </c>
      <c r="M260" t="s">
        <v>36</v>
      </c>
      <c r="N260" s="25">
        <v>39855</v>
      </c>
      <c r="O260">
        <v>167.41300000000001</v>
      </c>
      <c r="P260">
        <v>167.41300000000001</v>
      </c>
    </row>
    <row r="261" spans="1:16" x14ac:dyDescent="0.35">
      <c r="A261">
        <v>261</v>
      </c>
      <c r="B261" t="s">
        <v>64</v>
      </c>
      <c r="C261" t="s">
        <v>62</v>
      </c>
      <c r="D261" t="s">
        <v>58</v>
      </c>
      <c r="E261" t="s">
        <v>2</v>
      </c>
      <c r="F261">
        <v>1</v>
      </c>
      <c r="G261">
        <v>44100</v>
      </c>
      <c r="H261">
        <v>1</v>
      </c>
      <c r="I261" t="s">
        <v>68</v>
      </c>
      <c r="J261">
        <v>24</v>
      </c>
      <c r="K261" t="s">
        <v>12</v>
      </c>
      <c r="L261" t="s">
        <v>41</v>
      </c>
      <c r="M261" t="s">
        <v>20</v>
      </c>
      <c r="N261" s="25">
        <v>40521</v>
      </c>
      <c r="O261">
        <v>703.58600000000001</v>
      </c>
      <c r="P261">
        <v>703.58600000000001</v>
      </c>
    </row>
    <row r="262" spans="1:16" x14ac:dyDescent="0.35">
      <c r="A262">
        <v>262</v>
      </c>
      <c r="B262" t="s">
        <v>64</v>
      </c>
      <c r="C262" t="s">
        <v>62</v>
      </c>
      <c r="D262" t="s">
        <v>66</v>
      </c>
      <c r="E262" t="s">
        <v>2</v>
      </c>
      <c r="F262">
        <v>0</v>
      </c>
      <c r="G262">
        <v>72900</v>
      </c>
      <c r="H262">
        <v>0</v>
      </c>
      <c r="I262" t="s">
        <v>69</v>
      </c>
      <c r="J262">
        <v>18</v>
      </c>
      <c r="K262" t="s">
        <v>13</v>
      </c>
      <c r="L262" t="s">
        <v>45</v>
      </c>
      <c r="M262" t="s">
        <v>26</v>
      </c>
      <c r="N262" s="25">
        <v>41083</v>
      </c>
      <c r="O262">
        <v>2074.61</v>
      </c>
      <c r="P262">
        <v>2074.61</v>
      </c>
    </row>
    <row r="263" spans="1:16" x14ac:dyDescent="0.35">
      <c r="A263">
        <v>263</v>
      </c>
      <c r="B263" t="s">
        <v>65</v>
      </c>
      <c r="C263" t="s">
        <v>61</v>
      </c>
      <c r="D263" t="s">
        <v>58</v>
      </c>
      <c r="E263" t="s">
        <v>70</v>
      </c>
      <c r="F263">
        <v>1</v>
      </c>
      <c r="G263">
        <v>59300</v>
      </c>
      <c r="H263">
        <v>0</v>
      </c>
      <c r="I263" t="s">
        <v>68</v>
      </c>
      <c r="J263">
        <v>12</v>
      </c>
      <c r="K263" t="s">
        <v>13</v>
      </c>
      <c r="L263" t="s">
        <v>42</v>
      </c>
      <c r="M263" t="s">
        <v>25</v>
      </c>
      <c r="N263" s="25">
        <v>40466</v>
      </c>
      <c r="O263">
        <v>928.78</v>
      </c>
      <c r="P263">
        <v>928.78</v>
      </c>
    </row>
    <row r="264" spans="1:16" x14ac:dyDescent="0.35">
      <c r="A264">
        <v>264</v>
      </c>
      <c r="B264" t="s">
        <v>64</v>
      </c>
      <c r="C264" t="s">
        <v>61</v>
      </c>
      <c r="D264" t="s">
        <v>58</v>
      </c>
      <c r="E264" t="s">
        <v>70</v>
      </c>
      <c r="F264">
        <v>1</v>
      </c>
      <c r="G264">
        <v>59700</v>
      </c>
      <c r="H264">
        <v>1</v>
      </c>
      <c r="I264" t="s">
        <v>8</v>
      </c>
      <c r="J264">
        <v>18</v>
      </c>
      <c r="K264" t="s">
        <v>12</v>
      </c>
      <c r="L264" t="s">
        <v>55</v>
      </c>
      <c r="M264" t="s">
        <v>17</v>
      </c>
      <c r="N264" s="25">
        <v>42111</v>
      </c>
      <c r="O264">
        <v>1422.173</v>
      </c>
      <c r="P264">
        <v>1422.173</v>
      </c>
    </row>
    <row r="265" spans="1:16" x14ac:dyDescent="0.35">
      <c r="A265">
        <v>265</v>
      </c>
      <c r="B265" t="s">
        <v>65</v>
      </c>
      <c r="C265" t="s">
        <v>61</v>
      </c>
      <c r="D265" t="s">
        <v>58</v>
      </c>
      <c r="E265" t="s">
        <v>70</v>
      </c>
      <c r="F265">
        <v>1</v>
      </c>
      <c r="G265">
        <v>40200</v>
      </c>
      <c r="H265">
        <v>2</v>
      </c>
      <c r="I265" t="s">
        <v>8</v>
      </c>
      <c r="J265">
        <v>18</v>
      </c>
      <c r="K265" t="s">
        <v>12</v>
      </c>
      <c r="L265" t="s">
        <v>53</v>
      </c>
      <c r="M265" t="s">
        <v>19</v>
      </c>
      <c r="N265" s="25">
        <v>42084</v>
      </c>
      <c r="O265">
        <v>1196.7639999999999</v>
      </c>
      <c r="P265">
        <v>1196.7639999999999</v>
      </c>
    </row>
    <row r="266" spans="1:16" x14ac:dyDescent="0.35">
      <c r="A266">
        <v>266</v>
      </c>
      <c r="B266" t="s">
        <v>64</v>
      </c>
      <c r="C266" t="s">
        <v>61</v>
      </c>
      <c r="D266" t="s">
        <v>58</v>
      </c>
      <c r="E266" t="s">
        <v>70</v>
      </c>
      <c r="F266">
        <v>1</v>
      </c>
      <c r="G266">
        <v>62800</v>
      </c>
      <c r="H266">
        <v>3</v>
      </c>
      <c r="I266" t="s">
        <v>8</v>
      </c>
      <c r="J266">
        <v>6</v>
      </c>
      <c r="K266" t="s">
        <v>15</v>
      </c>
      <c r="L266" t="s">
        <v>42</v>
      </c>
      <c r="M266" t="s">
        <v>32</v>
      </c>
      <c r="N266" s="25">
        <v>42174</v>
      </c>
      <c r="O266">
        <v>707.12</v>
      </c>
      <c r="P266">
        <v>707.12</v>
      </c>
    </row>
    <row r="267" spans="1:16" x14ac:dyDescent="0.35">
      <c r="A267">
        <v>267</v>
      </c>
      <c r="B267" t="s">
        <v>65</v>
      </c>
      <c r="C267" t="s">
        <v>62</v>
      </c>
      <c r="D267" t="s">
        <v>66</v>
      </c>
      <c r="E267" t="s">
        <v>70</v>
      </c>
      <c r="F267">
        <v>0</v>
      </c>
      <c r="G267">
        <v>22600</v>
      </c>
      <c r="H267">
        <v>0</v>
      </c>
      <c r="I267" t="s">
        <v>8</v>
      </c>
      <c r="J267">
        <v>12</v>
      </c>
      <c r="K267" t="s">
        <v>14</v>
      </c>
      <c r="L267" t="s">
        <v>40</v>
      </c>
      <c r="M267" t="s">
        <v>37</v>
      </c>
      <c r="N267" s="25">
        <v>42194</v>
      </c>
      <c r="O267">
        <v>864.56399999999996</v>
      </c>
      <c r="P267">
        <v>864.56399999999996</v>
      </c>
    </row>
    <row r="268" spans="1:16" x14ac:dyDescent="0.35">
      <c r="A268">
        <v>268</v>
      </c>
      <c r="B268" t="s">
        <v>64</v>
      </c>
      <c r="C268" t="s">
        <v>62</v>
      </c>
      <c r="D268" t="s">
        <v>58</v>
      </c>
      <c r="E268" t="s">
        <v>70</v>
      </c>
      <c r="F268">
        <v>1</v>
      </c>
      <c r="G268">
        <v>54400</v>
      </c>
      <c r="H268">
        <v>3</v>
      </c>
      <c r="I268" t="s">
        <v>67</v>
      </c>
      <c r="J268">
        <v>18</v>
      </c>
      <c r="K268" t="s">
        <v>14</v>
      </c>
      <c r="L268" t="s">
        <v>49</v>
      </c>
      <c r="M268" t="s">
        <v>39</v>
      </c>
      <c r="N268" s="25">
        <v>41632</v>
      </c>
      <c r="O268">
        <v>342.452</v>
      </c>
      <c r="P268">
        <v>342.452</v>
      </c>
    </row>
    <row r="269" spans="1:16" x14ac:dyDescent="0.35">
      <c r="A269">
        <v>269</v>
      </c>
      <c r="B269" t="s">
        <v>63</v>
      </c>
      <c r="C269" t="s">
        <v>62</v>
      </c>
      <c r="D269" t="s">
        <v>58</v>
      </c>
      <c r="E269" t="s">
        <v>70</v>
      </c>
      <c r="F269">
        <v>1</v>
      </c>
      <c r="G269">
        <v>33400</v>
      </c>
      <c r="H269">
        <v>1</v>
      </c>
      <c r="I269" t="s">
        <v>8</v>
      </c>
      <c r="J269">
        <v>6</v>
      </c>
      <c r="K269" t="s">
        <v>13</v>
      </c>
      <c r="L269" t="s">
        <v>42</v>
      </c>
      <c r="M269" t="s">
        <v>25</v>
      </c>
      <c r="N269" s="25">
        <v>42018</v>
      </c>
      <c r="O269">
        <v>617.25900000000001</v>
      </c>
      <c r="P269">
        <v>617.25900000000001</v>
      </c>
    </row>
    <row r="270" spans="1:16" x14ac:dyDescent="0.35">
      <c r="A270">
        <v>270</v>
      </c>
      <c r="B270" t="s">
        <v>63</v>
      </c>
      <c r="C270" t="s">
        <v>61</v>
      </c>
      <c r="D270" t="s">
        <v>66</v>
      </c>
      <c r="E270" t="s">
        <v>2</v>
      </c>
      <c r="F270">
        <v>0</v>
      </c>
      <c r="G270">
        <v>63300</v>
      </c>
      <c r="H270">
        <v>3</v>
      </c>
      <c r="I270" t="s">
        <v>8</v>
      </c>
      <c r="J270">
        <v>6</v>
      </c>
      <c r="K270" t="s">
        <v>13</v>
      </c>
      <c r="L270" t="s">
        <v>48</v>
      </c>
      <c r="M270" t="s">
        <v>27</v>
      </c>
      <c r="N270" s="25">
        <v>42241</v>
      </c>
      <c r="O270">
        <v>1408.105</v>
      </c>
      <c r="P270">
        <v>1408.105</v>
      </c>
    </row>
    <row r="271" spans="1:16" x14ac:dyDescent="0.35">
      <c r="A271">
        <v>271</v>
      </c>
      <c r="B271" t="s">
        <v>64</v>
      </c>
      <c r="C271" t="s">
        <v>61</v>
      </c>
      <c r="D271" t="s">
        <v>66</v>
      </c>
      <c r="E271" t="s">
        <v>2</v>
      </c>
      <c r="F271">
        <v>1</v>
      </c>
      <c r="G271">
        <v>87400</v>
      </c>
      <c r="H271">
        <v>2</v>
      </c>
      <c r="I271" t="s">
        <v>8</v>
      </c>
      <c r="J271">
        <v>18</v>
      </c>
      <c r="K271" t="s">
        <v>13</v>
      </c>
      <c r="L271" t="s">
        <v>45</v>
      </c>
      <c r="M271" t="s">
        <v>26</v>
      </c>
      <c r="N271" s="25">
        <v>42137</v>
      </c>
      <c r="O271">
        <v>2728.5619999999999</v>
      </c>
      <c r="P271">
        <v>2728.5619999999999</v>
      </c>
    </row>
    <row r="272" spans="1:16" x14ac:dyDescent="0.35">
      <c r="A272">
        <v>272</v>
      </c>
      <c r="B272" t="s">
        <v>64</v>
      </c>
      <c r="C272" t="s">
        <v>62</v>
      </c>
      <c r="D272" t="s">
        <v>58</v>
      </c>
      <c r="E272" t="s">
        <v>70</v>
      </c>
      <c r="F272">
        <v>1</v>
      </c>
      <c r="G272">
        <v>27000</v>
      </c>
      <c r="H272">
        <v>2</v>
      </c>
      <c r="I272" t="s">
        <v>67</v>
      </c>
      <c r="J272">
        <v>6</v>
      </c>
      <c r="K272" t="s">
        <v>13</v>
      </c>
      <c r="L272" t="s">
        <v>43</v>
      </c>
      <c r="M272" t="s">
        <v>23</v>
      </c>
      <c r="N272" s="25">
        <v>40142</v>
      </c>
      <c r="O272">
        <v>182.63399999999999</v>
      </c>
      <c r="P272">
        <v>182.63399999999999</v>
      </c>
    </row>
    <row r="273" spans="1:16" x14ac:dyDescent="0.35">
      <c r="A273">
        <v>273</v>
      </c>
      <c r="B273" t="s">
        <v>64</v>
      </c>
      <c r="C273" t="s">
        <v>61</v>
      </c>
      <c r="D273" t="s">
        <v>58</v>
      </c>
      <c r="E273" t="s">
        <v>70</v>
      </c>
      <c r="F273">
        <v>1</v>
      </c>
      <c r="G273">
        <v>65300</v>
      </c>
      <c r="H273">
        <v>3</v>
      </c>
      <c r="I273" t="s">
        <v>67</v>
      </c>
      <c r="J273">
        <v>6</v>
      </c>
      <c r="K273" t="s">
        <v>12</v>
      </c>
      <c r="L273" t="s">
        <v>55</v>
      </c>
      <c r="M273" t="s">
        <v>17</v>
      </c>
      <c r="N273" s="25">
        <v>41036</v>
      </c>
      <c r="O273">
        <v>192.56899999999999</v>
      </c>
      <c r="P273">
        <v>192.56899999999999</v>
      </c>
    </row>
    <row r="274" spans="1:16" x14ac:dyDescent="0.35">
      <c r="A274">
        <v>274</v>
      </c>
      <c r="B274" t="s">
        <v>64</v>
      </c>
      <c r="C274" t="s">
        <v>62</v>
      </c>
      <c r="D274" t="s">
        <v>66</v>
      </c>
      <c r="E274" t="s">
        <v>2</v>
      </c>
      <c r="F274">
        <v>1</v>
      </c>
      <c r="G274">
        <v>104900</v>
      </c>
      <c r="H274">
        <v>3</v>
      </c>
      <c r="I274" t="s">
        <v>67</v>
      </c>
      <c r="J274">
        <v>6</v>
      </c>
      <c r="K274" t="s">
        <v>14</v>
      </c>
      <c r="L274" t="s">
        <v>49</v>
      </c>
      <c r="M274" t="s">
        <v>39</v>
      </c>
      <c r="N274" s="25">
        <v>41193</v>
      </c>
      <c r="O274">
        <v>449.58800000000002</v>
      </c>
      <c r="P274">
        <v>449.58800000000002</v>
      </c>
    </row>
    <row r="275" spans="1:16" x14ac:dyDescent="0.35">
      <c r="A275">
        <v>275</v>
      </c>
      <c r="B275" t="s">
        <v>65</v>
      </c>
      <c r="C275" t="s">
        <v>62</v>
      </c>
      <c r="D275" t="s">
        <v>66</v>
      </c>
      <c r="E275" t="s">
        <v>70</v>
      </c>
      <c r="F275">
        <v>1</v>
      </c>
      <c r="G275">
        <v>20100</v>
      </c>
      <c r="H275">
        <v>0</v>
      </c>
      <c r="I275" t="s">
        <v>67</v>
      </c>
      <c r="J275">
        <v>24</v>
      </c>
      <c r="K275" t="s">
        <v>13</v>
      </c>
      <c r="L275" t="s">
        <v>43</v>
      </c>
      <c r="M275" t="s">
        <v>23</v>
      </c>
      <c r="N275" s="25">
        <v>41059</v>
      </c>
      <c r="O275">
        <v>575.572</v>
      </c>
      <c r="P275">
        <v>575.572</v>
      </c>
    </row>
    <row r="276" spans="1:16" x14ac:dyDescent="0.35">
      <c r="A276">
        <v>276</v>
      </c>
      <c r="B276" t="s">
        <v>63</v>
      </c>
      <c r="C276" t="s">
        <v>62</v>
      </c>
      <c r="D276" t="s">
        <v>66</v>
      </c>
      <c r="E276" t="s">
        <v>70</v>
      </c>
      <c r="F276">
        <v>1</v>
      </c>
      <c r="G276">
        <v>14600</v>
      </c>
      <c r="H276">
        <v>1</v>
      </c>
      <c r="I276" t="s">
        <v>67</v>
      </c>
      <c r="J276">
        <v>6</v>
      </c>
      <c r="K276" t="s">
        <v>13</v>
      </c>
      <c r="L276" t="s">
        <v>56</v>
      </c>
      <c r="M276" t="s">
        <v>24</v>
      </c>
      <c r="N276" s="25">
        <v>41159</v>
      </c>
      <c r="O276">
        <v>142.81899999999999</v>
      </c>
      <c r="P276">
        <v>142.81899999999999</v>
      </c>
    </row>
    <row r="277" spans="1:16" x14ac:dyDescent="0.35">
      <c r="A277">
        <v>277</v>
      </c>
      <c r="B277" t="s">
        <v>64</v>
      </c>
      <c r="C277" t="s">
        <v>61</v>
      </c>
      <c r="D277" t="s">
        <v>58</v>
      </c>
      <c r="E277" t="s">
        <v>70</v>
      </c>
      <c r="F277">
        <v>1</v>
      </c>
      <c r="G277">
        <v>48100</v>
      </c>
      <c r="H277">
        <v>0</v>
      </c>
      <c r="I277" t="s">
        <v>68</v>
      </c>
      <c r="J277">
        <v>18</v>
      </c>
      <c r="K277" t="s">
        <v>15</v>
      </c>
      <c r="L277" t="s">
        <v>52</v>
      </c>
      <c r="M277" t="s">
        <v>30</v>
      </c>
      <c r="N277" s="25">
        <v>39999</v>
      </c>
      <c r="O277">
        <v>1639.5920000000001</v>
      </c>
      <c r="P277">
        <v>1639.5920000000001</v>
      </c>
    </row>
    <row r="278" spans="1:16" x14ac:dyDescent="0.35">
      <c r="A278">
        <v>278</v>
      </c>
      <c r="B278" t="s">
        <v>64</v>
      </c>
      <c r="C278" t="s">
        <v>62</v>
      </c>
      <c r="D278" t="s">
        <v>58</v>
      </c>
      <c r="E278" t="s">
        <v>2</v>
      </c>
      <c r="F278">
        <v>1</v>
      </c>
      <c r="G278">
        <v>107600</v>
      </c>
      <c r="H278">
        <v>2</v>
      </c>
      <c r="I278" t="s">
        <v>68</v>
      </c>
      <c r="J278">
        <v>12</v>
      </c>
      <c r="K278" t="s">
        <v>12</v>
      </c>
      <c r="L278" t="s">
        <v>47</v>
      </c>
      <c r="M278" t="s">
        <v>18</v>
      </c>
      <c r="N278" s="25">
        <v>42192</v>
      </c>
      <c r="O278">
        <v>1512.011</v>
      </c>
      <c r="P278">
        <v>1512.011</v>
      </c>
    </row>
    <row r="279" spans="1:16" x14ac:dyDescent="0.35">
      <c r="A279">
        <v>279</v>
      </c>
      <c r="B279" t="s">
        <v>64</v>
      </c>
      <c r="C279" t="s">
        <v>62</v>
      </c>
      <c r="D279" t="s">
        <v>66</v>
      </c>
      <c r="E279" t="s">
        <v>70</v>
      </c>
      <c r="F279">
        <v>1</v>
      </c>
      <c r="G279">
        <v>58600</v>
      </c>
      <c r="H279">
        <v>1</v>
      </c>
      <c r="I279" t="s">
        <v>68</v>
      </c>
      <c r="J279">
        <v>6</v>
      </c>
      <c r="K279" t="s">
        <v>13</v>
      </c>
      <c r="L279" t="s">
        <v>42</v>
      </c>
      <c r="M279" t="s">
        <v>25</v>
      </c>
      <c r="N279" s="25">
        <v>40928</v>
      </c>
      <c r="O279">
        <v>624.13800000000003</v>
      </c>
      <c r="P279">
        <v>624.13800000000003</v>
      </c>
    </row>
    <row r="280" spans="1:16" x14ac:dyDescent="0.35">
      <c r="A280">
        <v>280</v>
      </c>
      <c r="B280" t="s">
        <v>63</v>
      </c>
      <c r="C280" t="s">
        <v>61</v>
      </c>
      <c r="D280" t="s">
        <v>66</v>
      </c>
      <c r="E280" t="s">
        <v>2</v>
      </c>
      <c r="F280">
        <v>1</v>
      </c>
      <c r="G280">
        <v>80700</v>
      </c>
      <c r="H280">
        <v>3</v>
      </c>
      <c r="I280" t="s">
        <v>67</v>
      </c>
      <c r="J280">
        <v>6</v>
      </c>
      <c r="K280" t="s">
        <v>14</v>
      </c>
      <c r="L280" t="s">
        <v>50</v>
      </c>
      <c r="M280" t="s">
        <v>34</v>
      </c>
      <c r="N280" s="25">
        <v>41226</v>
      </c>
      <c r="O280">
        <v>202.18100000000001</v>
      </c>
      <c r="P280">
        <v>202.18100000000001</v>
      </c>
    </row>
    <row r="281" spans="1:16" x14ac:dyDescent="0.35">
      <c r="A281">
        <v>281</v>
      </c>
      <c r="B281" t="s">
        <v>64</v>
      </c>
      <c r="C281" t="s">
        <v>61</v>
      </c>
      <c r="D281" t="s">
        <v>66</v>
      </c>
      <c r="E281" t="s">
        <v>70</v>
      </c>
      <c r="F281">
        <v>0</v>
      </c>
      <c r="G281">
        <v>40200</v>
      </c>
      <c r="H281">
        <v>0</v>
      </c>
      <c r="I281" t="s">
        <v>69</v>
      </c>
      <c r="J281">
        <v>18</v>
      </c>
      <c r="K281" t="s">
        <v>12</v>
      </c>
      <c r="L281" t="s">
        <v>54</v>
      </c>
      <c r="M281" t="s">
        <v>21</v>
      </c>
      <c r="N281" s="25">
        <v>41368</v>
      </c>
      <c r="O281">
        <v>1634.0239999999999</v>
      </c>
      <c r="P281">
        <v>1634.0239999999999</v>
      </c>
    </row>
    <row r="282" spans="1:16" x14ac:dyDescent="0.35">
      <c r="A282">
        <v>282</v>
      </c>
      <c r="B282" t="s">
        <v>63</v>
      </c>
      <c r="C282" t="s">
        <v>61</v>
      </c>
      <c r="D282" t="s">
        <v>66</v>
      </c>
      <c r="E282" t="s">
        <v>70</v>
      </c>
      <c r="F282">
        <v>1</v>
      </c>
      <c r="G282">
        <v>25000</v>
      </c>
      <c r="H282">
        <v>0</v>
      </c>
      <c r="I282" t="s">
        <v>67</v>
      </c>
      <c r="J282">
        <v>6</v>
      </c>
      <c r="K282" t="s">
        <v>12</v>
      </c>
      <c r="L282" t="s">
        <v>41</v>
      </c>
      <c r="M282" t="s">
        <v>20</v>
      </c>
      <c r="N282" s="25">
        <v>41389</v>
      </c>
      <c r="O282">
        <v>263.99700000000001</v>
      </c>
      <c r="P282">
        <v>263.99700000000001</v>
      </c>
    </row>
    <row r="283" spans="1:16" x14ac:dyDescent="0.35">
      <c r="A283">
        <v>283</v>
      </c>
      <c r="B283" t="s">
        <v>64</v>
      </c>
      <c r="C283" t="s">
        <v>62</v>
      </c>
      <c r="D283" t="s">
        <v>58</v>
      </c>
      <c r="E283" t="s">
        <v>70</v>
      </c>
      <c r="F283">
        <v>1</v>
      </c>
      <c r="G283">
        <v>46600</v>
      </c>
      <c r="H283">
        <v>3</v>
      </c>
      <c r="I283" t="s">
        <v>67</v>
      </c>
      <c r="J283">
        <v>6</v>
      </c>
      <c r="K283" t="s">
        <v>13</v>
      </c>
      <c r="L283" t="s">
        <v>48</v>
      </c>
      <c r="M283" t="s">
        <v>27</v>
      </c>
      <c r="N283" s="25">
        <v>40614</v>
      </c>
      <c r="O283">
        <v>157.917</v>
      </c>
      <c r="P283">
        <v>157.917</v>
      </c>
    </row>
    <row r="284" spans="1:16" x14ac:dyDescent="0.35">
      <c r="A284">
        <v>284</v>
      </c>
      <c r="B284" t="s">
        <v>63</v>
      </c>
      <c r="C284" t="s">
        <v>61</v>
      </c>
      <c r="D284" t="s">
        <v>66</v>
      </c>
      <c r="E284" t="s">
        <v>70</v>
      </c>
      <c r="F284">
        <v>0</v>
      </c>
      <c r="G284">
        <v>21900</v>
      </c>
      <c r="H284">
        <v>2</v>
      </c>
      <c r="I284" t="s">
        <v>8</v>
      </c>
      <c r="J284">
        <v>6</v>
      </c>
      <c r="K284" t="s">
        <v>13</v>
      </c>
      <c r="L284" t="s">
        <v>46</v>
      </c>
      <c r="M284" t="s">
        <v>22</v>
      </c>
      <c r="N284" s="25">
        <v>42092</v>
      </c>
      <c r="O284">
        <v>192.10400000000001</v>
      </c>
      <c r="P284">
        <v>192.10400000000001</v>
      </c>
    </row>
    <row r="285" spans="1:16" x14ac:dyDescent="0.35">
      <c r="A285">
        <v>285</v>
      </c>
      <c r="B285" t="s">
        <v>63</v>
      </c>
      <c r="C285" t="s">
        <v>61</v>
      </c>
      <c r="D285" t="s">
        <v>66</v>
      </c>
      <c r="E285" t="s">
        <v>70</v>
      </c>
      <c r="F285">
        <v>0</v>
      </c>
      <c r="G285">
        <v>13900</v>
      </c>
      <c r="H285">
        <v>0</v>
      </c>
      <c r="I285" t="s">
        <v>8</v>
      </c>
      <c r="J285">
        <v>24</v>
      </c>
      <c r="K285" t="s">
        <v>15</v>
      </c>
      <c r="L285" t="s">
        <v>44</v>
      </c>
      <c r="M285" t="s">
        <v>29</v>
      </c>
      <c r="N285" s="25">
        <v>42042</v>
      </c>
      <c r="O285">
        <v>569.67100000000005</v>
      </c>
      <c r="P285">
        <v>569.67100000000005</v>
      </c>
    </row>
    <row r="286" spans="1:16" x14ac:dyDescent="0.35">
      <c r="A286">
        <v>286</v>
      </c>
      <c r="B286" t="s">
        <v>64</v>
      </c>
      <c r="C286" t="s">
        <v>62</v>
      </c>
      <c r="D286" t="s">
        <v>66</v>
      </c>
      <c r="E286" t="s">
        <v>70</v>
      </c>
      <c r="F286">
        <v>1</v>
      </c>
      <c r="G286">
        <v>25700</v>
      </c>
      <c r="H286">
        <v>2</v>
      </c>
      <c r="I286" t="s">
        <v>67</v>
      </c>
      <c r="J286">
        <v>6</v>
      </c>
      <c r="K286" t="s">
        <v>15</v>
      </c>
      <c r="L286" t="s">
        <v>28</v>
      </c>
      <c r="M286" t="s">
        <v>28</v>
      </c>
      <c r="N286" s="25">
        <v>41824</v>
      </c>
      <c r="O286">
        <v>172.83799999999999</v>
      </c>
      <c r="P286">
        <v>172.83799999999999</v>
      </c>
    </row>
    <row r="287" spans="1:16" x14ac:dyDescent="0.35">
      <c r="A287">
        <v>287</v>
      </c>
      <c r="B287" t="s">
        <v>65</v>
      </c>
      <c r="C287" t="s">
        <v>62</v>
      </c>
      <c r="D287" t="s">
        <v>66</v>
      </c>
      <c r="E287" t="s">
        <v>2</v>
      </c>
      <c r="F287">
        <v>0</v>
      </c>
      <c r="G287">
        <v>72200</v>
      </c>
      <c r="H287">
        <v>0</v>
      </c>
      <c r="I287" t="s">
        <v>69</v>
      </c>
      <c r="J287">
        <v>24</v>
      </c>
      <c r="K287" t="s">
        <v>15</v>
      </c>
      <c r="L287" t="s">
        <v>44</v>
      </c>
      <c r="M287" t="s">
        <v>29</v>
      </c>
      <c r="N287" s="25">
        <v>41237</v>
      </c>
      <c r="O287">
        <v>3069.1819999999998</v>
      </c>
      <c r="P287">
        <v>3069.1819999999998</v>
      </c>
    </row>
    <row r="288" spans="1:16" x14ac:dyDescent="0.35">
      <c r="A288">
        <v>288</v>
      </c>
      <c r="B288" t="s">
        <v>63</v>
      </c>
      <c r="C288" t="s">
        <v>62</v>
      </c>
      <c r="D288" t="s">
        <v>66</v>
      </c>
      <c r="E288" t="s">
        <v>2</v>
      </c>
      <c r="F288">
        <v>1</v>
      </c>
      <c r="G288">
        <v>76400</v>
      </c>
      <c r="H288">
        <v>0</v>
      </c>
      <c r="I288" t="s">
        <v>8</v>
      </c>
      <c r="J288">
        <v>12</v>
      </c>
      <c r="K288" t="s">
        <v>14</v>
      </c>
      <c r="L288" t="s">
        <v>50</v>
      </c>
      <c r="M288" t="s">
        <v>34</v>
      </c>
      <c r="N288" s="25">
        <v>42061</v>
      </c>
      <c r="O288">
        <v>2216.4749999999999</v>
      </c>
      <c r="P288">
        <v>2216.4749999999999</v>
      </c>
    </row>
    <row r="289" spans="1:16" x14ac:dyDescent="0.35">
      <c r="A289">
        <v>289</v>
      </c>
      <c r="B289" t="s">
        <v>63</v>
      </c>
      <c r="C289" t="s">
        <v>62</v>
      </c>
      <c r="D289" t="s">
        <v>58</v>
      </c>
      <c r="E289" t="s">
        <v>70</v>
      </c>
      <c r="F289">
        <v>1</v>
      </c>
      <c r="G289">
        <v>20300</v>
      </c>
      <c r="H289">
        <v>1</v>
      </c>
      <c r="I289" t="s">
        <v>67</v>
      </c>
      <c r="J289">
        <v>12</v>
      </c>
      <c r="K289" t="s">
        <v>12</v>
      </c>
      <c r="L289" t="s">
        <v>47</v>
      </c>
      <c r="M289" t="s">
        <v>16</v>
      </c>
      <c r="N289" s="25">
        <v>40430</v>
      </c>
      <c r="O289">
        <v>304.464</v>
      </c>
      <c r="P289">
        <v>304.464</v>
      </c>
    </row>
    <row r="290" spans="1:16" x14ac:dyDescent="0.35">
      <c r="A290">
        <v>290</v>
      </c>
      <c r="B290" t="s">
        <v>63</v>
      </c>
      <c r="C290" t="s">
        <v>62</v>
      </c>
      <c r="D290" t="s">
        <v>66</v>
      </c>
      <c r="E290" t="s">
        <v>70</v>
      </c>
      <c r="F290">
        <v>1</v>
      </c>
      <c r="G290">
        <v>11400</v>
      </c>
      <c r="H290">
        <v>2</v>
      </c>
      <c r="I290" t="s">
        <v>8</v>
      </c>
      <c r="J290">
        <v>6</v>
      </c>
      <c r="K290" t="s">
        <v>15</v>
      </c>
      <c r="L290" t="s">
        <v>52</v>
      </c>
      <c r="M290" t="s">
        <v>31</v>
      </c>
      <c r="N290" s="25">
        <v>42066</v>
      </c>
      <c r="O290">
        <v>186.006</v>
      </c>
      <c r="P290">
        <v>186.006</v>
      </c>
    </row>
    <row r="291" spans="1:16" x14ac:dyDescent="0.35">
      <c r="A291">
        <v>291</v>
      </c>
      <c r="B291" t="s">
        <v>63</v>
      </c>
      <c r="C291" t="s">
        <v>62</v>
      </c>
      <c r="D291" t="s">
        <v>66</v>
      </c>
      <c r="E291" t="s">
        <v>70</v>
      </c>
      <c r="F291">
        <v>1</v>
      </c>
      <c r="G291">
        <v>17000</v>
      </c>
      <c r="H291">
        <v>0</v>
      </c>
      <c r="I291" t="s">
        <v>67</v>
      </c>
      <c r="J291">
        <v>18</v>
      </c>
      <c r="K291" t="s">
        <v>14</v>
      </c>
      <c r="L291" t="s">
        <v>49</v>
      </c>
      <c r="M291" t="s">
        <v>39</v>
      </c>
      <c r="N291" s="25">
        <v>40554</v>
      </c>
      <c r="O291">
        <v>658.83699999999999</v>
      </c>
      <c r="P291">
        <v>658.83699999999999</v>
      </c>
    </row>
    <row r="292" spans="1:16" x14ac:dyDescent="0.35">
      <c r="A292">
        <v>292</v>
      </c>
      <c r="B292" t="s">
        <v>65</v>
      </c>
      <c r="C292" t="s">
        <v>61</v>
      </c>
      <c r="D292" t="s">
        <v>66</v>
      </c>
      <c r="E292" t="s">
        <v>2</v>
      </c>
      <c r="F292">
        <v>1</v>
      </c>
      <c r="G292">
        <v>60000</v>
      </c>
      <c r="H292">
        <v>0</v>
      </c>
      <c r="I292" t="s">
        <v>68</v>
      </c>
      <c r="J292">
        <v>6</v>
      </c>
      <c r="K292" t="s">
        <v>13</v>
      </c>
      <c r="L292" t="s">
        <v>42</v>
      </c>
      <c r="M292" t="s">
        <v>25</v>
      </c>
      <c r="N292" s="25">
        <v>40071</v>
      </c>
      <c r="O292">
        <v>965.649</v>
      </c>
      <c r="P292">
        <v>965.649</v>
      </c>
    </row>
    <row r="293" spans="1:16" x14ac:dyDescent="0.35">
      <c r="A293">
        <v>293</v>
      </c>
      <c r="B293" t="s">
        <v>65</v>
      </c>
      <c r="C293" t="s">
        <v>61</v>
      </c>
      <c r="D293" t="s">
        <v>58</v>
      </c>
      <c r="E293" t="s">
        <v>2</v>
      </c>
      <c r="F293">
        <v>1</v>
      </c>
      <c r="G293">
        <v>107400</v>
      </c>
      <c r="H293">
        <v>0</v>
      </c>
      <c r="I293" t="s">
        <v>69</v>
      </c>
      <c r="J293">
        <v>12</v>
      </c>
      <c r="K293" t="s">
        <v>15</v>
      </c>
      <c r="L293" t="s">
        <v>52</v>
      </c>
      <c r="M293" t="s">
        <v>31</v>
      </c>
      <c r="N293" s="25">
        <v>41988</v>
      </c>
      <c r="O293">
        <v>1484.8230000000001</v>
      </c>
      <c r="P293">
        <v>1484.8230000000001</v>
      </c>
    </row>
    <row r="294" spans="1:16" x14ac:dyDescent="0.35">
      <c r="A294">
        <v>294</v>
      </c>
      <c r="B294" t="s">
        <v>65</v>
      </c>
      <c r="C294" t="s">
        <v>62</v>
      </c>
      <c r="D294" t="s">
        <v>58</v>
      </c>
      <c r="E294" t="s">
        <v>70</v>
      </c>
      <c r="F294">
        <v>1</v>
      </c>
      <c r="G294">
        <v>37300</v>
      </c>
      <c r="H294">
        <v>0</v>
      </c>
      <c r="I294" t="s">
        <v>68</v>
      </c>
      <c r="J294">
        <v>6</v>
      </c>
      <c r="K294" t="s">
        <v>15</v>
      </c>
      <c r="L294" t="s">
        <v>52</v>
      </c>
      <c r="M294" t="s">
        <v>31</v>
      </c>
      <c r="N294" s="25">
        <v>40825</v>
      </c>
      <c r="O294">
        <v>673.28399999999999</v>
      </c>
      <c r="P294">
        <v>673.28399999999999</v>
      </c>
    </row>
    <row r="295" spans="1:16" x14ac:dyDescent="0.35">
      <c r="A295">
        <v>295</v>
      </c>
      <c r="B295" t="s">
        <v>64</v>
      </c>
      <c r="C295" t="s">
        <v>61</v>
      </c>
      <c r="D295" t="s">
        <v>58</v>
      </c>
      <c r="E295" t="s">
        <v>70</v>
      </c>
      <c r="F295">
        <v>1</v>
      </c>
      <c r="G295">
        <v>68900</v>
      </c>
      <c r="H295">
        <v>2</v>
      </c>
      <c r="I295" t="s">
        <v>8</v>
      </c>
      <c r="J295">
        <v>18</v>
      </c>
      <c r="K295" t="s">
        <v>13</v>
      </c>
      <c r="L295" t="s">
        <v>43</v>
      </c>
      <c r="M295" t="s">
        <v>23</v>
      </c>
      <c r="N295" s="25">
        <v>42206</v>
      </c>
      <c r="O295">
        <v>2783.8960000000002</v>
      </c>
      <c r="P295">
        <v>2783.8960000000002</v>
      </c>
    </row>
    <row r="296" spans="1:16" x14ac:dyDescent="0.35">
      <c r="A296">
        <v>296</v>
      </c>
      <c r="B296" t="s">
        <v>64</v>
      </c>
      <c r="C296" t="s">
        <v>61</v>
      </c>
      <c r="D296" t="s">
        <v>58</v>
      </c>
      <c r="E296" t="s">
        <v>2</v>
      </c>
      <c r="F296">
        <v>1</v>
      </c>
      <c r="G296">
        <v>83000</v>
      </c>
      <c r="H296">
        <v>2</v>
      </c>
      <c r="I296" t="s">
        <v>68</v>
      </c>
      <c r="J296">
        <v>6</v>
      </c>
      <c r="K296" t="s">
        <v>14</v>
      </c>
      <c r="L296" t="s">
        <v>50</v>
      </c>
      <c r="M296" t="s">
        <v>35</v>
      </c>
      <c r="N296" s="25">
        <v>41857</v>
      </c>
      <c r="O296">
        <v>725.79</v>
      </c>
      <c r="P296">
        <v>725.79</v>
      </c>
    </row>
    <row r="297" spans="1:16" x14ac:dyDescent="0.35">
      <c r="A297">
        <v>297</v>
      </c>
      <c r="B297" t="s">
        <v>64</v>
      </c>
      <c r="C297" t="s">
        <v>61</v>
      </c>
      <c r="D297" t="s">
        <v>58</v>
      </c>
      <c r="E297" t="s">
        <v>2</v>
      </c>
      <c r="F297">
        <v>1</v>
      </c>
      <c r="G297">
        <v>97400</v>
      </c>
      <c r="H297">
        <v>1</v>
      </c>
      <c r="I297" t="s">
        <v>69</v>
      </c>
      <c r="J297">
        <v>6</v>
      </c>
      <c r="K297" t="s">
        <v>14</v>
      </c>
      <c r="L297" t="s">
        <v>40</v>
      </c>
      <c r="M297" t="s">
        <v>36</v>
      </c>
      <c r="N297" s="25">
        <v>40639</v>
      </c>
      <c r="O297">
        <v>879.78899999999999</v>
      </c>
      <c r="P297">
        <v>879.78899999999999</v>
      </c>
    </row>
    <row r="298" spans="1:16" x14ac:dyDescent="0.35">
      <c r="A298">
        <v>298</v>
      </c>
      <c r="B298" t="s">
        <v>64</v>
      </c>
      <c r="C298" t="s">
        <v>62</v>
      </c>
      <c r="D298" t="s">
        <v>66</v>
      </c>
      <c r="E298" t="s">
        <v>2</v>
      </c>
      <c r="F298">
        <v>0</v>
      </c>
      <c r="G298">
        <v>92400</v>
      </c>
      <c r="H298">
        <v>1</v>
      </c>
      <c r="I298" t="s">
        <v>8</v>
      </c>
      <c r="J298">
        <v>6</v>
      </c>
      <c r="K298" t="s">
        <v>14</v>
      </c>
      <c r="L298" t="s">
        <v>40</v>
      </c>
      <c r="M298" t="s">
        <v>37</v>
      </c>
      <c r="N298" s="25">
        <v>42182</v>
      </c>
      <c r="O298">
        <v>2190.5590000000002</v>
      </c>
      <c r="P298">
        <v>2190.5590000000002</v>
      </c>
    </row>
    <row r="299" spans="1:16" x14ac:dyDescent="0.35">
      <c r="A299">
        <v>299</v>
      </c>
      <c r="B299" t="s">
        <v>64</v>
      </c>
      <c r="C299" t="s">
        <v>62</v>
      </c>
      <c r="D299" t="s">
        <v>66</v>
      </c>
      <c r="E299" t="s">
        <v>70</v>
      </c>
      <c r="F299">
        <v>0</v>
      </c>
      <c r="G299">
        <v>44800</v>
      </c>
      <c r="H299">
        <v>1</v>
      </c>
      <c r="I299" t="s">
        <v>68</v>
      </c>
      <c r="J299">
        <v>6</v>
      </c>
      <c r="K299" t="s">
        <v>13</v>
      </c>
      <c r="L299" t="s">
        <v>48</v>
      </c>
      <c r="M299" t="s">
        <v>27</v>
      </c>
      <c r="N299" s="25">
        <v>41150</v>
      </c>
      <c r="O299">
        <v>666.46400000000006</v>
      </c>
      <c r="P299">
        <v>666.46400000000006</v>
      </c>
    </row>
    <row r="300" spans="1:16" x14ac:dyDescent="0.35">
      <c r="A300">
        <v>300</v>
      </c>
      <c r="B300" t="s">
        <v>65</v>
      </c>
      <c r="C300" t="s">
        <v>62</v>
      </c>
      <c r="D300" t="s">
        <v>66</v>
      </c>
      <c r="E300" t="s">
        <v>2</v>
      </c>
      <c r="F300">
        <v>1</v>
      </c>
      <c r="G300">
        <v>50500</v>
      </c>
      <c r="H300">
        <v>0</v>
      </c>
      <c r="I300" t="s">
        <v>68</v>
      </c>
      <c r="J300">
        <v>12</v>
      </c>
      <c r="K300" t="s">
        <v>13</v>
      </c>
      <c r="L300" t="s">
        <v>45</v>
      </c>
      <c r="M300" t="s">
        <v>26</v>
      </c>
      <c r="N300" s="25">
        <v>41576</v>
      </c>
      <c r="O300">
        <v>642.04200000000003</v>
      </c>
      <c r="P300">
        <v>642.04200000000003</v>
      </c>
    </row>
    <row r="301" spans="1:16" x14ac:dyDescent="0.35">
      <c r="A301">
        <v>301</v>
      </c>
      <c r="B301" t="s">
        <v>64</v>
      </c>
      <c r="C301" t="s">
        <v>61</v>
      </c>
      <c r="D301" t="s">
        <v>58</v>
      </c>
      <c r="E301" t="s">
        <v>2</v>
      </c>
      <c r="F301">
        <v>0</v>
      </c>
      <c r="G301">
        <v>65400</v>
      </c>
      <c r="H301">
        <v>3</v>
      </c>
      <c r="I301" t="s">
        <v>8</v>
      </c>
      <c r="J301">
        <v>6</v>
      </c>
      <c r="K301" t="s">
        <v>14</v>
      </c>
      <c r="L301" t="s">
        <v>50</v>
      </c>
      <c r="M301" t="s">
        <v>34</v>
      </c>
      <c r="N301" s="25">
        <v>42068</v>
      </c>
      <c r="O301">
        <v>835.85299999999995</v>
      </c>
      <c r="P301">
        <v>835.85299999999995</v>
      </c>
    </row>
    <row r="302" spans="1:16" x14ac:dyDescent="0.35">
      <c r="A302">
        <v>302</v>
      </c>
      <c r="B302" t="s">
        <v>64</v>
      </c>
      <c r="C302" t="s">
        <v>62</v>
      </c>
      <c r="D302" t="s">
        <v>58</v>
      </c>
      <c r="E302" t="s">
        <v>2</v>
      </c>
      <c r="F302">
        <v>0</v>
      </c>
      <c r="G302">
        <v>83100</v>
      </c>
      <c r="H302">
        <v>1</v>
      </c>
      <c r="I302" t="s">
        <v>8</v>
      </c>
      <c r="J302">
        <v>12</v>
      </c>
      <c r="K302" t="s">
        <v>13</v>
      </c>
      <c r="L302" t="s">
        <v>45</v>
      </c>
      <c r="M302" t="s">
        <v>26</v>
      </c>
      <c r="N302" s="25">
        <v>42240</v>
      </c>
      <c r="O302">
        <v>2765.5889999999999</v>
      </c>
      <c r="P302">
        <v>2765.5889999999999</v>
      </c>
    </row>
    <row r="303" spans="1:16" x14ac:dyDescent="0.35">
      <c r="A303">
        <v>303</v>
      </c>
      <c r="B303" t="s">
        <v>64</v>
      </c>
      <c r="C303" t="s">
        <v>61</v>
      </c>
      <c r="D303" t="s">
        <v>58</v>
      </c>
      <c r="E303" t="s">
        <v>2</v>
      </c>
      <c r="F303">
        <v>1</v>
      </c>
      <c r="G303">
        <v>117500</v>
      </c>
      <c r="H303">
        <v>2</v>
      </c>
      <c r="I303" t="s">
        <v>68</v>
      </c>
      <c r="J303">
        <v>12</v>
      </c>
      <c r="K303" t="s">
        <v>15</v>
      </c>
      <c r="L303" t="s">
        <v>28</v>
      </c>
      <c r="M303" t="s">
        <v>28</v>
      </c>
      <c r="N303" s="25">
        <v>40279</v>
      </c>
      <c r="O303">
        <v>926.87300000000005</v>
      </c>
      <c r="P303">
        <v>926.87300000000005</v>
      </c>
    </row>
    <row r="304" spans="1:16" x14ac:dyDescent="0.35">
      <c r="A304">
        <v>304</v>
      </c>
      <c r="B304" t="s">
        <v>64</v>
      </c>
      <c r="C304" t="s">
        <v>62</v>
      </c>
      <c r="D304" t="s">
        <v>66</v>
      </c>
      <c r="E304" t="s">
        <v>70</v>
      </c>
      <c r="F304">
        <v>1</v>
      </c>
      <c r="G304">
        <v>43300</v>
      </c>
      <c r="H304">
        <v>3</v>
      </c>
      <c r="I304" t="s">
        <v>67</v>
      </c>
      <c r="J304">
        <v>24</v>
      </c>
      <c r="K304" t="s">
        <v>15</v>
      </c>
      <c r="L304" t="s">
        <v>52</v>
      </c>
      <c r="M304" t="s">
        <v>31</v>
      </c>
      <c r="N304" s="25">
        <v>40951</v>
      </c>
      <c r="O304">
        <v>325.73899999999998</v>
      </c>
      <c r="P304">
        <v>325.73899999999998</v>
      </c>
    </row>
    <row r="305" spans="1:16" x14ac:dyDescent="0.35">
      <c r="A305">
        <v>305</v>
      </c>
      <c r="B305" t="s">
        <v>64</v>
      </c>
      <c r="C305" t="s">
        <v>61</v>
      </c>
      <c r="D305" t="s">
        <v>58</v>
      </c>
      <c r="E305" t="s">
        <v>2</v>
      </c>
      <c r="F305">
        <v>0</v>
      </c>
      <c r="G305">
        <v>103900</v>
      </c>
      <c r="H305">
        <v>1</v>
      </c>
      <c r="I305" t="s">
        <v>69</v>
      </c>
      <c r="J305">
        <v>24</v>
      </c>
      <c r="K305" t="s">
        <v>13</v>
      </c>
      <c r="L305" t="s">
        <v>42</v>
      </c>
      <c r="M305" t="s">
        <v>25</v>
      </c>
      <c r="N305" s="25">
        <v>40114</v>
      </c>
      <c r="O305">
        <v>2665.848</v>
      </c>
      <c r="P305">
        <v>2665.848</v>
      </c>
    </row>
    <row r="306" spans="1:16" x14ac:dyDescent="0.35">
      <c r="A306">
        <v>306</v>
      </c>
      <c r="B306" t="s">
        <v>63</v>
      </c>
      <c r="C306" t="s">
        <v>62</v>
      </c>
      <c r="D306" t="s">
        <v>66</v>
      </c>
      <c r="E306" t="s">
        <v>2</v>
      </c>
      <c r="F306">
        <v>1</v>
      </c>
      <c r="G306">
        <v>41700</v>
      </c>
      <c r="H306">
        <v>1</v>
      </c>
      <c r="I306" t="s">
        <v>8</v>
      </c>
      <c r="J306">
        <v>6</v>
      </c>
      <c r="K306" t="s">
        <v>13</v>
      </c>
      <c r="L306" t="s">
        <v>46</v>
      </c>
      <c r="M306" t="s">
        <v>22</v>
      </c>
      <c r="N306" s="25">
        <v>42220</v>
      </c>
      <c r="O306">
        <v>520.71400000000006</v>
      </c>
      <c r="P306">
        <v>520.71400000000006</v>
      </c>
    </row>
    <row r="307" spans="1:16" x14ac:dyDescent="0.35">
      <c r="A307">
        <v>307</v>
      </c>
      <c r="B307" t="s">
        <v>65</v>
      </c>
      <c r="C307" t="s">
        <v>61</v>
      </c>
      <c r="D307" t="s">
        <v>58</v>
      </c>
      <c r="E307" t="s">
        <v>70</v>
      </c>
      <c r="F307">
        <v>1</v>
      </c>
      <c r="G307">
        <v>44800</v>
      </c>
      <c r="H307">
        <v>0</v>
      </c>
      <c r="I307" t="s">
        <v>68</v>
      </c>
      <c r="J307">
        <v>24</v>
      </c>
      <c r="K307" t="s">
        <v>15</v>
      </c>
      <c r="L307" t="s">
        <v>42</v>
      </c>
      <c r="M307" t="s">
        <v>32</v>
      </c>
      <c r="N307" s="25">
        <v>39839</v>
      </c>
      <c r="O307">
        <v>1416.675</v>
      </c>
      <c r="P307">
        <v>1416.675</v>
      </c>
    </row>
    <row r="308" spans="1:16" x14ac:dyDescent="0.35">
      <c r="A308">
        <v>308</v>
      </c>
      <c r="B308" t="s">
        <v>64</v>
      </c>
      <c r="C308" t="s">
        <v>61</v>
      </c>
      <c r="D308" t="s">
        <v>58</v>
      </c>
      <c r="E308" t="s">
        <v>70</v>
      </c>
      <c r="F308">
        <v>0</v>
      </c>
      <c r="G308">
        <v>45000</v>
      </c>
      <c r="H308">
        <v>1</v>
      </c>
      <c r="I308" t="s">
        <v>8</v>
      </c>
      <c r="J308">
        <v>18</v>
      </c>
      <c r="K308" t="s">
        <v>15</v>
      </c>
      <c r="L308" t="s">
        <v>28</v>
      </c>
      <c r="M308" t="s">
        <v>28</v>
      </c>
      <c r="N308" s="25">
        <v>42204</v>
      </c>
      <c r="O308">
        <v>901.55100000000004</v>
      </c>
      <c r="P308">
        <v>901.55100000000004</v>
      </c>
    </row>
    <row r="309" spans="1:16" x14ac:dyDescent="0.35">
      <c r="A309">
        <v>309</v>
      </c>
      <c r="B309" t="s">
        <v>64</v>
      </c>
      <c r="C309" t="s">
        <v>62</v>
      </c>
      <c r="D309" t="s">
        <v>66</v>
      </c>
      <c r="E309" t="s">
        <v>70</v>
      </c>
      <c r="F309">
        <v>1</v>
      </c>
      <c r="G309">
        <v>43700</v>
      </c>
      <c r="H309">
        <v>0</v>
      </c>
      <c r="I309" t="s">
        <v>68</v>
      </c>
      <c r="J309">
        <v>12</v>
      </c>
      <c r="K309" t="s">
        <v>15</v>
      </c>
      <c r="L309" t="s">
        <v>28</v>
      </c>
      <c r="M309" t="s">
        <v>33</v>
      </c>
      <c r="N309" s="25">
        <v>39976</v>
      </c>
      <c r="O309">
        <v>950.10299999999995</v>
      </c>
      <c r="P309">
        <v>950.10299999999995</v>
      </c>
    </row>
    <row r="310" spans="1:16" x14ac:dyDescent="0.35">
      <c r="A310">
        <v>310</v>
      </c>
      <c r="B310" t="s">
        <v>65</v>
      </c>
      <c r="C310" t="s">
        <v>62</v>
      </c>
      <c r="D310" t="s">
        <v>66</v>
      </c>
      <c r="E310" t="s">
        <v>2</v>
      </c>
      <c r="F310">
        <v>1</v>
      </c>
      <c r="G310">
        <v>23600</v>
      </c>
      <c r="H310">
        <v>1</v>
      </c>
      <c r="I310" t="s">
        <v>67</v>
      </c>
      <c r="J310">
        <v>6</v>
      </c>
      <c r="K310" t="s">
        <v>15</v>
      </c>
      <c r="L310" t="s">
        <v>28</v>
      </c>
      <c r="M310" t="s">
        <v>33</v>
      </c>
      <c r="N310" s="25">
        <v>42144</v>
      </c>
      <c r="O310">
        <v>160.83600000000001</v>
      </c>
      <c r="P310">
        <v>160.83600000000001</v>
      </c>
    </row>
    <row r="311" spans="1:16" x14ac:dyDescent="0.35">
      <c r="A311">
        <v>311</v>
      </c>
      <c r="B311" t="s">
        <v>63</v>
      </c>
      <c r="C311" t="s">
        <v>61</v>
      </c>
      <c r="D311" t="s">
        <v>66</v>
      </c>
      <c r="E311" t="s">
        <v>70</v>
      </c>
      <c r="F311">
        <v>0</v>
      </c>
      <c r="G311">
        <v>20400</v>
      </c>
      <c r="H311">
        <v>0</v>
      </c>
      <c r="I311" t="s">
        <v>68</v>
      </c>
      <c r="J311">
        <v>18</v>
      </c>
      <c r="K311" t="s">
        <v>15</v>
      </c>
      <c r="L311" t="s">
        <v>42</v>
      </c>
      <c r="M311" t="s">
        <v>32</v>
      </c>
      <c r="N311" s="25">
        <v>41988</v>
      </c>
      <c r="O311">
        <v>867.24199999999996</v>
      </c>
      <c r="P311">
        <v>867.24199999999996</v>
      </c>
    </row>
    <row r="312" spans="1:16" x14ac:dyDescent="0.35">
      <c r="A312">
        <v>312</v>
      </c>
      <c r="B312" t="s">
        <v>65</v>
      </c>
      <c r="C312" t="s">
        <v>61</v>
      </c>
      <c r="D312" t="s">
        <v>58</v>
      </c>
      <c r="E312" t="s">
        <v>2</v>
      </c>
      <c r="F312">
        <v>1</v>
      </c>
      <c r="G312">
        <v>123000</v>
      </c>
      <c r="H312">
        <v>0</v>
      </c>
      <c r="I312" t="s">
        <v>69</v>
      </c>
      <c r="J312">
        <v>24</v>
      </c>
      <c r="K312" t="s">
        <v>14</v>
      </c>
      <c r="L312" t="s">
        <v>49</v>
      </c>
      <c r="M312" t="s">
        <v>39</v>
      </c>
      <c r="N312" s="25">
        <v>40344</v>
      </c>
      <c r="O312">
        <v>3670.8690000000001</v>
      </c>
      <c r="P312">
        <v>3500</v>
      </c>
    </row>
    <row r="313" spans="1:16" x14ac:dyDescent="0.35">
      <c r="A313">
        <v>313</v>
      </c>
      <c r="B313" t="s">
        <v>64</v>
      </c>
      <c r="C313" t="s">
        <v>62</v>
      </c>
      <c r="D313" t="s">
        <v>66</v>
      </c>
      <c r="E313" t="s">
        <v>70</v>
      </c>
      <c r="F313">
        <v>1</v>
      </c>
      <c r="G313">
        <v>44600</v>
      </c>
      <c r="H313">
        <v>0</v>
      </c>
      <c r="I313" t="s">
        <v>68</v>
      </c>
      <c r="J313">
        <v>18</v>
      </c>
      <c r="K313" t="s">
        <v>13</v>
      </c>
      <c r="L313" t="s">
        <v>45</v>
      </c>
      <c r="M313" t="s">
        <v>26</v>
      </c>
      <c r="N313" s="25">
        <v>42171</v>
      </c>
      <c r="O313">
        <v>965.72400000000005</v>
      </c>
      <c r="P313">
        <v>965.72400000000005</v>
      </c>
    </row>
    <row r="314" spans="1:16" x14ac:dyDescent="0.35">
      <c r="A314">
        <v>314</v>
      </c>
      <c r="B314" t="s">
        <v>63</v>
      </c>
      <c r="C314" t="s">
        <v>61</v>
      </c>
      <c r="D314" t="s">
        <v>66</v>
      </c>
      <c r="E314" t="s">
        <v>2</v>
      </c>
      <c r="F314">
        <v>1</v>
      </c>
      <c r="G314">
        <v>55500</v>
      </c>
      <c r="H314">
        <v>3</v>
      </c>
      <c r="I314" t="s">
        <v>67</v>
      </c>
      <c r="J314">
        <v>12</v>
      </c>
      <c r="K314" t="s">
        <v>14</v>
      </c>
      <c r="L314" t="s">
        <v>51</v>
      </c>
      <c r="M314" t="s">
        <v>38</v>
      </c>
      <c r="N314" s="25">
        <v>39928</v>
      </c>
      <c r="O314">
        <v>216.107</v>
      </c>
      <c r="P314">
        <v>216.107</v>
      </c>
    </row>
    <row r="315" spans="1:16" x14ac:dyDescent="0.35">
      <c r="A315">
        <v>315</v>
      </c>
      <c r="B315" t="s">
        <v>64</v>
      </c>
      <c r="C315" t="s">
        <v>62</v>
      </c>
      <c r="D315" t="s">
        <v>58</v>
      </c>
      <c r="E315" t="s">
        <v>70</v>
      </c>
      <c r="F315">
        <v>0</v>
      </c>
      <c r="G315">
        <v>56200</v>
      </c>
      <c r="H315">
        <v>0</v>
      </c>
      <c r="I315" t="s">
        <v>69</v>
      </c>
      <c r="J315">
        <v>18</v>
      </c>
      <c r="K315" t="s">
        <v>12</v>
      </c>
      <c r="L315" t="s">
        <v>41</v>
      </c>
      <c r="M315" t="s">
        <v>20</v>
      </c>
      <c r="N315" s="25">
        <v>40054</v>
      </c>
      <c r="O315">
        <v>1546.386</v>
      </c>
      <c r="P315">
        <v>1546.386</v>
      </c>
    </row>
    <row r="316" spans="1:16" x14ac:dyDescent="0.35">
      <c r="A316">
        <v>316</v>
      </c>
      <c r="B316" t="s">
        <v>64</v>
      </c>
      <c r="C316" t="s">
        <v>61</v>
      </c>
      <c r="D316" t="s">
        <v>58</v>
      </c>
      <c r="E316" t="s">
        <v>2</v>
      </c>
      <c r="F316">
        <v>1</v>
      </c>
      <c r="G316">
        <v>96300</v>
      </c>
      <c r="H316">
        <v>2</v>
      </c>
      <c r="I316" t="s">
        <v>8</v>
      </c>
      <c r="J316">
        <v>18</v>
      </c>
      <c r="K316" t="s">
        <v>14</v>
      </c>
      <c r="L316" t="s">
        <v>50</v>
      </c>
      <c r="M316" t="s">
        <v>35</v>
      </c>
      <c r="N316" s="25">
        <v>42049</v>
      </c>
      <c r="O316">
        <v>3915.86</v>
      </c>
      <c r="P316">
        <v>3500</v>
      </c>
    </row>
    <row r="317" spans="1:16" x14ac:dyDescent="0.35">
      <c r="A317">
        <v>317</v>
      </c>
      <c r="B317" t="s">
        <v>65</v>
      </c>
      <c r="C317" t="s">
        <v>61</v>
      </c>
      <c r="D317" t="s">
        <v>66</v>
      </c>
      <c r="E317" t="s">
        <v>70</v>
      </c>
      <c r="F317">
        <v>1</v>
      </c>
      <c r="G317">
        <v>32400</v>
      </c>
      <c r="H317">
        <v>1</v>
      </c>
      <c r="I317" t="s">
        <v>67</v>
      </c>
      <c r="J317">
        <v>12</v>
      </c>
      <c r="K317" t="s">
        <v>15</v>
      </c>
      <c r="L317" t="s">
        <v>44</v>
      </c>
      <c r="M317" t="s">
        <v>29</v>
      </c>
      <c r="N317" s="25">
        <v>40837</v>
      </c>
      <c r="O317">
        <v>515.447</v>
      </c>
      <c r="P317">
        <v>515.447</v>
      </c>
    </row>
    <row r="318" spans="1:16" x14ac:dyDescent="0.35">
      <c r="A318">
        <v>318</v>
      </c>
      <c r="B318" t="s">
        <v>64</v>
      </c>
      <c r="C318" t="s">
        <v>61</v>
      </c>
      <c r="D318" t="s">
        <v>58</v>
      </c>
      <c r="E318" t="s">
        <v>70</v>
      </c>
      <c r="F318">
        <v>1</v>
      </c>
      <c r="G318">
        <v>60200</v>
      </c>
      <c r="H318">
        <v>0</v>
      </c>
      <c r="I318" t="s">
        <v>68</v>
      </c>
      <c r="J318">
        <v>12</v>
      </c>
      <c r="K318" t="s">
        <v>14</v>
      </c>
      <c r="L318" t="s">
        <v>50</v>
      </c>
      <c r="M318" t="s">
        <v>35</v>
      </c>
      <c r="N318" s="25">
        <v>41473</v>
      </c>
      <c r="O318">
        <v>1365.3320000000001</v>
      </c>
      <c r="P318">
        <v>1365.3320000000001</v>
      </c>
    </row>
    <row r="319" spans="1:16" x14ac:dyDescent="0.35">
      <c r="A319">
        <v>319</v>
      </c>
      <c r="B319" t="s">
        <v>65</v>
      </c>
      <c r="C319" t="s">
        <v>62</v>
      </c>
      <c r="D319" t="s">
        <v>58</v>
      </c>
      <c r="E319" t="s">
        <v>2</v>
      </c>
      <c r="F319">
        <v>1</v>
      </c>
      <c r="G319">
        <v>72900</v>
      </c>
      <c r="H319">
        <v>0</v>
      </c>
      <c r="I319" t="s">
        <v>69</v>
      </c>
      <c r="J319">
        <v>6</v>
      </c>
      <c r="K319" t="s">
        <v>15</v>
      </c>
      <c r="L319" t="s">
        <v>28</v>
      </c>
      <c r="M319" t="s">
        <v>28</v>
      </c>
      <c r="N319" s="25">
        <v>41161</v>
      </c>
      <c r="O319">
        <v>752.51599999999996</v>
      </c>
      <c r="P319">
        <v>752.51599999999996</v>
      </c>
    </row>
    <row r="320" spans="1:16" x14ac:dyDescent="0.35">
      <c r="A320">
        <v>320</v>
      </c>
      <c r="B320" t="s">
        <v>63</v>
      </c>
      <c r="C320" t="s">
        <v>62</v>
      </c>
      <c r="D320" t="s">
        <v>66</v>
      </c>
      <c r="E320" t="s">
        <v>70</v>
      </c>
      <c r="F320">
        <v>1</v>
      </c>
      <c r="G320">
        <v>19300</v>
      </c>
      <c r="H320">
        <v>1</v>
      </c>
      <c r="I320" t="s">
        <v>67</v>
      </c>
      <c r="J320">
        <v>24</v>
      </c>
      <c r="K320" t="s">
        <v>14</v>
      </c>
      <c r="L320" t="s">
        <v>50</v>
      </c>
      <c r="M320" t="s">
        <v>34</v>
      </c>
      <c r="N320" s="25">
        <v>41361</v>
      </c>
      <c r="O320">
        <v>308.41699999999997</v>
      </c>
      <c r="P320">
        <v>308.41699999999997</v>
      </c>
    </row>
    <row r="321" spans="1:16" x14ac:dyDescent="0.35">
      <c r="A321">
        <v>321</v>
      </c>
      <c r="B321" t="s">
        <v>65</v>
      </c>
      <c r="C321" t="s">
        <v>61</v>
      </c>
      <c r="D321" t="s">
        <v>58</v>
      </c>
      <c r="E321" t="s">
        <v>2</v>
      </c>
      <c r="F321">
        <v>1</v>
      </c>
      <c r="G321">
        <v>74800</v>
      </c>
      <c r="H321">
        <v>0</v>
      </c>
      <c r="I321" t="s">
        <v>69</v>
      </c>
      <c r="J321">
        <v>18</v>
      </c>
      <c r="K321" t="s">
        <v>13</v>
      </c>
      <c r="L321" t="s">
        <v>46</v>
      </c>
      <c r="M321" t="s">
        <v>22</v>
      </c>
      <c r="N321" s="25">
        <v>40172</v>
      </c>
      <c r="O321">
        <v>1967.9179999999999</v>
      </c>
      <c r="P321">
        <v>1967.9179999999999</v>
      </c>
    </row>
    <row r="322" spans="1:16" x14ac:dyDescent="0.35">
      <c r="A322">
        <v>322</v>
      </c>
      <c r="B322" t="s">
        <v>63</v>
      </c>
      <c r="C322" t="s">
        <v>61</v>
      </c>
      <c r="D322" t="s">
        <v>66</v>
      </c>
      <c r="E322" t="s">
        <v>2</v>
      </c>
      <c r="F322">
        <v>1</v>
      </c>
      <c r="G322">
        <v>34300</v>
      </c>
      <c r="H322">
        <v>3</v>
      </c>
      <c r="I322" t="s">
        <v>8</v>
      </c>
      <c r="J322">
        <v>12</v>
      </c>
      <c r="K322" t="s">
        <v>14</v>
      </c>
      <c r="L322" t="s">
        <v>40</v>
      </c>
      <c r="M322" t="s">
        <v>37</v>
      </c>
      <c r="N322" s="25">
        <v>42244</v>
      </c>
      <c r="O322">
        <v>1296.595</v>
      </c>
      <c r="P322">
        <v>1296.595</v>
      </c>
    </row>
    <row r="323" spans="1:16" x14ac:dyDescent="0.35">
      <c r="A323">
        <v>323</v>
      </c>
      <c r="B323" t="s">
        <v>64</v>
      </c>
      <c r="C323" t="s">
        <v>61</v>
      </c>
      <c r="D323" t="s">
        <v>58</v>
      </c>
      <c r="E323" t="s">
        <v>70</v>
      </c>
      <c r="F323">
        <v>0</v>
      </c>
      <c r="G323">
        <v>75400</v>
      </c>
      <c r="H323">
        <v>0</v>
      </c>
      <c r="I323" t="s">
        <v>69</v>
      </c>
      <c r="J323">
        <v>24</v>
      </c>
      <c r="K323" t="s">
        <v>14</v>
      </c>
      <c r="L323" t="s">
        <v>51</v>
      </c>
      <c r="M323" t="s">
        <v>38</v>
      </c>
      <c r="N323" s="25">
        <v>39820</v>
      </c>
      <c r="O323">
        <v>2723.299</v>
      </c>
      <c r="P323">
        <v>2723.299</v>
      </c>
    </row>
    <row r="324" spans="1:16" x14ac:dyDescent="0.35">
      <c r="A324">
        <v>324</v>
      </c>
      <c r="B324" t="s">
        <v>63</v>
      </c>
      <c r="C324" t="s">
        <v>62</v>
      </c>
      <c r="D324" t="s">
        <v>66</v>
      </c>
      <c r="E324" t="s">
        <v>70</v>
      </c>
      <c r="F324">
        <v>0</v>
      </c>
      <c r="G324">
        <v>11400</v>
      </c>
      <c r="H324">
        <v>3</v>
      </c>
      <c r="I324" t="s">
        <v>8</v>
      </c>
      <c r="J324">
        <v>12</v>
      </c>
      <c r="K324" t="s">
        <v>14</v>
      </c>
      <c r="L324" t="s">
        <v>40</v>
      </c>
      <c r="M324" t="s">
        <v>37</v>
      </c>
      <c r="N324" s="25">
        <v>42027</v>
      </c>
      <c r="O324">
        <v>312.18599999999998</v>
      </c>
      <c r="P324">
        <v>312.18599999999998</v>
      </c>
    </row>
    <row r="325" spans="1:16" x14ac:dyDescent="0.35">
      <c r="A325">
        <v>325</v>
      </c>
      <c r="B325" t="s">
        <v>63</v>
      </c>
      <c r="C325" t="s">
        <v>61</v>
      </c>
      <c r="D325" t="s">
        <v>58</v>
      </c>
      <c r="E325" t="s">
        <v>2</v>
      </c>
      <c r="F325">
        <v>1</v>
      </c>
      <c r="G325">
        <v>30400</v>
      </c>
      <c r="H325">
        <v>0</v>
      </c>
      <c r="I325" t="s">
        <v>67</v>
      </c>
      <c r="J325">
        <v>6</v>
      </c>
      <c r="K325" t="s">
        <v>12</v>
      </c>
      <c r="L325" t="s">
        <v>54</v>
      </c>
      <c r="M325" t="s">
        <v>21</v>
      </c>
      <c r="N325" s="25">
        <v>40687</v>
      </c>
      <c r="O325">
        <v>494.73500000000001</v>
      </c>
      <c r="P325">
        <v>494.73500000000001</v>
      </c>
    </row>
    <row r="326" spans="1:16" x14ac:dyDescent="0.35">
      <c r="A326">
        <v>326</v>
      </c>
      <c r="B326" t="s">
        <v>64</v>
      </c>
      <c r="C326" t="s">
        <v>61</v>
      </c>
      <c r="D326" t="s">
        <v>66</v>
      </c>
      <c r="E326" t="s">
        <v>70</v>
      </c>
      <c r="F326">
        <v>1</v>
      </c>
      <c r="G326">
        <v>41200</v>
      </c>
      <c r="H326">
        <v>0</v>
      </c>
      <c r="I326" t="s">
        <v>68</v>
      </c>
      <c r="J326">
        <v>12</v>
      </c>
      <c r="K326" t="s">
        <v>15</v>
      </c>
      <c r="L326" t="s">
        <v>44</v>
      </c>
      <c r="M326" t="s">
        <v>29</v>
      </c>
      <c r="N326" s="25">
        <v>40312</v>
      </c>
      <c r="O326">
        <v>840.94600000000003</v>
      </c>
      <c r="P326">
        <v>840.94600000000003</v>
      </c>
    </row>
    <row r="327" spans="1:16" x14ac:dyDescent="0.35">
      <c r="A327">
        <v>327</v>
      </c>
      <c r="B327" t="s">
        <v>63</v>
      </c>
      <c r="C327" t="s">
        <v>61</v>
      </c>
      <c r="D327" t="s">
        <v>66</v>
      </c>
      <c r="E327" t="s">
        <v>70</v>
      </c>
      <c r="F327">
        <v>1</v>
      </c>
      <c r="G327">
        <v>21400</v>
      </c>
      <c r="H327">
        <v>0</v>
      </c>
      <c r="I327" t="s">
        <v>8</v>
      </c>
      <c r="J327">
        <v>12</v>
      </c>
      <c r="K327" t="s">
        <v>12</v>
      </c>
      <c r="L327" t="s">
        <v>54</v>
      </c>
      <c r="M327" t="s">
        <v>21</v>
      </c>
      <c r="N327" s="25">
        <v>42232</v>
      </c>
      <c r="O327">
        <v>413.90199999999999</v>
      </c>
      <c r="P327">
        <v>413.90199999999999</v>
      </c>
    </row>
    <row r="328" spans="1:16" x14ac:dyDescent="0.35">
      <c r="A328">
        <v>328</v>
      </c>
      <c r="B328" t="s">
        <v>63</v>
      </c>
      <c r="C328" t="s">
        <v>62</v>
      </c>
      <c r="D328" t="s">
        <v>66</v>
      </c>
      <c r="E328" t="s">
        <v>2</v>
      </c>
      <c r="F328">
        <v>1</v>
      </c>
      <c r="G328">
        <v>60600</v>
      </c>
      <c r="H328">
        <v>3</v>
      </c>
      <c r="I328" t="s">
        <v>67</v>
      </c>
      <c r="J328">
        <v>12</v>
      </c>
      <c r="K328" t="s">
        <v>14</v>
      </c>
      <c r="L328" t="s">
        <v>40</v>
      </c>
      <c r="M328" t="s">
        <v>37</v>
      </c>
      <c r="N328" s="25">
        <v>41544</v>
      </c>
      <c r="O328">
        <v>307.495</v>
      </c>
      <c r="P328">
        <v>307.495</v>
      </c>
    </row>
    <row r="329" spans="1:16" x14ac:dyDescent="0.35">
      <c r="A329">
        <v>329</v>
      </c>
      <c r="B329" t="s">
        <v>64</v>
      </c>
      <c r="C329" t="s">
        <v>61</v>
      </c>
      <c r="D329" t="s">
        <v>58</v>
      </c>
      <c r="E329" t="s">
        <v>2</v>
      </c>
      <c r="F329">
        <v>1</v>
      </c>
      <c r="G329">
        <v>105300</v>
      </c>
      <c r="H329">
        <v>1</v>
      </c>
      <c r="I329" t="s">
        <v>8</v>
      </c>
      <c r="J329">
        <v>18</v>
      </c>
      <c r="K329" t="s">
        <v>12</v>
      </c>
      <c r="L329" t="s">
        <v>41</v>
      </c>
      <c r="M329" t="s">
        <v>20</v>
      </c>
      <c r="N329" s="25">
        <v>42049</v>
      </c>
      <c r="O329">
        <v>3504.72</v>
      </c>
      <c r="P329">
        <v>3500</v>
      </c>
    </row>
    <row r="330" spans="1:16" x14ac:dyDescent="0.35">
      <c r="A330">
        <v>330</v>
      </c>
      <c r="B330" t="s">
        <v>64</v>
      </c>
      <c r="C330" t="s">
        <v>61</v>
      </c>
      <c r="D330" t="s">
        <v>58</v>
      </c>
      <c r="E330" t="s">
        <v>70</v>
      </c>
      <c r="F330">
        <v>1</v>
      </c>
      <c r="G330">
        <v>63700</v>
      </c>
      <c r="H330">
        <v>0</v>
      </c>
      <c r="I330" t="s">
        <v>8</v>
      </c>
      <c r="J330">
        <v>6</v>
      </c>
      <c r="K330" t="s">
        <v>14</v>
      </c>
      <c r="L330" t="s">
        <v>50</v>
      </c>
      <c r="M330" t="s">
        <v>34</v>
      </c>
      <c r="N330" s="25">
        <v>42242</v>
      </c>
      <c r="O330">
        <v>1350.6489999999999</v>
      </c>
      <c r="P330">
        <v>1350.6489999999999</v>
      </c>
    </row>
    <row r="331" spans="1:16" x14ac:dyDescent="0.35">
      <c r="A331">
        <v>331</v>
      </c>
      <c r="B331" t="s">
        <v>63</v>
      </c>
      <c r="C331" t="s">
        <v>61</v>
      </c>
      <c r="D331" t="s">
        <v>66</v>
      </c>
      <c r="E331" t="s">
        <v>70</v>
      </c>
      <c r="F331">
        <v>1</v>
      </c>
      <c r="G331">
        <v>15800</v>
      </c>
      <c r="H331">
        <v>2</v>
      </c>
      <c r="I331" t="s">
        <v>67</v>
      </c>
      <c r="J331">
        <v>12</v>
      </c>
      <c r="K331" t="s">
        <v>15</v>
      </c>
      <c r="L331" t="s">
        <v>52</v>
      </c>
      <c r="M331" t="s">
        <v>30</v>
      </c>
      <c r="N331" s="25">
        <v>41563</v>
      </c>
      <c r="O331">
        <v>147.25299999999999</v>
      </c>
      <c r="P331">
        <v>147.25299999999999</v>
      </c>
    </row>
    <row r="332" spans="1:16" x14ac:dyDescent="0.35">
      <c r="A332">
        <v>332</v>
      </c>
      <c r="B332" t="s">
        <v>64</v>
      </c>
      <c r="C332" t="s">
        <v>61</v>
      </c>
      <c r="D332" t="s">
        <v>66</v>
      </c>
      <c r="E332" t="s">
        <v>70</v>
      </c>
      <c r="F332">
        <v>0</v>
      </c>
      <c r="G332">
        <v>56900</v>
      </c>
      <c r="H332">
        <v>0</v>
      </c>
      <c r="I332" t="s">
        <v>69</v>
      </c>
      <c r="J332">
        <v>24</v>
      </c>
      <c r="K332" t="s">
        <v>13</v>
      </c>
      <c r="L332" t="s">
        <v>45</v>
      </c>
      <c r="M332" t="s">
        <v>26</v>
      </c>
      <c r="N332" s="25">
        <v>42213</v>
      </c>
      <c r="O332">
        <v>1856.6389999999999</v>
      </c>
      <c r="P332">
        <v>1856.6389999999999</v>
      </c>
    </row>
    <row r="333" spans="1:16" x14ac:dyDescent="0.35">
      <c r="A333">
        <v>333</v>
      </c>
      <c r="B333" t="s">
        <v>63</v>
      </c>
      <c r="C333" t="s">
        <v>62</v>
      </c>
      <c r="D333" t="s">
        <v>66</v>
      </c>
      <c r="E333" t="s">
        <v>70</v>
      </c>
      <c r="F333">
        <v>1</v>
      </c>
      <c r="G333">
        <v>15900</v>
      </c>
      <c r="H333">
        <v>0</v>
      </c>
      <c r="I333" t="s">
        <v>67</v>
      </c>
      <c r="J333">
        <v>18</v>
      </c>
      <c r="K333" t="s">
        <v>14</v>
      </c>
      <c r="L333" t="s">
        <v>40</v>
      </c>
      <c r="M333" t="s">
        <v>37</v>
      </c>
      <c r="N333" s="25">
        <v>40608</v>
      </c>
      <c r="O333">
        <v>502.72</v>
      </c>
      <c r="P333">
        <v>502.72</v>
      </c>
    </row>
    <row r="334" spans="1:16" x14ac:dyDescent="0.35">
      <c r="A334">
        <v>334</v>
      </c>
      <c r="B334" t="s">
        <v>65</v>
      </c>
      <c r="C334" t="s">
        <v>62</v>
      </c>
      <c r="D334" t="s">
        <v>58</v>
      </c>
      <c r="E334" t="s">
        <v>2</v>
      </c>
      <c r="F334">
        <v>0</v>
      </c>
      <c r="G334">
        <v>37500</v>
      </c>
      <c r="H334">
        <v>0</v>
      </c>
      <c r="I334" t="s">
        <v>68</v>
      </c>
      <c r="J334">
        <v>18</v>
      </c>
      <c r="K334" t="s">
        <v>15</v>
      </c>
      <c r="L334" t="s">
        <v>28</v>
      </c>
      <c r="M334" t="s">
        <v>33</v>
      </c>
      <c r="N334" s="25">
        <v>40134</v>
      </c>
      <c r="O334">
        <v>1577.7470000000001</v>
      </c>
      <c r="P334">
        <v>1577.7470000000001</v>
      </c>
    </row>
    <row r="335" spans="1:16" x14ac:dyDescent="0.35">
      <c r="A335">
        <v>335</v>
      </c>
      <c r="B335" t="s">
        <v>64</v>
      </c>
      <c r="C335" t="s">
        <v>61</v>
      </c>
      <c r="D335" t="s">
        <v>66</v>
      </c>
      <c r="E335" t="s">
        <v>70</v>
      </c>
      <c r="F335">
        <v>0</v>
      </c>
      <c r="G335">
        <v>42500</v>
      </c>
      <c r="H335">
        <v>1</v>
      </c>
      <c r="I335" t="s">
        <v>8</v>
      </c>
      <c r="J335">
        <v>6</v>
      </c>
      <c r="K335" t="s">
        <v>14</v>
      </c>
      <c r="L335" t="s">
        <v>40</v>
      </c>
      <c r="M335" t="s">
        <v>37</v>
      </c>
      <c r="N335" s="25">
        <v>42188</v>
      </c>
      <c r="O335">
        <v>797.92200000000003</v>
      </c>
      <c r="P335">
        <v>797.92200000000003</v>
      </c>
    </row>
    <row r="336" spans="1:16" x14ac:dyDescent="0.35">
      <c r="A336">
        <v>336</v>
      </c>
      <c r="B336" t="s">
        <v>64</v>
      </c>
      <c r="C336" t="s">
        <v>61</v>
      </c>
      <c r="D336" t="s">
        <v>58</v>
      </c>
      <c r="E336" t="s">
        <v>2</v>
      </c>
      <c r="F336">
        <v>1</v>
      </c>
      <c r="G336">
        <v>97500</v>
      </c>
      <c r="H336">
        <v>0</v>
      </c>
      <c r="I336" t="s">
        <v>69</v>
      </c>
      <c r="J336">
        <v>18</v>
      </c>
      <c r="K336" t="s">
        <v>15</v>
      </c>
      <c r="L336" t="s">
        <v>28</v>
      </c>
      <c r="M336" t="s">
        <v>28</v>
      </c>
      <c r="N336" s="25">
        <v>39939</v>
      </c>
      <c r="O336">
        <v>2836.752</v>
      </c>
      <c r="P336">
        <v>2836.752</v>
      </c>
    </row>
    <row r="337" spans="1:16" x14ac:dyDescent="0.35">
      <c r="A337">
        <v>337</v>
      </c>
      <c r="B337" t="s">
        <v>63</v>
      </c>
      <c r="C337" t="s">
        <v>61</v>
      </c>
      <c r="D337" t="s">
        <v>58</v>
      </c>
      <c r="E337" t="s">
        <v>70</v>
      </c>
      <c r="F337">
        <v>1</v>
      </c>
      <c r="G337">
        <v>29600</v>
      </c>
      <c r="H337">
        <v>3</v>
      </c>
      <c r="I337" t="s">
        <v>8</v>
      </c>
      <c r="J337">
        <v>12</v>
      </c>
      <c r="K337" t="s">
        <v>14</v>
      </c>
      <c r="L337" t="s">
        <v>50</v>
      </c>
      <c r="M337" t="s">
        <v>35</v>
      </c>
      <c r="N337" s="25">
        <v>42085</v>
      </c>
      <c r="O337">
        <v>583.08100000000002</v>
      </c>
      <c r="P337">
        <v>583.08100000000002</v>
      </c>
    </row>
    <row r="338" spans="1:16" x14ac:dyDescent="0.35">
      <c r="A338">
        <v>338</v>
      </c>
      <c r="B338" t="s">
        <v>64</v>
      </c>
      <c r="C338" t="s">
        <v>61</v>
      </c>
      <c r="D338" t="s">
        <v>58</v>
      </c>
      <c r="E338" t="s">
        <v>70</v>
      </c>
      <c r="F338">
        <v>1</v>
      </c>
      <c r="G338">
        <v>55600</v>
      </c>
      <c r="H338">
        <v>0</v>
      </c>
      <c r="I338" t="s">
        <v>8</v>
      </c>
      <c r="J338">
        <v>12</v>
      </c>
      <c r="K338" t="s">
        <v>15</v>
      </c>
      <c r="L338" t="s">
        <v>44</v>
      </c>
      <c r="M338" t="s">
        <v>29</v>
      </c>
      <c r="N338" s="25">
        <v>42076</v>
      </c>
      <c r="O338">
        <v>951.952</v>
      </c>
      <c r="P338">
        <v>951.952</v>
      </c>
    </row>
    <row r="339" spans="1:16" x14ac:dyDescent="0.35">
      <c r="A339">
        <v>339</v>
      </c>
      <c r="B339" t="s">
        <v>64</v>
      </c>
      <c r="C339" t="s">
        <v>61</v>
      </c>
      <c r="D339" t="s">
        <v>66</v>
      </c>
      <c r="E339" t="s">
        <v>2</v>
      </c>
      <c r="F339">
        <v>1</v>
      </c>
      <c r="G339">
        <v>74600</v>
      </c>
      <c r="H339">
        <v>2</v>
      </c>
      <c r="I339" t="s">
        <v>68</v>
      </c>
      <c r="J339">
        <v>18</v>
      </c>
      <c r="K339" t="s">
        <v>14</v>
      </c>
      <c r="L339" t="s">
        <v>50</v>
      </c>
      <c r="M339" t="s">
        <v>34</v>
      </c>
      <c r="N339" s="25">
        <v>41694</v>
      </c>
      <c r="O339">
        <v>705.04399999999998</v>
      </c>
      <c r="P339">
        <v>705.04399999999998</v>
      </c>
    </row>
    <row r="340" spans="1:16" x14ac:dyDescent="0.35">
      <c r="A340">
        <v>340</v>
      </c>
      <c r="B340" t="s">
        <v>64</v>
      </c>
      <c r="C340" t="s">
        <v>62</v>
      </c>
      <c r="D340" t="s">
        <v>58</v>
      </c>
      <c r="E340" t="s">
        <v>2</v>
      </c>
      <c r="F340">
        <v>1</v>
      </c>
      <c r="G340">
        <v>68500</v>
      </c>
      <c r="H340">
        <v>2</v>
      </c>
      <c r="I340" t="s">
        <v>8</v>
      </c>
      <c r="J340">
        <v>12</v>
      </c>
      <c r="K340" t="s">
        <v>13</v>
      </c>
      <c r="L340" t="s">
        <v>56</v>
      </c>
      <c r="M340" t="s">
        <v>24</v>
      </c>
      <c r="N340" s="25">
        <v>42096</v>
      </c>
      <c r="O340">
        <v>1499.8420000000001</v>
      </c>
      <c r="P340">
        <v>1499.8420000000001</v>
      </c>
    </row>
    <row r="341" spans="1:16" x14ac:dyDescent="0.35">
      <c r="A341">
        <v>341</v>
      </c>
      <c r="B341" t="s">
        <v>64</v>
      </c>
      <c r="C341" t="s">
        <v>62</v>
      </c>
      <c r="D341" t="s">
        <v>58</v>
      </c>
      <c r="E341" t="s">
        <v>70</v>
      </c>
      <c r="F341">
        <v>1</v>
      </c>
      <c r="G341">
        <v>51900</v>
      </c>
      <c r="H341">
        <v>2</v>
      </c>
      <c r="I341" t="s">
        <v>8</v>
      </c>
      <c r="J341">
        <v>12</v>
      </c>
      <c r="K341" t="s">
        <v>12</v>
      </c>
      <c r="L341" t="s">
        <v>41</v>
      </c>
      <c r="M341" t="s">
        <v>20</v>
      </c>
      <c r="N341" s="25">
        <v>42168</v>
      </c>
      <c r="O341">
        <v>1161.7760000000001</v>
      </c>
      <c r="P341">
        <v>1161.7760000000001</v>
      </c>
    </row>
    <row r="342" spans="1:16" x14ac:dyDescent="0.35">
      <c r="A342">
        <v>342</v>
      </c>
      <c r="B342" t="s">
        <v>63</v>
      </c>
      <c r="C342" t="s">
        <v>62</v>
      </c>
      <c r="D342" t="s">
        <v>66</v>
      </c>
      <c r="E342" t="s">
        <v>70</v>
      </c>
      <c r="F342">
        <v>1</v>
      </c>
      <c r="G342">
        <v>17200</v>
      </c>
      <c r="H342">
        <v>1</v>
      </c>
      <c r="I342" t="s">
        <v>8</v>
      </c>
      <c r="J342">
        <v>12</v>
      </c>
      <c r="K342" t="s">
        <v>14</v>
      </c>
      <c r="L342" t="s">
        <v>50</v>
      </c>
      <c r="M342" t="s">
        <v>35</v>
      </c>
      <c r="N342" s="25">
        <v>42220</v>
      </c>
      <c r="O342">
        <v>329.39699999999999</v>
      </c>
      <c r="P342">
        <v>329.39699999999999</v>
      </c>
    </row>
    <row r="343" spans="1:16" x14ac:dyDescent="0.35">
      <c r="A343">
        <v>343</v>
      </c>
      <c r="B343" t="s">
        <v>63</v>
      </c>
      <c r="C343" t="s">
        <v>62</v>
      </c>
      <c r="D343" t="s">
        <v>66</v>
      </c>
      <c r="E343" t="s">
        <v>2</v>
      </c>
      <c r="F343">
        <v>0</v>
      </c>
      <c r="G343">
        <v>51900</v>
      </c>
      <c r="H343">
        <v>0</v>
      </c>
      <c r="I343" t="s">
        <v>8</v>
      </c>
      <c r="J343">
        <v>6</v>
      </c>
      <c r="K343" t="s">
        <v>13</v>
      </c>
      <c r="L343" t="s">
        <v>46</v>
      </c>
      <c r="M343" t="s">
        <v>22</v>
      </c>
      <c r="N343" s="25">
        <v>42190</v>
      </c>
      <c r="O343">
        <v>779.51700000000005</v>
      </c>
      <c r="P343">
        <v>779.51700000000005</v>
      </c>
    </row>
    <row r="344" spans="1:16" x14ac:dyDescent="0.35">
      <c r="A344">
        <v>344</v>
      </c>
      <c r="B344" t="s">
        <v>64</v>
      </c>
      <c r="C344" t="s">
        <v>61</v>
      </c>
      <c r="D344" t="s">
        <v>58</v>
      </c>
      <c r="E344" t="s">
        <v>2</v>
      </c>
      <c r="F344">
        <v>1</v>
      </c>
      <c r="G344">
        <v>70200</v>
      </c>
      <c r="H344">
        <v>0</v>
      </c>
      <c r="I344" t="s">
        <v>8</v>
      </c>
      <c r="J344">
        <v>6</v>
      </c>
      <c r="K344" t="s">
        <v>12</v>
      </c>
      <c r="L344" t="s">
        <v>47</v>
      </c>
      <c r="M344" t="s">
        <v>18</v>
      </c>
      <c r="N344" s="25">
        <v>42042</v>
      </c>
      <c r="O344">
        <v>1582.604</v>
      </c>
      <c r="P344">
        <v>1582.604</v>
      </c>
    </row>
    <row r="345" spans="1:16" x14ac:dyDescent="0.35">
      <c r="A345">
        <v>345</v>
      </c>
      <c r="B345" t="s">
        <v>64</v>
      </c>
      <c r="C345" t="s">
        <v>62</v>
      </c>
      <c r="D345" t="s">
        <v>58</v>
      </c>
      <c r="E345" t="s">
        <v>70</v>
      </c>
      <c r="F345">
        <v>0</v>
      </c>
      <c r="G345">
        <v>64400</v>
      </c>
      <c r="H345">
        <v>3</v>
      </c>
      <c r="I345" t="s">
        <v>68</v>
      </c>
      <c r="J345">
        <v>24</v>
      </c>
      <c r="K345" t="s">
        <v>13</v>
      </c>
      <c r="L345" t="s">
        <v>45</v>
      </c>
      <c r="M345" t="s">
        <v>26</v>
      </c>
      <c r="N345" s="25">
        <v>40118</v>
      </c>
      <c r="O345">
        <v>1913.32</v>
      </c>
      <c r="P345">
        <v>1913.32</v>
      </c>
    </row>
    <row r="346" spans="1:16" x14ac:dyDescent="0.35">
      <c r="A346">
        <v>346</v>
      </c>
      <c r="B346" t="s">
        <v>64</v>
      </c>
      <c r="C346" t="s">
        <v>62</v>
      </c>
      <c r="D346" t="s">
        <v>58</v>
      </c>
      <c r="E346" t="s">
        <v>2</v>
      </c>
      <c r="F346">
        <v>1</v>
      </c>
      <c r="G346">
        <v>70900</v>
      </c>
      <c r="H346">
        <v>1</v>
      </c>
      <c r="I346" t="s">
        <v>68</v>
      </c>
      <c r="J346">
        <v>12</v>
      </c>
      <c r="K346" t="s">
        <v>15</v>
      </c>
      <c r="L346" t="s">
        <v>44</v>
      </c>
      <c r="M346" t="s">
        <v>29</v>
      </c>
      <c r="N346" s="25">
        <v>40993</v>
      </c>
      <c r="O346">
        <v>794.1</v>
      </c>
      <c r="P346">
        <v>794.1</v>
      </c>
    </row>
    <row r="347" spans="1:16" x14ac:dyDescent="0.35">
      <c r="A347">
        <v>347</v>
      </c>
      <c r="B347" t="s">
        <v>64</v>
      </c>
      <c r="C347" t="s">
        <v>61</v>
      </c>
      <c r="D347" t="s">
        <v>58</v>
      </c>
      <c r="E347" t="s">
        <v>2</v>
      </c>
      <c r="F347">
        <v>0</v>
      </c>
      <c r="G347">
        <v>72500</v>
      </c>
      <c r="H347">
        <v>0</v>
      </c>
      <c r="I347" t="s">
        <v>8</v>
      </c>
      <c r="J347">
        <v>24</v>
      </c>
      <c r="K347" t="s">
        <v>14</v>
      </c>
      <c r="L347" t="s">
        <v>50</v>
      </c>
      <c r="M347" t="s">
        <v>35</v>
      </c>
      <c r="N347" s="25">
        <v>42020</v>
      </c>
      <c r="O347">
        <v>2594.924</v>
      </c>
      <c r="P347">
        <v>2594.924</v>
      </c>
    </row>
    <row r="348" spans="1:16" x14ac:dyDescent="0.35">
      <c r="A348">
        <v>348</v>
      </c>
      <c r="B348" t="s">
        <v>65</v>
      </c>
      <c r="C348" t="s">
        <v>62</v>
      </c>
      <c r="D348" t="s">
        <v>58</v>
      </c>
      <c r="E348" t="s">
        <v>70</v>
      </c>
      <c r="F348">
        <v>1</v>
      </c>
      <c r="G348">
        <v>33200</v>
      </c>
      <c r="H348">
        <v>0</v>
      </c>
      <c r="I348" t="s">
        <v>68</v>
      </c>
      <c r="J348">
        <v>24</v>
      </c>
      <c r="K348" t="s">
        <v>12</v>
      </c>
      <c r="L348" t="s">
        <v>54</v>
      </c>
      <c r="M348" t="s">
        <v>21</v>
      </c>
      <c r="N348" s="25">
        <v>40813</v>
      </c>
      <c r="O348">
        <v>1036.6600000000001</v>
      </c>
      <c r="P348">
        <v>1036.6600000000001</v>
      </c>
    </row>
    <row r="349" spans="1:16" x14ac:dyDescent="0.35">
      <c r="A349">
        <v>349</v>
      </c>
      <c r="B349" t="s">
        <v>64</v>
      </c>
      <c r="C349" t="s">
        <v>61</v>
      </c>
      <c r="D349" t="s">
        <v>66</v>
      </c>
      <c r="E349" t="s">
        <v>70</v>
      </c>
      <c r="F349">
        <v>0</v>
      </c>
      <c r="G349">
        <v>58600</v>
      </c>
      <c r="H349">
        <v>2</v>
      </c>
      <c r="I349" t="s">
        <v>8</v>
      </c>
      <c r="J349">
        <v>6</v>
      </c>
      <c r="K349" t="s">
        <v>13</v>
      </c>
      <c r="L349" t="s">
        <v>56</v>
      </c>
      <c r="M349" t="s">
        <v>24</v>
      </c>
      <c r="N349" s="25">
        <v>42021</v>
      </c>
      <c r="O349">
        <v>988.75900000000001</v>
      </c>
      <c r="P349">
        <v>988.75900000000001</v>
      </c>
    </row>
    <row r="350" spans="1:16" x14ac:dyDescent="0.35">
      <c r="A350">
        <v>350</v>
      </c>
      <c r="B350" t="s">
        <v>64</v>
      </c>
      <c r="C350" t="s">
        <v>61</v>
      </c>
      <c r="D350" t="s">
        <v>58</v>
      </c>
      <c r="E350" t="s">
        <v>2</v>
      </c>
      <c r="F350">
        <v>1</v>
      </c>
      <c r="G350">
        <v>54700</v>
      </c>
      <c r="H350">
        <v>0</v>
      </c>
      <c r="I350" t="s">
        <v>68</v>
      </c>
      <c r="J350">
        <v>18</v>
      </c>
      <c r="K350" t="s">
        <v>15</v>
      </c>
      <c r="L350" t="s">
        <v>52</v>
      </c>
      <c r="M350" t="s">
        <v>30</v>
      </c>
      <c r="N350" s="25">
        <v>40076</v>
      </c>
      <c r="O350">
        <v>848.279</v>
      </c>
      <c r="P350">
        <v>848.279</v>
      </c>
    </row>
    <row r="351" spans="1:16" x14ac:dyDescent="0.35">
      <c r="A351">
        <v>351</v>
      </c>
      <c r="B351" t="s">
        <v>64</v>
      </c>
      <c r="C351" t="s">
        <v>61</v>
      </c>
      <c r="D351" t="s">
        <v>66</v>
      </c>
      <c r="E351" t="s">
        <v>2</v>
      </c>
      <c r="F351">
        <v>0</v>
      </c>
      <c r="G351">
        <v>64000</v>
      </c>
      <c r="H351">
        <v>1</v>
      </c>
      <c r="I351" t="s">
        <v>8</v>
      </c>
      <c r="J351">
        <v>6</v>
      </c>
      <c r="K351" t="s">
        <v>15</v>
      </c>
      <c r="L351" t="s">
        <v>52</v>
      </c>
      <c r="M351" t="s">
        <v>31</v>
      </c>
      <c r="N351" s="25">
        <v>42020</v>
      </c>
      <c r="O351">
        <v>1552.162</v>
      </c>
      <c r="P351">
        <v>1552.162</v>
      </c>
    </row>
    <row r="352" spans="1:16" x14ac:dyDescent="0.35">
      <c r="A352">
        <v>352</v>
      </c>
      <c r="B352" t="s">
        <v>63</v>
      </c>
      <c r="C352" t="s">
        <v>62</v>
      </c>
      <c r="D352" t="s">
        <v>66</v>
      </c>
      <c r="E352" t="s">
        <v>70</v>
      </c>
      <c r="F352">
        <v>0</v>
      </c>
      <c r="G352">
        <v>12500</v>
      </c>
      <c r="H352">
        <v>1</v>
      </c>
      <c r="I352" t="s">
        <v>8</v>
      </c>
      <c r="J352">
        <v>12</v>
      </c>
      <c r="K352" t="s">
        <v>15</v>
      </c>
      <c r="L352" t="s">
        <v>28</v>
      </c>
      <c r="M352" t="s">
        <v>28</v>
      </c>
      <c r="N352" s="25">
        <v>42102</v>
      </c>
      <c r="O352">
        <v>421.96899999999999</v>
      </c>
      <c r="P352">
        <v>421.96899999999999</v>
      </c>
    </row>
    <row r="353" spans="1:16" x14ac:dyDescent="0.35">
      <c r="A353">
        <v>353</v>
      </c>
      <c r="B353" t="s">
        <v>64</v>
      </c>
      <c r="C353" t="s">
        <v>61</v>
      </c>
      <c r="D353" t="s">
        <v>58</v>
      </c>
      <c r="E353" t="s">
        <v>2</v>
      </c>
      <c r="F353">
        <v>1</v>
      </c>
      <c r="G353">
        <v>122700</v>
      </c>
      <c r="H353">
        <v>1</v>
      </c>
      <c r="I353" t="s">
        <v>8</v>
      </c>
      <c r="J353">
        <v>18</v>
      </c>
      <c r="K353" t="s">
        <v>13</v>
      </c>
      <c r="L353" t="s">
        <v>46</v>
      </c>
      <c r="M353" t="s">
        <v>22</v>
      </c>
      <c r="N353" s="25">
        <v>42031</v>
      </c>
      <c r="O353">
        <v>4983.7759999999998</v>
      </c>
      <c r="P353">
        <v>3500</v>
      </c>
    </row>
    <row r="354" spans="1:16" x14ac:dyDescent="0.35">
      <c r="A354">
        <v>354</v>
      </c>
      <c r="B354" t="s">
        <v>63</v>
      </c>
      <c r="C354" t="s">
        <v>61</v>
      </c>
      <c r="D354" t="s">
        <v>66</v>
      </c>
      <c r="E354" t="s">
        <v>70</v>
      </c>
      <c r="F354">
        <v>1</v>
      </c>
      <c r="G354">
        <v>23200</v>
      </c>
      <c r="H354">
        <v>1</v>
      </c>
      <c r="I354" t="s">
        <v>67</v>
      </c>
      <c r="J354">
        <v>24</v>
      </c>
      <c r="K354" t="s">
        <v>14</v>
      </c>
      <c r="L354" t="s">
        <v>51</v>
      </c>
      <c r="M354" t="s">
        <v>38</v>
      </c>
      <c r="N354" s="25">
        <v>41365</v>
      </c>
      <c r="O354">
        <v>504.00200000000001</v>
      </c>
      <c r="P354">
        <v>504.00200000000001</v>
      </c>
    </row>
    <row r="355" spans="1:16" x14ac:dyDescent="0.35">
      <c r="A355">
        <v>355</v>
      </c>
      <c r="B355" t="s">
        <v>63</v>
      </c>
      <c r="C355" t="s">
        <v>61</v>
      </c>
      <c r="D355" t="s">
        <v>66</v>
      </c>
      <c r="E355" t="s">
        <v>2</v>
      </c>
      <c r="F355">
        <v>1</v>
      </c>
      <c r="G355">
        <v>41600</v>
      </c>
      <c r="H355">
        <v>3</v>
      </c>
      <c r="I355" t="s">
        <v>8</v>
      </c>
      <c r="J355">
        <v>24</v>
      </c>
      <c r="K355" t="s">
        <v>14</v>
      </c>
      <c r="L355" t="s">
        <v>50</v>
      </c>
      <c r="M355" t="s">
        <v>35</v>
      </c>
      <c r="N355" s="25">
        <v>42037</v>
      </c>
      <c r="O355">
        <v>1633.5550000000001</v>
      </c>
      <c r="P355">
        <v>1633.5550000000001</v>
      </c>
    </row>
    <row r="356" spans="1:16" x14ac:dyDescent="0.35">
      <c r="A356">
        <v>356</v>
      </c>
      <c r="B356" t="s">
        <v>65</v>
      </c>
      <c r="C356" t="s">
        <v>62</v>
      </c>
      <c r="D356" t="s">
        <v>58</v>
      </c>
      <c r="E356" t="s">
        <v>2</v>
      </c>
      <c r="F356">
        <v>1</v>
      </c>
      <c r="G356">
        <v>69400</v>
      </c>
      <c r="H356">
        <v>0</v>
      </c>
      <c r="I356" t="s">
        <v>69</v>
      </c>
      <c r="J356">
        <v>18</v>
      </c>
      <c r="K356" t="s">
        <v>12</v>
      </c>
      <c r="L356" t="s">
        <v>47</v>
      </c>
      <c r="M356" t="s">
        <v>18</v>
      </c>
      <c r="N356" s="25">
        <v>40559</v>
      </c>
      <c r="O356">
        <v>2418.6019999999999</v>
      </c>
      <c r="P356">
        <v>2418.6019999999999</v>
      </c>
    </row>
    <row r="357" spans="1:16" x14ac:dyDescent="0.35">
      <c r="A357">
        <v>357</v>
      </c>
      <c r="B357" t="s">
        <v>64</v>
      </c>
      <c r="C357" t="s">
        <v>62</v>
      </c>
      <c r="D357" t="s">
        <v>58</v>
      </c>
      <c r="E357" t="s">
        <v>2</v>
      </c>
      <c r="F357">
        <v>1</v>
      </c>
      <c r="G357">
        <v>109800</v>
      </c>
      <c r="H357">
        <v>1</v>
      </c>
      <c r="I357" t="s">
        <v>69</v>
      </c>
      <c r="J357">
        <v>24</v>
      </c>
      <c r="K357" t="s">
        <v>12</v>
      </c>
      <c r="L357" t="s">
        <v>55</v>
      </c>
      <c r="M357" t="s">
        <v>17</v>
      </c>
      <c r="N357" s="25">
        <v>40125</v>
      </c>
      <c r="O357">
        <v>2258.049</v>
      </c>
      <c r="P357">
        <v>2258.049</v>
      </c>
    </row>
    <row r="358" spans="1:16" x14ac:dyDescent="0.35">
      <c r="A358">
        <v>358</v>
      </c>
      <c r="B358" t="s">
        <v>64</v>
      </c>
      <c r="C358" t="s">
        <v>62</v>
      </c>
      <c r="D358" t="s">
        <v>58</v>
      </c>
      <c r="E358" t="s">
        <v>70</v>
      </c>
      <c r="F358">
        <v>0</v>
      </c>
      <c r="G358">
        <v>66800</v>
      </c>
      <c r="H358">
        <v>3</v>
      </c>
      <c r="I358" t="s">
        <v>8</v>
      </c>
      <c r="J358">
        <v>24</v>
      </c>
      <c r="K358" t="s">
        <v>13</v>
      </c>
      <c r="L358" t="s">
        <v>43</v>
      </c>
      <c r="M358" t="s">
        <v>23</v>
      </c>
      <c r="N358" s="25">
        <v>42136</v>
      </c>
      <c r="O358">
        <v>2098.029</v>
      </c>
      <c r="P358">
        <v>2098.029</v>
      </c>
    </row>
    <row r="359" spans="1:16" x14ac:dyDescent="0.35">
      <c r="A359">
        <v>359</v>
      </c>
      <c r="B359" t="s">
        <v>64</v>
      </c>
      <c r="C359" t="s">
        <v>61</v>
      </c>
      <c r="D359" t="s">
        <v>66</v>
      </c>
      <c r="E359" t="s">
        <v>2</v>
      </c>
      <c r="F359">
        <v>0</v>
      </c>
      <c r="G359">
        <v>87100</v>
      </c>
      <c r="H359">
        <v>2</v>
      </c>
      <c r="I359" t="s">
        <v>69</v>
      </c>
      <c r="J359">
        <v>18</v>
      </c>
      <c r="K359" t="s">
        <v>12</v>
      </c>
      <c r="L359" t="s">
        <v>47</v>
      </c>
      <c r="M359" t="s">
        <v>18</v>
      </c>
      <c r="N359" s="25">
        <v>41919</v>
      </c>
      <c r="O359">
        <v>1687.807</v>
      </c>
      <c r="P359">
        <v>1687.807</v>
      </c>
    </row>
    <row r="360" spans="1:16" x14ac:dyDescent="0.35">
      <c r="A360">
        <v>360</v>
      </c>
      <c r="B360" t="s">
        <v>64</v>
      </c>
      <c r="C360" t="s">
        <v>61</v>
      </c>
      <c r="D360" t="s">
        <v>58</v>
      </c>
      <c r="E360" t="s">
        <v>70</v>
      </c>
      <c r="F360">
        <v>0</v>
      </c>
      <c r="G360">
        <v>80800</v>
      </c>
      <c r="H360">
        <v>2</v>
      </c>
      <c r="I360" t="s">
        <v>69</v>
      </c>
      <c r="J360">
        <v>18</v>
      </c>
      <c r="K360" t="s">
        <v>14</v>
      </c>
      <c r="L360" t="s">
        <v>49</v>
      </c>
      <c r="M360" t="s">
        <v>39</v>
      </c>
      <c r="N360" s="25">
        <v>41018</v>
      </c>
      <c r="O360">
        <v>2444.4490000000001</v>
      </c>
      <c r="P360">
        <v>2444.4490000000001</v>
      </c>
    </row>
    <row r="361" spans="1:16" x14ac:dyDescent="0.35">
      <c r="A361">
        <v>361</v>
      </c>
      <c r="B361" t="s">
        <v>64</v>
      </c>
      <c r="C361" t="s">
        <v>61</v>
      </c>
      <c r="D361" t="s">
        <v>58</v>
      </c>
      <c r="E361" t="s">
        <v>2</v>
      </c>
      <c r="F361">
        <v>0</v>
      </c>
      <c r="G361">
        <v>122100</v>
      </c>
      <c r="H361">
        <v>0</v>
      </c>
      <c r="I361" t="s">
        <v>69</v>
      </c>
      <c r="J361">
        <v>12</v>
      </c>
      <c r="K361" t="s">
        <v>13</v>
      </c>
      <c r="L361" t="s">
        <v>56</v>
      </c>
      <c r="M361" t="s">
        <v>24</v>
      </c>
      <c r="N361" s="25">
        <v>41130</v>
      </c>
      <c r="O361">
        <v>2408.482</v>
      </c>
      <c r="P361">
        <v>2408.482</v>
      </c>
    </row>
    <row r="362" spans="1:16" x14ac:dyDescent="0.35">
      <c r="A362">
        <v>362</v>
      </c>
      <c r="B362" t="s">
        <v>63</v>
      </c>
      <c r="C362" t="s">
        <v>62</v>
      </c>
      <c r="D362" t="s">
        <v>66</v>
      </c>
      <c r="E362" t="s">
        <v>70</v>
      </c>
      <c r="F362">
        <v>1</v>
      </c>
      <c r="G362">
        <v>19400</v>
      </c>
      <c r="H362">
        <v>1</v>
      </c>
      <c r="I362" t="s">
        <v>8</v>
      </c>
      <c r="J362">
        <v>18</v>
      </c>
      <c r="K362" t="s">
        <v>12</v>
      </c>
      <c r="L362" t="s">
        <v>55</v>
      </c>
      <c r="M362" t="s">
        <v>17</v>
      </c>
      <c r="N362" s="25">
        <v>42192</v>
      </c>
      <c r="O362">
        <v>384.24799999999999</v>
      </c>
      <c r="P362">
        <v>384.24799999999999</v>
      </c>
    </row>
    <row r="363" spans="1:16" x14ac:dyDescent="0.35">
      <c r="A363">
        <v>363</v>
      </c>
      <c r="B363" t="s">
        <v>64</v>
      </c>
      <c r="C363" t="s">
        <v>62</v>
      </c>
      <c r="D363" t="s">
        <v>58</v>
      </c>
      <c r="E363" t="s">
        <v>70</v>
      </c>
      <c r="F363">
        <v>1</v>
      </c>
      <c r="G363">
        <v>43300</v>
      </c>
      <c r="H363">
        <v>1</v>
      </c>
      <c r="I363" t="s">
        <v>8</v>
      </c>
      <c r="J363">
        <v>18</v>
      </c>
      <c r="K363" t="s">
        <v>14</v>
      </c>
      <c r="L363" t="s">
        <v>50</v>
      </c>
      <c r="M363" t="s">
        <v>35</v>
      </c>
      <c r="N363" s="25">
        <v>42092</v>
      </c>
      <c r="O363">
        <v>1020.542</v>
      </c>
      <c r="P363">
        <v>1020.542</v>
      </c>
    </row>
    <row r="364" spans="1:16" x14ac:dyDescent="0.35">
      <c r="A364">
        <v>364</v>
      </c>
      <c r="B364" t="s">
        <v>65</v>
      </c>
      <c r="C364" t="s">
        <v>61</v>
      </c>
      <c r="D364" t="s">
        <v>58</v>
      </c>
      <c r="E364" t="s">
        <v>2</v>
      </c>
      <c r="F364">
        <v>0</v>
      </c>
      <c r="G364">
        <v>33000</v>
      </c>
      <c r="H364">
        <v>0</v>
      </c>
      <c r="I364" t="s">
        <v>68</v>
      </c>
      <c r="J364">
        <v>12</v>
      </c>
      <c r="K364" t="s">
        <v>12</v>
      </c>
      <c r="L364" t="s">
        <v>47</v>
      </c>
      <c r="M364" t="s">
        <v>16</v>
      </c>
      <c r="N364" s="25">
        <v>41332</v>
      </c>
      <c r="O364">
        <v>978.798</v>
      </c>
      <c r="P364">
        <v>978.798</v>
      </c>
    </row>
    <row r="365" spans="1:16" x14ac:dyDescent="0.35">
      <c r="A365">
        <v>365</v>
      </c>
      <c r="B365" t="s">
        <v>65</v>
      </c>
      <c r="C365" t="s">
        <v>61</v>
      </c>
      <c r="D365" t="s">
        <v>66</v>
      </c>
      <c r="E365" t="s">
        <v>2</v>
      </c>
      <c r="F365">
        <v>0</v>
      </c>
      <c r="G365">
        <v>66300</v>
      </c>
      <c r="H365">
        <v>0</v>
      </c>
      <c r="I365" t="s">
        <v>8</v>
      </c>
      <c r="J365">
        <v>18</v>
      </c>
      <c r="K365" t="s">
        <v>14</v>
      </c>
      <c r="L365" t="s">
        <v>49</v>
      </c>
      <c r="M365" t="s">
        <v>39</v>
      </c>
      <c r="N365" s="25">
        <v>42045</v>
      </c>
      <c r="O365">
        <v>2243.0479999999998</v>
      </c>
      <c r="P365">
        <v>2243.0479999999998</v>
      </c>
    </row>
    <row r="366" spans="1:16" x14ac:dyDescent="0.35">
      <c r="A366">
        <v>366</v>
      </c>
      <c r="B366" t="s">
        <v>64</v>
      </c>
      <c r="C366" t="s">
        <v>61</v>
      </c>
      <c r="D366" t="s">
        <v>58</v>
      </c>
      <c r="E366" t="s">
        <v>2</v>
      </c>
      <c r="F366">
        <v>1</v>
      </c>
      <c r="G366">
        <v>96300</v>
      </c>
      <c r="H366">
        <v>1</v>
      </c>
      <c r="I366" t="s">
        <v>69</v>
      </c>
      <c r="J366">
        <v>24</v>
      </c>
      <c r="K366" t="s">
        <v>15</v>
      </c>
      <c r="L366" t="s">
        <v>52</v>
      </c>
      <c r="M366" t="s">
        <v>30</v>
      </c>
      <c r="N366" s="25">
        <v>40883</v>
      </c>
      <c r="O366">
        <v>1909.1679999999999</v>
      </c>
      <c r="P366">
        <v>1909.1679999999999</v>
      </c>
    </row>
    <row r="367" spans="1:16" x14ac:dyDescent="0.35">
      <c r="A367">
        <v>367</v>
      </c>
      <c r="B367" t="s">
        <v>64</v>
      </c>
      <c r="C367" t="s">
        <v>61</v>
      </c>
      <c r="D367" t="s">
        <v>66</v>
      </c>
      <c r="E367" t="s">
        <v>70</v>
      </c>
      <c r="F367">
        <v>0</v>
      </c>
      <c r="G367">
        <v>55800</v>
      </c>
      <c r="H367">
        <v>1</v>
      </c>
      <c r="I367" t="s">
        <v>8</v>
      </c>
      <c r="J367">
        <v>6</v>
      </c>
      <c r="K367" t="s">
        <v>14</v>
      </c>
      <c r="L367" t="s">
        <v>49</v>
      </c>
      <c r="M367" t="s">
        <v>39</v>
      </c>
      <c r="N367" s="25">
        <v>42243</v>
      </c>
      <c r="O367">
        <v>820.97199999999998</v>
      </c>
      <c r="P367">
        <v>820.97199999999998</v>
      </c>
    </row>
    <row r="368" spans="1:16" x14ac:dyDescent="0.35">
      <c r="A368">
        <v>368</v>
      </c>
      <c r="B368" t="s">
        <v>64</v>
      </c>
      <c r="C368" t="s">
        <v>61</v>
      </c>
      <c r="D368" t="s">
        <v>66</v>
      </c>
      <c r="E368" t="s">
        <v>2</v>
      </c>
      <c r="F368">
        <v>1</v>
      </c>
      <c r="G368">
        <v>63500</v>
      </c>
      <c r="H368">
        <v>2</v>
      </c>
      <c r="I368" t="s">
        <v>8</v>
      </c>
      <c r="J368">
        <v>24</v>
      </c>
      <c r="K368" t="s">
        <v>13</v>
      </c>
      <c r="L368" t="s">
        <v>45</v>
      </c>
      <c r="M368" t="s">
        <v>26</v>
      </c>
      <c r="N368" s="25">
        <v>42017</v>
      </c>
      <c r="O368">
        <v>2321.2440000000001</v>
      </c>
      <c r="P368">
        <v>2321.2440000000001</v>
      </c>
    </row>
    <row r="369" spans="1:16" x14ac:dyDescent="0.35">
      <c r="A369">
        <v>369</v>
      </c>
      <c r="B369" t="s">
        <v>64</v>
      </c>
      <c r="C369" t="s">
        <v>61</v>
      </c>
      <c r="D369" t="s">
        <v>58</v>
      </c>
      <c r="E369" t="s">
        <v>2</v>
      </c>
      <c r="F369">
        <v>0</v>
      </c>
      <c r="G369">
        <v>113400</v>
      </c>
      <c r="H369">
        <v>3</v>
      </c>
      <c r="I369" t="s">
        <v>69</v>
      </c>
      <c r="J369">
        <v>18</v>
      </c>
      <c r="K369" t="s">
        <v>13</v>
      </c>
      <c r="L369" t="s">
        <v>48</v>
      </c>
      <c r="M369" t="s">
        <v>27</v>
      </c>
      <c r="N369" s="25">
        <v>41968</v>
      </c>
      <c r="O369">
        <v>1790.4010000000001</v>
      </c>
      <c r="P369">
        <v>1790.4010000000001</v>
      </c>
    </row>
    <row r="370" spans="1:16" x14ac:dyDescent="0.35">
      <c r="A370">
        <v>370</v>
      </c>
      <c r="B370" t="s">
        <v>63</v>
      </c>
      <c r="C370" t="s">
        <v>62</v>
      </c>
      <c r="D370" t="s">
        <v>66</v>
      </c>
      <c r="E370" t="s">
        <v>70</v>
      </c>
      <c r="F370">
        <v>1</v>
      </c>
      <c r="G370">
        <v>14200</v>
      </c>
      <c r="H370">
        <v>0</v>
      </c>
      <c r="I370" t="s">
        <v>8</v>
      </c>
      <c r="J370">
        <v>6</v>
      </c>
      <c r="K370" t="s">
        <v>12</v>
      </c>
      <c r="L370" t="s">
        <v>47</v>
      </c>
      <c r="M370" t="s">
        <v>18</v>
      </c>
      <c r="N370" s="25">
        <v>42101</v>
      </c>
      <c r="O370">
        <v>191.60900000000001</v>
      </c>
      <c r="P370">
        <v>191.60900000000001</v>
      </c>
    </row>
    <row r="371" spans="1:16" x14ac:dyDescent="0.35">
      <c r="A371">
        <v>371</v>
      </c>
      <c r="B371" t="s">
        <v>63</v>
      </c>
      <c r="C371" t="s">
        <v>61</v>
      </c>
      <c r="D371" t="s">
        <v>66</v>
      </c>
      <c r="E371" t="s">
        <v>2</v>
      </c>
      <c r="F371">
        <v>1</v>
      </c>
      <c r="G371">
        <v>41500</v>
      </c>
      <c r="H371">
        <v>0</v>
      </c>
      <c r="I371" t="s">
        <v>8</v>
      </c>
      <c r="J371">
        <v>24</v>
      </c>
      <c r="K371" t="s">
        <v>12</v>
      </c>
      <c r="L371" t="s">
        <v>47</v>
      </c>
      <c r="M371" t="s">
        <v>18</v>
      </c>
      <c r="N371" s="25">
        <v>42192</v>
      </c>
      <c r="O371">
        <v>1212.5940000000001</v>
      </c>
      <c r="P371">
        <v>1212.5940000000001</v>
      </c>
    </row>
    <row r="372" spans="1:16" x14ac:dyDescent="0.35">
      <c r="A372">
        <v>372</v>
      </c>
      <c r="B372" t="s">
        <v>64</v>
      </c>
      <c r="C372" t="s">
        <v>61</v>
      </c>
      <c r="D372" t="s">
        <v>58</v>
      </c>
      <c r="E372" t="s">
        <v>2</v>
      </c>
      <c r="F372">
        <v>1</v>
      </c>
      <c r="G372">
        <v>82500</v>
      </c>
      <c r="H372">
        <v>0</v>
      </c>
      <c r="I372" t="s">
        <v>69</v>
      </c>
      <c r="J372">
        <v>6</v>
      </c>
      <c r="K372" t="s">
        <v>13</v>
      </c>
      <c r="L372" t="s">
        <v>48</v>
      </c>
      <c r="M372" t="s">
        <v>27</v>
      </c>
      <c r="N372" s="25">
        <v>42172</v>
      </c>
      <c r="O372">
        <v>859.42600000000004</v>
      </c>
      <c r="P372">
        <v>859.42600000000004</v>
      </c>
    </row>
    <row r="373" spans="1:16" x14ac:dyDescent="0.35">
      <c r="A373">
        <v>373</v>
      </c>
      <c r="B373" t="s">
        <v>64</v>
      </c>
      <c r="C373" t="s">
        <v>61</v>
      </c>
      <c r="D373" t="s">
        <v>58</v>
      </c>
      <c r="E373" t="s">
        <v>2</v>
      </c>
      <c r="F373">
        <v>1</v>
      </c>
      <c r="G373">
        <v>85600</v>
      </c>
      <c r="H373">
        <v>1</v>
      </c>
      <c r="I373" t="s">
        <v>69</v>
      </c>
      <c r="J373">
        <v>18</v>
      </c>
      <c r="K373" t="s">
        <v>14</v>
      </c>
      <c r="L373" t="s">
        <v>40</v>
      </c>
      <c r="M373" t="s">
        <v>37</v>
      </c>
      <c r="N373" s="25">
        <v>41328</v>
      </c>
      <c r="O373">
        <v>2435.6660000000002</v>
      </c>
      <c r="P373">
        <v>2435.6660000000002</v>
      </c>
    </row>
    <row r="374" spans="1:16" x14ac:dyDescent="0.35">
      <c r="A374">
        <v>374</v>
      </c>
      <c r="B374" t="s">
        <v>63</v>
      </c>
      <c r="C374" t="s">
        <v>62</v>
      </c>
      <c r="D374" t="s">
        <v>66</v>
      </c>
      <c r="E374" t="s">
        <v>70</v>
      </c>
      <c r="F374">
        <v>0</v>
      </c>
      <c r="G374">
        <v>18400</v>
      </c>
      <c r="H374">
        <v>1</v>
      </c>
      <c r="I374" t="s">
        <v>67</v>
      </c>
      <c r="J374">
        <v>6</v>
      </c>
      <c r="K374" t="s">
        <v>12</v>
      </c>
      <c r="L374" t="s">
        <v>47</v>
      </c>
      <c r="M374" t="s">
        <v>18</v>
      </c>
      <c r="N374" s="25">
        <v>41664</v>
      </c>
      <c r="O374">
        <v>319.18700000000001</v>
      </c>
      <c r="P374">
        <v>319.18700000000001</v>
      </c>
    </row>
    <row r="375" spans="1:16" x14ac:dyDescent="0.35">
      <c r="A375">
        <v>375</v>
      </c>
      <c r="B375" t="s">
        <v>65</v>
      </c>
      <c r="C375" t="s">
        <v>62</v>
      </c>
      <c r="D375" t="s">
        <v>58</v>
      </c>
      <c r="E375" t="s">
        <v>2</v>
      </c>
      <c r="F375">
        <v>1</v>
      </c>
      <c r="G375">
        <v>62600</v>
      </c>
      <c r="H375">
        <v>0</v>
      </c>
      <c r="I375" t="s">
        <v>69</v>
      </c>
      <c r="J375">
        <v>6</v>
      </c>
      <c r="K375" t="s">
        <v>14</v>
      </c>
      <c r="L375" t="s">
        <v>40</v>
      </c>
      <c r="M375" t="s">
        <v>37</v>
      </c>
      <c r="N375" s="25">
        <v>42196</v>
      </c>
      <c r="O375">
        <v>565.26499999999999</v>
      </c>
      <c r="P375">
        <v>565.26499999999999</v>
      </c>
    </row>
    <row r="376" spans="1:16" x14ac:dyDescent="0.35">
      <c r="A376">
        <v>376</v>
      </c>
      <c r="B376" t="s">
        <v>63</v>
      </c>
      <c r="C376" t="s">
        <v>62</v>
      </c>
      <c r="D376" t="s">
        <v>66</v>
      </c>
      <c r="E376" t="s">
        <v>70</v>
      </c>
      <c r="F376">
        <v>0</v>
      </c>
      <c r="G376">
        <v>13800</v>
      </c>
      <c r="H376">
        <v>3</v>
      </c>
      <c r="I376" t="s">
        <v>67</v>
      </c>
      <c r="J376">
        <v>6</v>
      </c>
      <c r="K376" t="s">
        <v>13</v>
      </c>
      <c r="L376" t="s">
        <v>43</v>
      </c>
      <c r="M376" t="s">
        <v>23</v>
      </c>
      <c r="N376" s="25">
        <v>39987</v>
      </c>
      <c r="O376">
        <v>127.25700000000001</v>
      </c>
      <c r="P376">
        <v>127.25700000000001</v>
      </c>
    </row>
    <row r="377" spans="1:16" x14ac:dyDescent="0.35">
      <c r="A377">
        <v>377</v>
      </c>
      <c r="B377" t="s">
        <v>64</v>
      </c>
      <c r="C377" t="s">
        <v>61</v>
      </c>
      <c r="D377" t="s">
        <v>58</v>
      </c>
      <c r="E377" t="s">
        <v>70</v>
      </c>
      <c r="F377">
        <v>1</v>
      </c>
      <c r="G377">
        <v>60300</v>
      </c>
      <c r="H377">
        <v>0</v>
      </c>
      <c r="I377" t="s">
        <v>69</v>
      </c>
      <c r="J377">
        <v>24</v>
      </c>
      <c r="K377" t="s">
        <v>14</v>
      </c>
      <c r="L377" t="s">
        <v>40</v>
      </c>
      <c r="M377" t="s">
        <v>36</v>
      </c>
      <c r="N377" s="25">
        <v>42194</v>
      </c>
      <c r="O377">
        <v>1263.126</v>
      </c>
      <c r="P377">
        <v>1263.126</v>
      </c>
    </row>
    <row r="378" spans="1:16" x14ac:dyDescent="0.35">
      <c r="A378">
        <v>378</v>
      </c>
      <c r="B378" t="s">
        <v>63</v>
      </c>
      <c r="C378" t="s">
        <v>61</v>
      </c>
      <c r="D378" t="s">
        <v>58</v>
      </c>
      <c r="E378" t="s">
        <v>70</v>
      </c>
      <c r="F378">
        <v>1</v>
      </c>
      <c r="G378">
        <v>31500</v>
      </c>
      <c r="H378">
        <v>3</v>
      </c>
      <c r="I378" t="s">
        <v>67</v>
      </c>
      <c r="J378">
        <v>18</v>
      </c>
      <c r="K378" t="s">
        <v>15</v>
      </c>
      <c r="L378" t="s">
        <v>42</v>
      </c>
      <c r="M378" t="s">
        <v>32</v>
      </c>
      <c r="N378" s="25">
        <v>40824</v>
      </c>
      <c r="O378">
        <v>269.30399999999997</v>
      </c>
      <c r="P378">
        <v>269.30399999999997</v>
      </c>
    </row>
    <row r="379" spans="1:16" x14ac:dyDescent="0.35">
      <c r="A379">
        <v>379</v>
      </c>
      <c r="B379" t="s">
        <v>65</v>
      </c>
      <c r="C379" t="s">
        <v>62</v>
      </c>
      <c r="D379" t="s">
        <v>58</v>
      </c>
      <c r="E379" t="s">
        <v>2</v>
      </c>
      <c r="F379">
        <v>1</v>
      </c>
      <c r="G379">
        <v>111500</v>
      </c>
      <c r="H379">
        <v>0</v>
      </c>
      <c r="I379" t="s">
        <v>69</v>
      </c>
      <c r="J379">
        <v>18</v>
      </c>
      <c r="K379" t="s">
        <v>14</v>
      </c>
      <c r="L379" t="s">
        <v>51</v>
      </c>
      <c r="M379" t="s">
        <v>38</v>
      </c>
      <c r="N379" s="25">
        <v>40617</v>
      </c>
      <c r="O379">
        <v>2510.02</v>
      </c>
      <c r="P379">
        <v>2510.02</v>
      </c>
    </row>
    <row r="380" spans="1:16" x14ac:dyDescent="0.35">
      <c r="A380">
        <v>380</v>
      </c>
      <c r="B380" t="s">
        <v>64</v>
      </c>
      <c r="C380" t="s">
        <v>61</v>
      </c>
      <c r="D380" t="s">
        <v>58</v>
      </c>
      <c r="E380" t="s">
        <v>70</v>
      </c>
      <c r="F380">
        <v>1</v>
      </c>
      <c r="G380">
        <v>67900</v>
      </c>
      <c r="H380">
        <v>0</v>
      </c>
      <c r="I380" t="s">
        <v>69</v>
      </c>
      <c r="J380">
        <v>18</v>
      </c>
      <c r="K380" t="s">
        <v>14</v>
      </c>
      <c r="L380" t="s">
        <v>49</v>
      </c>
      <c r="M380" t="s">
        <v>39</v>
      </c>
      <c r="N380" s="25">
        <v>42179</v>
      </c>
      <c r="O380">
        <v>1418.346</v>
      </c>
      <c r="P380">
        <v>1418.346</v>
      </c>
    </row>
    <row r="381" spans="1:16" x14ac:dyDescent="0.35">
      <c r="A381">
        <v>381</v>
      </c>
      <c r="B381" t="s">
        <v>63</v>
      </c>
      <c r="C381" t="s">
        <v>61</v>
      </c>
      <c r="D381" t="s">
        <v>66</v>
      </c>
      <c r="E381" t="s">
        <v>70</v>
      </c>
      <c r="F381">
        <v>1</v>
      </c>
      <c r="G381">
        <v>29200</v>
      </c>
      <c r="H381">
        <v>0</v>
      </c>
      <c r="I381" t="s">
        <v>67</v>
      </c>
      <c r="J381">
        <v>18</v>
      </c>
      <c r="K381" t="s">
        <v>12</v>
      </c>
      <c r="L381" t="s">
        <v>54</v>
      </c>
      <c r="M381" t="s">
        <v>21</v>
      </c>
      <c r="N381" s="25">
        <v>41261</v>
      </c>
      <c r="O381">
        <v>737.4</v>
      </c>
      <c r="P381">
        <v>737.4</v>
      </c>
    </row>
    <row r="382" spans="1:16" x14ac:dyDescent="0.35">
      <c r="A382">
        <v>382</v>
      </c>
      <c r="B382" t="s">
        <v>65</v>
      </c>
      <c r="C382" t="s">
        <v>61</v>
      </c>
      <c r="D382" t="s">
        <v>58</v>
      </c>
      <c r="E382" t="s">
        <v>2</v>
      </c>
      <c r="F382">
        <v>1</v>
      </c>
      <c r="G382">
        <v>84500</v>
      </c>
      <c r="H382">
        <v>0</v>
      </c>
      <c r="I382" t="s">
        <v>8</v>
      </c>
      <c r="J382">
        <v>12</v>
      </c>
      <c r="K382" t="s">
        <v>13</v>
      </c>
      <c r="L382" t="s">
        <v>45</v>
      </c>
      <c r="M382" t="s">
        <v>26</v>
      </c>
      <c r="N382" s="25">
        <v>42226</v>
      </c>
      <c r="O382">
        <v>1557.0250000000001</v>
      </c>
      <c r="P382">
        <v>1557.0250000000001</v>
      </c>
    </row>
    <row r="383" spans="1:16" x14ac:dyDescent="0.35">
      <c r="A383">
        <v>383</v>
      </c>
      <c r="B383" t="s">
        <v>64</v>
      </c>
      <c r="C383" t="s">
        <v>61</v>
      </c>
      <c r="D383" t="s">
        <v>58</v>
      </c>
      <c r="E383" t="s">
        <v>2</v>
      </c>
      <c r="F383">
        <v>1</v>
      </c>
      <c r="G383">
        <v>84700</v>
      </c>
      <c r="H383">
        <v>3</v>
      </c>
      <c r="I383" t="s">
        <v>8</v>
      </c>
      <c r="J383">
        <v>24</v>
      </c>
      <c r="K383" t="s">
        <v>15</v>
      </c>
      <c r="L383" t="s">
        <v>42</v>
      </c>
      <c r="M383" t="s">
        <v>32</v>
      </c>
      <c r="N383" s="25">
        <v>42109</v>
      </c>
      <c r="O383">
        <v>2704.53</v>
      </c>
      <c r="P383">
        <v>2704.53</v>
      </c>
    </row>
    <row r="384" spans="1:16" x14ac:dyDescent="0.35">
      <c r="A384">
        <v>384</v>
      </c>
      <c r="B384" t="s">
        <v>63</v>
      </c>
      <c r="C384" t="s">
        <v>61</v>
      </c>
      <c r="D384" t="s">
        <v>66</v>
      </c>
      <c r="E384" t="s">
        <v>2</v>
      </c>
      <c r="F384">
        <v>0</v>
      </c>
      <c r="G384">
        <v>67300</v>
      </c>
      <c r="H384">
        <v>3</v>
      </c>
      <c r="I384" t="s">
        <v>8</v>
      </c>
      <c r="J384">
        <v>6</v>
      </c>
      <c r="K384" t="s">
        <v>15</v>
      </c>
      <c r="L384" t="s">
        <v>42</v>
      </c>
      <c r="M384" t="s">
        <v>32</v>
      </c>
      <c r="N384" s="25">
        <v>42203</v>
      </c>
      <c r="O384">
        <v>1211.953</v>
      </c>
      <c r="P384">
        <v>1211.953</v>
      </c>
    </row>
    <row r="385" spans="1:16" x14ac:dyDescent="0.35">
      <c r="A385">
        <v>385</v>
      </c>
      <c r="B385" t="s">
        <v>64</v>
      </c>
      <c r="C385" t="s">
        <v>61</v>
      </c>
      <c r="D385" t="s">
        <v>66</v>
      </c>
      <c r="E385" t="s">
        <v>70</v>
      </c>
      <c r="F385">
        <v>0</v>
      </c>
      <c r="G385">
        <v>51100</v>
      </c>
      <c r="H385">
        <v>0</v>
      </c>
      <c r="I385" t="s">
        <v>69</v>
      </c>
      <c r="J385">
        <v>24</v>
      </c>
      <c r="K385" t="s">
        <v>12</v>
      </c>
      <c r="L385" t="s">
        <v>47</v>
      </c>
      <c r="M385" t="s">
        <v>18</v>
      </c>
      <c r="N385" s="25">
        <v>41202</v>
      </c>
      <c r="O385">
        <v>1983.5609999999999</v>
      </c>
      <c r="P385">
        <v>1983.5609999999999</v>
      </c>
    </row>
    <row r="386" spans="1:16" x14ac:dyDescent="0.35">
      <c r="A386">
        <v>386</v>
      </c>
      <c r="B386" t="s">
        <v>63</v>
      </c>
      <c r="C386" t="s">
        <v>61</v>
      </c>
      <c r="D386" t="s">
        <v>66</v>
      </c>
      <c r="E386" t="s">
        <v>70</v>
      </c>
      <c r="F386">
        <v>1</v>
      </c>
      <c r="G386">
        <v>23500</v>
      </c>
      <c r="H386">
        <v>0</v>
      </c>
      <c r="I386" t="s">
        <v>67</v>
      </c>
      <c r="J386">
        <v>12</v>
      </c>
      <c r="K386" t="s">
        <v>12</v>
      </c>
      <c r="L386" t="s">
        <v>47</v>
      </c>
      <c r="M386" t="s">
        <v>16</v>
      </c>
      <c r="N386" s="25">
        <v>41323</v>
      </c>
      <c r="O386">
        <v>371.30500000000001</v>
      </c>
      <c r="P386">
        <v>371.30500000000001</v>
      </c>
    </row>
    <row r="387" spans="1:16" x14ac:dyDescent="0.35">
      <c r="A387">
        <v>387</v>
      </c>
      <c r="B387" t="s">
        <v>63</v>
      </c>
      <c r="C387" t="s">
        <v>61</v>
      </c>
      <c r="D387" t="s">
        <v>66</v>
      </c>
      <c r="E387" t="s">
        <v>70</v>
      </c>
      <c r="F387">
        <v>1</v>
      </c>
      <c r="G387">
        <v>21300</v>
      </c>
      <c r="H387">
        <v>1</v>
      </c>
      <c r="I387" t="s">
        <v>8</v>
      </c>
      <c r="J387">
        <v>12</v>
      </c>
      <c r="K387" t="s">
        <v>12</v>
      </c>
      <c r="L387" t="s">
        <v>55</v>
      </c>
      <c r="M387" t="s">
        <v>17</v>
      </c>
      <c r="N387" s="25">
        <v>42102</v>
      </c>
      <c r="O387">
        <v>329.13400000000001</v>
      </c>
      <c r="P387">
        <v>329.13400000000001</v>
      </c>
    </row>
    <row r="388" spans="1:16" x14ac:dyDescent="0.35">
      <c r="A388">
        <v>388</v>
      </c>
      <c r="B388" t="s">
        <v>64</v>
      </c>
      <c r="C388" t="s">
        <v>61</v>
      </c>
      <c r="D388" t="s">
        <v>58</v>
      </c>
      <c r="E388" t="s">
        <v>2</v>
      </c>
      <c r="F388">
        <v>1</v>
      </c>
      <c r="G388">
        <v>90100</v>
      </c>
      <c r="H388">
        <v>0</v>
      </c>
      <c r="I388" t="s">
        <v>69</v>
      </c>
      <c r="J388">
        <v>18</v>
      </c>
      <c r="K388" t="s">
        <v>13</v>
      </c>
      <c r="L388" t="s">
        <v>46</v>
      </c>
      <c r="M388" t="s">
        <v>22</v>
      </c>
      <c r="N388" s="25">
        <v>41687</v>
      </c>
      <c r="O388">
        <v>1956.2809999999999</v>
      </c>
      <c r="P388">
        <v>1956.2809999999999</v>
      </c>
    </row>
    <row r="389" spans="1:16" x14ac:dyDescent="0.35">
      <c r="A389">
        <v>389</v>
      </c>
      <c r="B389" t="s">
        <v>64</v>
      </c>
      <c r="C389" t="s">
        <v>61</v>
      </c>
      <c r="D389" t="s">
        <v>58</v>
      </c>
      <c r="E389" t="s">
        <v>2</v>
      </c>
      <c r="F389">
        <v>0</v>
      </c>
      <c r="G389">
        <v>84300</v>
      </c>
      <c r="H389">
        <v>2</v>
      </c>
      <c r="I389" t="s">
        <v>69</v>
      </c>
      <c r="J389">
        <v>18</v>
      </c>
      <c r="K389" t="s">
        <v>15</v>
      </c>
      <c r="L389" t="s">
        <v>42</v>
      </c>
      <c r="M389" t="s">
        <v>32</v>
      </c>
      <c r="N389" s="25">
        <v>40910</v>
      </c>
      <c r="O389">
        <v>1648.4369999999999</v>
      </c>
      <c r="P389">
        <v>1648.4369999999999</v>
      </c>
    </row>
    <row r="390" spans="1:16" x14ac:dyDescent="0.35">
      <c r="A390">
        <v>390</v>
      </c>
      <c r="B390" t="s">
        <v>63</v>
      </c>
      <c r="C390" t="s">
        <v>62</v>
      </c>
      <c r="D390" t="s">
        <v>66</v>
      </c>
      <c r="E390" t="s">
        <v>70</v>
      </c>
      <c r="F390">
        <v>0</v>
      </c>
      <c r="G390">
        <v>13200</v>
      </c>
      <c r="H390">
        <v>0</v>
      </c>
      <c r="I390" t="s">
        <v>8</v>
      </c>
      <c r="J390">
        <v>18</v>
      </c>
      <c r="K390" t="s">
        <v>13</v>
      </c>
      <c r="L390" t="s">
        <v>42</v>
      </c>
      <c r="M390" t="s">
        <v>25</v>
      </c>
      <c r="N390" s="25">
        <v>42079</v>
      </c>
      <c r="O390">
        <v>511.76100000000002</v>
      </c>
      <c r="P390">
        <v>511.76100000000002</v>
      </c>
    </row>
    <row r="391" spans="1:16" x14ac:dyDescent="0.35">
      <c r="A391">
        <v>391</v>
      </c>
      <c r="B391" t="s">
        <v>63</v>
      </c>
      <c r="C391" t="s">
        <v>62</v>
      </c>
      <c r="D391" t="s">
        <v>66</v>
      </c>
      <c r="E391" t="s">
        <v>70</v>
      </c>
      <c r="F391">
        <v>1</v>
      </c>
      <c r="G391">
        <v>22100</v>
      </c>
      <c r="H391">
        <v>2</v>
      </c>
      <c r="I391" t="s">
        <v>67</v>
      </c>
      <c r="J391">
        <v>18</v>
      </c>
      <c r="K391" t="s">
        <v>14</v>
      </c>
      <c r="L391" t="s">
        <v>51</v>
      </c>
      <c r="M391" t="s">
        <v>38</v>
      </c>
      <c r="N391" s="25">
        <v>40507</v>
      </c>
      <c r="O391">
        <v>280.38099999999997</v>
      </c>
      <c r="P391">
        <v>280.38099999999997</v>
      </c>
    </row>
    <row r="392" spans="1:16" x14ac:dyDescent="0.35">
      <c r="A392">
        <v>392</v>
      </c>
      <c r="B392" t="s">
        <v>64</v>
      </c>
      <c r="C392" t="s">
        <v>61</v>
      </c>
      <c r="D392" t="s">
        <v>58</v>
      </c>
      <c r="E392" t="s">
        <v>2</v>
      </c>
      <c r="F392">
        <v>1</v>
      </c>
      <c r="G392">
        <v>53700</v>
      </c>
      <c r="H392">
        <v>1</v>
      </c>
      <c r="I392" t="s">
        <v>8</v>
      </c>
      <c r="J392">
        <v>12</v>
      </c>
      <c r="K392" t="s">
        <v>12</v>
      </c>
      <c r="L392" t="s">
        <v>47</v>
      </c>
      <c r="M392" t="s">
        <v>16</v>
      </c>
      <c r="N392" s="25">
        <v>42077</v>
      </c>
      <c r="O392">
        <v>1080.982</v>
      </c>
      <c r="P392">
        <v>1080.982</v>
      </c>
    </row>
    <row r="393" spans="1:16" x14ac:dyDescent="0.35">
      <c r="A393">
        <v>393</v>
      </c>
      <c r="B393" t="s">
        <v>64</v>
      </c>
      <c r="C393" t="s">
        <v>61</v>
      </c>
      <c r="D393" t="s">
        <v>66</v>
      </c>
      <c r="E393" t="s">
        <v>70</v>
      </c>
      <c r="F393">
        <v>0</v>
      </c>
      <c r="G393">
        <v>38700</v>
      </c>
      <c r="H393">
        <v>1</v>
      </c>
      <c r="I393" t="s">
        <v>68</v>
      </c>
      <c r="J393">
        <v>18</v>
      </c>
      <c r="K393" t="s">
        <v>12</v>
      </c>
      <c r="L393" t="s">
        <v>47</v>
      </c>
      <c r="M393" t="s">
        <v>16</v>
      </c>
      <c r="N393" s="25">
        <v>40332</v>
      </c>
      <c r="O393">
        <v>1009.45</v>
      </c>
      <c r="P393">
        <v>1009.45</v>
      </c>
    </row>
    <row r="394" spans="1:16" x14ac:dyDescent="0.35">
      <c r="A394">
        <v>394</v>
      </c>
      <c r="B394" t="s">
        <v>64</v>
      </c>
      <c r="C394" t="s">
        <v>62</v>
      </c>
      <c r="D394" t="s">
        <v>58</v>
      </c>
      <c r="E394" t="s">
        <v>70</v>
      </c>
      <c r="F394">
        <v>1</v>
      </c>
      <c r="G394">
        <v>35200</v>
      </c>
      <c r="H394">
        <v>2</v>
      </c>
      <c r="I394" t="s">
        <v>67</v>
      </c>
      <c r="J394">
        <v>6</v>
      </c>
      <c r="K394" t="s">
        <v>14</v>
      </c>
      <c r="L394" t="s">
        <v>40</v>
      </c>
      <c r="M394" t="s">
        <v>37</v>
      </c>
      <c r="N394" s="25">
        <v>40535</v>
      </c>
      <c r="O394">
        <v>232.88200000000001</v>
      </c>
      <c r="P394">
        <v>232.88200000000001</v>
      </c>
    </row>
    <row r="395" spans="1:16" x14ac:dyDescent="0.35">
      <c r="A395">
        <v>395</v>
      </c>
      <c r="B395" t="s">
        <v>64</v>
      </c>
      <c r="C395" t="s">
        <v>61</v>
      </c>
      <c r="D395" t="s">
        <v>58</v>
      </c>
      <c r="E395" t="s">
        <v>2</v>
      </c>
      <c r="F395">
        <v>0</v>
      </c>
      <c r="G395">
        <v>113300</v>
      </c>
      <c r="H395">
        <v>1</v>
      </c>
      <c r="I395" t="s">
        <v>69</v>
      </c>
      <c r="J395">
        <v>18</v>
      </c>
      <c r="K395" t="s">
        <v>12</v>
      </c>
      <c r="L395" t="s">
        <v>53</v>
      </c>
      <c r="M395" t="s">
        <v>19</v>
      </c>
      <c r="N395" s="25">
        <v>41290</v>
      </c>
      <c r="O395">
        <v>5151.4309999999996</v>
      </c>
      <c r="P395">
        <v>3500</v>
      </c>
    </row>
    <row r="396" spans="1:16" x14ac:dyDescent="0.35">
      <c r="A396">
        <v>396</v>
      </c>
      <c r="B396" t="s">
        <v>64</v>
      </c>
      <c r="C396" t="s">
        <v>61</v>
      </c>
      <c r="D396" t="s">
        <v>66</v>
      </c>
      <c r="E396" t="s">
        <v>2</v>
      </c>
      <c r="F396">
        <v>1</v>
      </c>
      <c r="G396">
        <v>105600</v>
      </c>
      <c r="H396">
        <v>3</v>
      </c>
      <c r="I396" t="s">
        <v>67</v>
      </c>
      <c r="J396">
        <v>6</v>
      </c>
      <c r="K396" t="s">
        <v>14</v>
      </c>
      <c r="L396" t="s">
        <v>50</v>
      </c>
      <c r="M396" t="s">
        <v>35</v>
      </c>
      <c r="N396" s="25">
        <v>42044</v>
      </c>
      <c r="O396">
        <v>304.20100000000002</v>
      </c>
      <c r="P396">
        <v>304.20100000000002</v>
      </c>
    </row>
    <row r="397" spans="1:16" x14ac:dyDescent="0.35">
      <c r="A397">
        <v>397</v>
      </c>
      <c r="B397" t="s">
        <v>65</v>
      </c>
      <c r="C397" t="s">
        <v>62</v>
      </c>
      <c r="D397" t="s">
        <v>58</v>
      </c>
      <c r="E397" t="s">
        <v>2</v>
      </c>
      <c r="F397">
        <v>1</v>
      </c>
      <c r="G397">
        <v>74700</v>
      </c>
      <c r="H397">
        <v>0</v>
      </c>
      <c r="I397" t="s">
        <v>69</v>
      </c>
      <c r="J397">
        <v>12</v>
      </c>
      <c r="K397" t="s">
        <v>15</v>
      </c>
      <c r="L397" t="s">
        <v>44</v>
      </c>
      <c r="M397" t="s">
        <v>29</v>
      </c>
      <c r="N397" s="25">
        <v>40794</v>
      </c>
      <c r="O397">
        <v>1698.873</v>
      </c>
      <c r="P397">
        <v>1698.873</v>
      </c>
    </row>
    <row r="398" spans="1:16" x14ac:dyDescent="0.35">
      <c r="A398">
        <v>398</v>
      </c>
      <c r="B398" t="s">
        <v>64</v>
      </c>
      <c r="C398" t="s">
        <v>62</v>
      </c>
      <c r="D398" t="s">
        <v>58</v>
      </c>
      <c r="E398" t="s">
        <v>70</v>
      </c>
      <c r="F398">
        <v>1</v>
      </c>
      <c r="G398">
        <v>60200</v>
      </c>
      <c r="H398">
        <v>1</v>
      </c>
      <c r="I398" t="s">
        <v>8</v>
      </c>
      <c r="J398">
        <v>12</v>
      </c>
      <c r="K398" t="s">
        <v>15</v>
      </c>
      <c r="L398" t="s">
        <v>44</v>
      </c>
      <c r="M398" t="s">
        <v>29</v>
      </c>
      <c r="N398" s="25">
        <v>42063</v>
      </c>
      <c r="O398">
        <v>1747.789</v>
      </c>
      <c r="P398">
        <v>1747.789</v>
      </c>
    </row>
    <row r="399" spans="1:16" x14ac:dyDescent="0.35">
      <c r="A399">
        <v>399</v>
      </c>
      <c r="B399" t="s">
        <v>63</v>
      </c>
      <c r="C399" t="s">
        <v>62</v>
      </c>
      <c r="D399" t="s">
        <v>66</v>
      </c>
      <c r="E399" t="s">
        <v>70</v>
      </c>
      <c r="F399">
        <v>1</v>
      </c>
      <c r="G399">
        <v>12000</v>
      </c>
      <c r="H399">
        <v>0</v>
      </c>
      <c r="I399" t="s">
        <v>67</v>
      </c>
      <c r="J399">
        <v>24</v>
      </c>
      <c r="K399" t="s">
        <v>13</v>
      </c>
      <c r="L399" t="s">
        <v>48</v>
      </c>
      <c r="M399" t="s">
        <v>27</v>
      </c>
      <c r="N399" s="25">
        <v>41135</v>
      </c>
      <c r="O399">
        <v>343.80399999999997</v>
      </c>
      <c r="P399">
        <v>343.80399999999997</v>
      </c>
    </row>
    <row r="400" spans="1:16" x14ac:dyDescent="0.35">
      <c r="A400">
        <v>400</v>
      </c>
      <c r="B400" t="s">
        <v>63</v>
      </c>
      <c r="C400" t="s">
        <v>62</v>
      </c>
      <c r="D400" t="s">
        <v>66</v>
      </c>
      <c r="E400" t="s">
        <v>70</v>
      </c>
      <c r="F400">
        <v>1</v>
      </c>
      <c r="G400">
        <v>16700</v>
      </c>
      <c r="H400">
        <v>2</v>
      </c>
      <c r="I400" t="s">
        <v>67</v>
      </c>
      <c r="J400">
        <v>12</v>
      </c>
      <c r="K400" t="s">
        <v>12</v>
      </c>
      <c r="L400" t="s">
        <v>47</v>
      </c>
      <c r="M400" t="s">
        <v>16</v>
      </c>
      <c r="N400" s="25">
        <v>40009</v>
      </c>
      <c r="O400">
        <v>108.051</v>
      </c>
      <c r="P400">
        <v>108.051</v>
      </c>
    </row>
    <row r="401" spans="1:16" x14ac:dyDescent="0.35">
      <c r="A401">
        <v>401</v>
      </c>
      <c r="B401" t="s">
        <v>64</v>
      </c>
      <c r="C401" t="s">
        <v>62</v>
      </c>
      <c r="D401" t="s">
        <v>58</v>
      </c>
      <c r="E401" t="s">
        <v>70</v>
      </c>
      <c r="F401">
        <v>1</v>
      </c>
      <c r="G401">
        <v>46100</v>
      </c>
      <c r="H401">
        <v>2</v>
      </c>
      <c r="I401" t="s">
        <v>67</v>
      </c>
      <c r="J401">
        <v>12</v>
      </c>
      <c r="K401" t="s">
        <v>15</v>
      </c>
      <c r="L401" t="s">
        <v>28</v>
      </c>
      <c r="M401" t="s">
        <v>28</v>
      </c>
      <c r="N401" s="25">
        <v>41420</v>
      </c>
      <c r="O401">
        <v>418.435</v>
      </c>
      <c r="P401">
        <v>418.435</v>
      </c>
    </row>
    <row r="402" spans="1:16" x14ac:dyDescent="0.35">
      <c r="A402">
        <v>402</v>
      </c>
      <c r="B402" t="s">
        <v>64</v>
      </c>
      <c r="C402" t="s">
        <v>61</v>
      </c>
      <c r="D402" t="s">
        <v>58</v>
      </c>
      <c r="E402" t="s">
        <v>2</v>
      </c>
      <c r="F402">
        <v>0</v>
      </c>
      <c r="G402">
        <v>103700</v>
      </c>
      <c r="H402">
        <v>1</v>
      </c>
      <c r="I402" t="s">
        <v>69</v>
      </c>
      <c r="J402">
        <v>24</v>
      </c>
      <c r="K402" t="s">
        <v>14</v>
      </c>
      <c r="L402" t="s">
        <v>40</v>
      </c>
      <c r="M402" t="s">
        <v>37</v>
      </c>
      <c r="N402" s="25">
        <v>41926</v>
      </c>
      <c r="O402">
        <v>2338.933</v>
      </c>
      <c r="P402">
        <v>2338.933</v>
      </c>
    </row>
    <row r="403" spans="1:16" x14ac:dyDescent="0.35">
      <c r="A403">
        <v>403</v>
      </c>
      <c r="B403" t="s">
        <v>64</v>
      </c>
      <c r="C403" t="s">
        <v>61</v>
      </c>
      <c r="D403" t="s">
        <v>66</v>
      </c>
      <c r="E403" t="s">
        <v>70</v>
      </c>
      <c r="F403">
        <v>1</v>
      </c>
      <c r="G403">
        <v>63800</v>
      </c>
      <c r="H403">
        <v>1</v>
      </c>
      <c r="I403" t="s">
        <v>68</v>
      </c>
      <c r="J403">
        <v>24</v>
      </c>
      <c r="K403" t="s">
        <v>12</v>
      </c>
      <c r="L403" t="s">
        <v>55</v>
      </c>
      <c r="M403" t="s">
        <v>17</v>
      </c>
      <c r="N403" s="25">
        <v>41066</v>
      </c>
      <c r="O403">
        <v>1621.6320000000001</v>
      </c>
      <c r="P403">
        <v>1621.6320000000001</v>
      </c>
    </row>
    <row r="404" spans="1:16" x14ac:dyDescent="0.35">
      <c r="A404">
        <v>404</v>
      </c>
      <c r="B404" t="s">
        <v>64</v>
      </c>
      <c r="C404" t="s">
        <v>62</v>
      </c>
      <c r="D404" t="s">
        <v>58</v>
      </c>
      <c r="E404" t="s">
        <v>2</v>
      </c>
      <c r="F404">
        <v>1</v>
      </c>
      <c r="G404">
        <v>65400</v>
      </c>
      <c r="H404">
        <v>2</v>
      </c>
      <c r="I404" t="s">
        <v>68</v>
      </c>
      <c r="J404">
        <v>24</v>
      </c>
      <c r="K404" t="s">
        <v>12</v>
      </c>
      <c r="L404" t="s">
        <v>47</v>
      </c>
      <c r="M404" t="s">
        <v>18</v>
      </c>
      <c r="N404" s="25">
        <v>41656</v>
      </c>
      <c r="O404">
        <v>937.76199999999994</v>
      </c>
      <c r="P404">
        <v>937.76199999999994</v>
      </c>
    </row>
    <row r="405" spans="1:16" x14ac:dyDescent="0.35">
      <c r="A405">
        <v>405</v>
      </c>
      <c r="B405" t="s">
        <v>64</v>
      </c>
      <c r="C405" t="s">
        <v>61</v>
      </c>
      <c r="D405" t="s">
        <v>58</v>
      </c>
      <c r="E405" t="s">
        <v>70</v>
      </c>
      <c r="F405">
        <v>1</v>
      </c>
      <c r="G405">
        <v>49900</v>
      </c>
      <c r="H405">
        <v>1</v>
      </c>
      <c r="I405" t="s">
        <v>8</v>
      </c>
      <c r="J405">
        <v>24</v>
      </c>
      <c r="K405" t="s">
        <v>15</v>
      </c>
      <c r="L405" t="s">
        <v>52</v>
      </c>
      <c r="M405" t="s">
        <v>30</v>
      </c>
      <c r="N405" s="25">
        <v>42199</v>
      </c>
      <c r="O405">
        <v>1630.84</v>
      </c>
      <c r="P405">
        <v>1630.84</v>
      </c>
    </row>
    <row r="406" spans="1:16" x14ac:dyDescent="0.35">
      <c r="A406">
        <v>406</v>
      </c>
      <c r="B406" t="s">
        <v>64</v>
      </c>
      <c r="C406" t="s">
        <v>61</v>
      </c>
      <c r="D406" t="s">
        <v>58</v>
      </c>
      <c r="E406" t="s">
        <v>2</v>
      </c>
      <c r="F406">
        <v>1</v>
      </c>
      <c r="G406">
        <v>64300</v>
      </c>
      <c r="H406">
        <v>2</v>
      </c>
      <c r="I406" t="s">
        <v>68</v>
      </c>
      <c r="J406">
        <v>6</v>
      </c>
      <c r="K406" t="s">
        <v>15</v>
      </c>
      <c r="L406" t="s">
        <v>28</v>
      </c>
      <c r="M406" t="s">
        <v>33</v>
      </c>
      <c r="N406" s="25">
        <v>40518</v>
      </c>
      <c r="O406">
        <v>661.11900000000003</v>
      </c>
      <c r="P406">
        <v>661.11900000000003</v>
      </c>
    </row>
    <row r="407" spans="1:16" x14ac:dyDescent="0.35">
      <c r="A407">
        <v>407</v>
      </c>
      <c r="B407" t="s">
        <v>64</v>
      </c>
      <c r="C407" t="s">
        <v>61</v>
      </c>
      <c r="D407" t="s">
        <v>58</v>
      </c>
      <c r="E407" t="s">
        <v>70</v>
      </c>
      <c r="F407">
        <v>0</v>
      </c>
      <c r="G407">
        <v>59600</v>
      </c>
      <c r="H407">
        <v>2</v>
      </c>
      <c r="I407" t="s">
        <v>68</v>
      </c>
      <c r="J407">
        <v>18</v>
      </c>
      <c r="K407" t="s">
        <v>13</v>
      </c>
      <c r="L407" t="s">
        <v>56</v>
      </c>
      <c r="M407" t="s">
        <v>24</v>
      </c>
      <c r="N407" s="25">
        <v>42169</v>
      </c>
      <c r="O407">
        <v>1216.682</v>
      </c>
      <c r="P407">
        <v>1216.682</v>
      </c>
    </row>
    <row r="408" spans="1:16" x14ac:dyDescent="0.35">
      <c r="A408">
        <v>408</v>
      </c>
      <c r="B408" t="s">
        <v>64</v>
      </c>
      <c r="C408" t="s">
        <v>62</v>
      </c>
      <c r="D408" t="s">
        <v>58</v>
      </c>
      <c r="E408" t="s">
        <v>70</v>
      </c>
      <c r="F408">
        <v>1</v>
      </c>
      <c r="G408">
        <v>45100</v>
      </c>
      <c r="H408">
        <v>1</v>
      </c>
      <c r="I408" t="s">
        <v>68</v>
      </c>
      <c r="J408">
        <v>12</v>
      </c>
      <c r="K408" t="s">
        <v>13</v>
      </c>
      <c r="L408" t="s">
        <v>42</v>
      </c>
      <c r="M408" t="s">
        <v>25</v>
      </c>
      <c r="N408" s="25">
        <v>40932</v>
      </c>
      <c r="O408">
        <v>448.39400000000001</v>
      </c>
      <c r="P408">
        <v>448.39400000000001</v>
      </c>
    </row>
    <row r="409" spans="1:16" x14ac:dyDescent="0.35">
      <c r="A409">
        <v>409</v>
      </c>
      <c r="B409" t="s">
        <v>64</v>
      </c>
      <c r="C409" t="s">
        <v>62</v>
      </c>
      <c r="D409" t="s">
        <v>66</v>
      </c>
      <c r="E409" t="s">
        <v>70</v>
      </c>
      <c r="F409">
        <v>1</v>
      </c>
      <c r="G409">
        <v>39900</v>
      </c>
      <c r="H409">
        <v>1</v>
      </c>
      <c r="I409" t="s">
        <v>67</v>
      </c>
      <c r="J409">
        <v>12</v>
      </c>
      <c r="K409" t="s">
        <v>12</v>
      </c>
      <c r="L409" t="s">
        <v>47</v>
      </c>
      <c r="M409" t="s">
        <v>18</v>
      </c>
      <c r="N409" s="25">
        <v>40980</v>
      </c>
      <c r="O409">
        <v>586.30999999999995</v>
      </c>
      <c r="P409">
        <v>586.30999999999995</v>
      </c>
    </row>
    <row r="410" spans="1:16" x14ac:dyDescent="0.35">
      <c r="A410">
        <v>410</v>
      </c>
      <c r="B410" t="s">
        <v>63</v>
      </c>
      <c r="C410" t="s">
        <v>61</v>
      </c>
      <c r="D410" t="s">
        <v>58</v>
      </c>
      <c r="E410" t="s">
        <v>70</v>
      </c>
      <c r="F410">
        <v>1</v>
      </c>
      <c r="G410">
        <v>33400</v>
      </c>
      <c r="H410">
        <v>0</v>
      </c>
      <c r="I410" t="s">
        <v>8</v>
      </c>
      <c r="J410">
        <v>12</v>
      </c>
      <c r="K410" t="s">
        <v>15</v>
      </c>
      <c r="L410" t="s">
        <v>42</v>
      </c>
      <c r="M410" t="s">
        <v>32</v>
      </c>
      <c r="N410" s="25">
        <v>42035</v>
      </c>
      <c r="O410">
        <v>567.13400000000001</v>
      </c>
      <c r="P410">
        <v>567.13400000000001</v>
      </c>
    </row>
    <row r="411" spans="1:16" x14ac:dyDescent="0.35">
      <c r="A411">
        <v>411</v>
      </c>
      <c r="B411" t="s">
        <v>64</v>
      </c>
      <c r="C411" t="s">
        <v>61</v>
      </c>
      <c r="D411" t="s">
        <v>58</v>
      </c>
      <c r="E411" t="s">
        <v>2</v>
      </c>
      <c r="F411">
        <v>1</v>
      </c>
      <c r="G411">
        <v>99600</v>
      </c>
      <c r="H411">
        <v>1</v>
      </c>
      <c r="I411" t="s">
        <v>69</v>
      </c>
      <c r="J411">
        <v>6</v>
      </c>
      <c r="K411" t="s">
        <v>12</v>
      </c>
      <c r="L411" t="s">
        <v>54</v>
      </c>
      <c r="M411" t="s">
        <v>21</v>
      </c>
      <c r="N411" s="25">
        <v>40057</v>
      </c>
      <c r="O411">
        <v>871.49099999999999</v>
      </c>
      <c r="P411">
        <v>871.49099999999999</v>
      </c>
    </row>
    <row r="412" spans="1:16" x14ac:dyDescent="0.35">
      <c r="A412">
        <v>412</v>
      </c>
      <c r="B412" t="s">
        <v>64</v>
      </c>
      <c r="C412" t="s">
        <v>61</v>
      </c>
      <c r="D412" t="s">
        <v>58</v>
      </c>
      <c r="E412" t="s">
        <v>70</v>
      </c>
      <c r="F412">
        <v>1</v>
      </c>
      <c r="G412">
        <v>58400</v>
      </c>
      <c r="H412">
        <v>0</v>
      </c>
      <c r="I412" t="s">
        <v>68</v>
      </c>
      <c r="J412">
        <v>12</v>
      </c>
      <c r="K412" t="s">
        <v>12</v>
      </c>
      <c r="L412" t="s">
        <v>47</v>
      </c>
      <c r="M412" t="s">
        <v>18</v>
      </c>
      <c r="N412" s="25">
        <v>41189</v>
      </c>
      <c r="O412">
        <v>829.33299999999997</v>
      </c>
      <c r="P412">
        <v>829.33299999999997</v>
      </c>
    </row>
    <row r="413" spans="1:16" x14ac:dyDescent="0.35">
      <c r="A413">
        <v>413</v>
      </c>
      <c r="B413" t="s">
        <v>64</v>
      </c>
      <c r="C413" t="s">
        <v>61</v>
      </c>
      <c r="D413" t="s">
        <v>66</v>
      </c>
      <c r="E413" t="s">
        <v>70</v>
      </c>
      <c r="F413">
        <v>1</v>
      </c>
      <c r="G413">
        <v>35100</v>
      </c>
      <c r="H413">
        <v>1</v>
      </c>
      <c r="I413" t="s">
        <v>67</v>
      </c>
      <c r="J413">
        <v>6</v>
      </c>
      <c r="K413" t="s">
        <v>13</v>
      </c>
      <c r="L413" t="s">
        <v>45</v>
      </c>
      <c r="M413" t="s">
        <v>26</v>
      </c>
      <c r="N413" s="25">
        <v>39949</v>
      </c>
      <c r="O413">
        <v>421.024</v>
      </c>
      <c r="P413">
        <v>421.024</v>
      </c>
    </row>
    <row r="414" spans="1:16" x14ac:dyDescent="0.35">
      <c r="A414">
        <v>414</v>
      </c>
      <c r="B414" t="s">
        <v>65</v>
      </c>
      <c r="C414" t="s">
        <v>61</v>
      </c>
      <c r="D414" t="s">
        <v>58</v>
      </c>
      <c r="E414" t="s">
        <v>70</v>
      </c>
      <c r="F414">
        <v>1</v>
      </c>
      <c r="G414">
        <v>53400</v>
      </c>
      <c r="H414">
        <v>1</v>
      </c>
      <c r="I414" t="s">
        <v>68</v>
      </c>
      <c r="J414">
        <v>12</v>
      </c>
      <c r="K414" t="s">
        <v>13</v>
      </c>
      <c r="L414" t="s">
        <v>45</v>
      </c>
      <c r="M414" t="s">
        <v>26</v>
      </c>
      <c r="N414" s="25">
        <v>40521</v>
      </c>
      <c r="O414">
        <v>885.89700000000005</v>
      </c>
      <c r="P414">
        <v>885.89700000000005</v>
      </c>
    </row>
    <row r="415" spans="1:16" x14ac:dyDescent="0.35">
      <c r="A415">
        <v>415</v>
      </c>
      <c r="B415" t="s">
        <v>64</v>
      </c>
      <c r="C415" t="s">
        <v>61</v>
      </c>
      <c r="D415" t="s">
        <v>58</v>
      </c>
      <c r="E415" t="s">
        <v>70</v>
      </c>
      <c r="F415">
        <v>1</v>
      </c>
      <c r="G415">
        <v>61600</v>
      </c>
      <c r="H415">
        <v>0</v>
      </c>
      <c r="I415" t="s">
        <v>8</v>
      </c>
      <c r="J415">
        <v>18</v>
      </c>
      <c r="K415" t="s">
        <v>13</v>
      </c>
      <c r="L415" t="s">
        <v>45</v>
      </c>
      <c r="M415" t="s">
        <v>26</v>
      </c>
      <c r="N415" s="25">
        <v>42057</v>
      </c>
      <c r="O415">
        <v>1666.471</v>
      </c>
      <c r="P415">
        <v>1666.471</v>
      </c>
    </row>
    <row r="416" spans="1:16" x14ac:dyDescent="0.35">
      <c r="A416">
        <v>416</v>
      </c>
      <c r="B416" t="s">
        <v>63</v>
      </c>
      <c r="C416" t="s">
        <v>62</v>
      </c>
      <c r="D416" t="s">
        <v>58</v>
      </c>
      <c r="E416" t="s">
        <v>70</v>
      </c>
      <c r="F416">
        <v>0</v>
      </c>
      <c r="G416">
        <v>21400</v>
      </c>
      <c r="H416">
        <v>3</v>
      </c>
      <c r="I416" t="s">
        <v>8</v>
      </c>
      <c r="J416">
        <v>6</v>
      </c>
      <c r="K416" t="s">
        <v>12</v>
      </c>
      <c r="L416" t="s">
        <v>47</v>
      </c>
      <c r="M416" t="s">
        <v>16</v>
      </c>
      <c r="N416" s="25">
        <v>42102</v>
      </c>
      <c r="O416">
        <v>326.3</v>
      </c>
      <c r="P416">
        <v>326.3</v>
      </c>
    </row>
    <row r="417" spans="1:16" x14ac:dyDescent="0.35">
      <c r="A417">
        <v>417</v>
      </c>
      <c r="B417" t="s">
        <v>63</v>
      </c>
      <c r="C417" t="s">
        <v>62</v>
      </c>
      <c r="D417" t="s">
        <v>66</v>
      </c>
      <c r="E417" t="s">
        <v>70</v>
      </c>
      <c r="F417">
        <v>0</v>
      </c>
      <c r="G417">
        <v>20000</v>
      </c>
      <c r="H417">
        <v>3</v>
      </c>
      <c r="I417" t="s">
        <v>67</v>
      </c>
      <c r="J417">
        <v>6</v>
      </c>
      <c r="K417" t="s">
        <v>12</v>
      </c>
      <c r="L417" t="s">
        <v>41</v>
      </c>
      <c r="M417" t="s">
        <v>20</v>
      </c>
      <c r="N417" s="25">
        <v>40077</v>
      </c>
      <c r="O417">
        <v>182.43199999999999</v>
      </c>
      <c r="P417">
        <v>182.43199999999999</v>
      </c>
    </row>
    <row r="418" spans="1:16" x14ac:dyDescent="0.35">
      <c r="A418">
        <v>418</v>
      </c>
      <c r="B418" t="s">
        <v>65</v>
      </c>
      <c r="C418" t="s">
        <v>62</v>
      </c>
      <c r="D418" t="s">
        <v>58</v>
      </c>
      <c r="E418" t="s">
        <v>70</v>
      </c>
      <c r="F418">
        <v>0</v>
      </c>
      <c r="G418">
        <v>32700</v>
      </c>
      <c r="H418">
        <v>0</v>
      </c>
      <c r="I418" t="s">
        <v>68</v>
      </c>
      <c r="J418">
        <v>24</v>
      </c>
      <c r="K418" t="s">
        <v>15</v>
      </c>
      <c r="L418" t="s">
        <v>42</v>
      </c>
      <c r="M418" t="s">
        <v>32</v>
      </c>
      <c r="N418" s="25">
        <v>40866</v>
      </c>
      <c r="O418">
        <v>1251.7909999999999</v>
      </c>
      <c r="P418">
        <v>1251.7909999999999</v>
      </c>
    </row>
    <row r="419" spans="1:16" x14ac:dyDescent="0.35">
      <c r="A419">
        <v>419</v>
      </c>
      <c r="B419" t="s">
        <v>64</v>
      </c>
      <c r="C419" t="s">
        <v>62</v>
      </c>
      <c r="D419" t="s">
        <v>58</v>
      </c>
      <c r="E419" t="s">
        <v>2</v>
      </c>
      <c r="F419">
        <v>0</v>
      </c>
      <c r="G419">
        <v>99200</v>
      </c>
      <c r="H419">
        <v>0</v>
      </c>
      <c r="I419" t="s">
        <v>69</v>
      </c>
      <c r="J419">
        <v>24</v>
      </c>
      <c r="K419" t="s">
        <v>13</v>
      </c>
      <c r="L419" t="s">
        <v>56</v>
      </c>
      <c r="M419" t="s">
        <v>24</v>
      </c>
      <c r="N419" s="25">
        <v>41269</v>
      </c>
      <c r="O419">
        <v>5503.3950000000004</v>
      </c>
      <c r="P419">
        <v>3500</v>
      </c>
    </row>
    <row r="420" spans="1:16" x14ac:dyDescent="0.35">
      <c r="A420">
        <v>420</v>
      </c>
      <c r="B420" t="s">
        <v>64</v>
      </c>
      <c r="C420" t="s">
        <v>61</v>
      </c>
      <c r="D420" t="s">
        <v>58</v>
      </c>
      <c r="E420" t="s">
        <v>2</v>
      </c>
      <c r="F420">
        <v>1</v>
      </c>
      <c r="G420">
        <v>109600</v>
      </c>
      <c r="H420">
        <v>1</v>
      </c>
      <c r="I420" t="s">
        <v>69</v>
      </c>
      <c r="J420">
        <v>12</v>
      </c>
      <c r="K420" t="s">
        <v>14</v>
      </c>
      <c r="L420" t="s">
        <v>50</v>
      </c>
      <c r="M420" t="s">
        <v>35</v>
      </c>
      <c r="N420" s="25">
        <v>42052</v>
      </c>
      <c r="O420">
        <v>2317.5540000000001</v>
      </c>
      <c r="P420">
        <v>2317.5540000000001</v>
      </c>
    </row>
    <row r="421" spans="1:16" x14ac:dyDescent="0.35">
      <c r="A421">
        <v>421</v>
      </c>
      <c r="B421" t="s">
        <v>65</v>
      </c>
      <c r="C421" t="s">
        <v>62</v>
      </c>
      <c r="D421" t="s">
        <v>58</v>
      </c>
      <c r="E421" t="s">
        <v>2</v>
      </c>
      <c r="F421">
        <v>0</v>
      </c>
      <c r="G421">
        <v>22800</v>
      </c>
      <c r="H421">
        <v>0</v>
      </c>
      <c r="I421" t="s">
        <v>8</v>
      </c>
      <c r="J421">
        <v>12</v>
      </c>
      <c r="K421" t="s">
        <v>15</v>
      </c>
      <c r="L421" t="s">
        <v>42</v>
      </c>
      <c r="M421" t="s">
        <v>32</v>
      </c>
      <c r="N421" s="25">
        <v>42062</v>
      </c>
      <c r="O421">
        <v>451.779</v>
      </c>
      <c r="P421">
        <v>451.779</v>
      </c>
    </row>
    <row r="422" spans="1:16" x14ac:dyDescent="0.35">
      <c r="A422">
        <v>422</v>
      </c>
      <c r="B422" t="s">
        <v>65</v>
      </c>
      <c r="C422" t="s">
        <v>61</v>
      </c>
      <c r="D422" t="s">
        <v>58</v>
      </c>
      <c r="E422" t="s">
        <v>2</v>
      </c>
      <c r="F422">
        <v>0</v>
      </c>
      <c r="G422">
        <v>76900</v>
      </c>
      <c r="H422">
        <v>2</v>
      </c>
      <c r="I422" t="s">
        <v>69</v>
      </c>
      <c r="J422">
        <v>24</v>
      </c>
      <c r="K422" t="s">
        <v>15</v>
      </c>
      <c r="L422" t="s">
        <v>52</v>
      </c>
      <c r="M422" t="s">
        <v>31</v>
      </c>
      <c r="N422" s="25">
        <v>41103</v>
      </c>
      <c r="O422">
        <v>3229.5010000000002</v>
      </c>
      <c r="P422">
        <v>3229.5010000000002</v>
      </c>
    </row>
    <row r="423" spans="1:16" x14ac:dyDescent="0.35">
      <c r="A423">
        <v>423</v>
      </c>
      <c r="B423" t="s">
        <v>64</v>
      </c>
      <c r="C423" t="s">
        <v>62</v>
      </c>
      <c r="D423" t="s">
        <v>66</v>
      </c>
      <c r="E423" t="s">
        <v>2</v>
      </c>
      <c r="F423">
        <v>1</v>
      </c>
      <c r="G423">
        <v>97400</v>
      </c>
      <c r="H423">
        <v>3</v>
      </c>
      <c r="I423" t="s">
        <v>67</v>
      </c>
      <c r="J423">
        <v>6</v>
      </c>
      <c r="K423" t="s">
        <v>15</v>
      </c>
      <c r="L423" t="s">
        <v>42</v>
      </c>
      <c r="M423" t="s">
        <v>32</v>
      </c>
      <c r="N423" s="25">
        <v>41565</v>
      </c>
      <c r="O423">
        <v>212.709</v>
      </c>
      <c r="P423">
        <v>212.709</v>
      </c>
    </row>
    <row r="424" spans="1:16" x14ac:dyDescent="0.35">
      <c r="A424">
        <v>424</v>
      </c>
      <c r="B424" t="s">
        <v>64</v>
      </c>
      <c r="C424" t="s">
        <v>61</v>
      </c>
      <c r="D424" t="s">
        <v>66</v>
      </c>
      <c r="E424" t="s">
        <v>70</v>
      </c>
      <c r="F424">
        <v>1</v>
      </c>
      <c r="G424">
        <v>43700</v>
      </c>
      <c r="H424">
        <v>0</v>
      </c>
      <c r="I424" t="s">
        <v>8</v>
      </c>
      <c r="J424">
        <v>18</v>
      </c>
      <c r="K424" t="s">
        <v>12</v>
      </c>
      <c r="L424" t="s">
        <v>53</v>
      </c>
      <c r="M424" t="s">
        <v>19</v>
      </c>
      <c r="N424" s="25">
        <v>42101</v>
      </c>
      <c r="O424">
        <v>1343.6469999999999</v>
      </c>
      <c r="P424">
        <v>1343.6469999999999</v>
      </c>
    </row>
    <row r="425" spans="1:16" x14ac:dyDescent="0.35">
      <c r="A425">
        <v>425</v>
      </c>
      <c r="B425" t="s">
        <v>64</v>
      </c>
      <c r="C425" t="s">
        <v>62</v>
      </c>
      <c r="D425" t="s">
        <v>58</v>
      </c>
      <c r="E425" t="s">
        <v>70</v>
      </c>
      <c r="F425">
        <v>1</v>
      </c>
      <c r="G425">
        <v>49600</v>
      </c>
      <c r="H425">
        <v>1</v>
      </c>
      <c r="I425" t="s">
        <v>68</v>
      </c>
      <c r="J425">
        <v>12</v>
      </c>
      <c r="K425" t="s">
        <v>13</v>
      </c>
      <c r="L425" t="s">
        <v>45</v>
      </c>
      <c r="M425" t="s">
        <v>26</v>
      </c>
      <c r="N425" s="25">
        <v>42232</v>
      </c>
      <c r="O425">
        <v>844.452</v>
      </c>
      <c r="P425">
        <v>844.452</v>
      </c>
    </row>
    <row r="426" spans="1:16" x14ac:dyDescent="0.35">
      <c r="A426">
        <v>426</v>
      </c>
      <c r="B426" t="s">
        <v>65</v>
      </c>
      <c r="C426" t="s">
        <v>61</v>
      </c>
      <c r="D426" t="s">
        <v>58</v>
      </c>
      <c r="E426" t="s">
        <v>70</v>
      </c>
      <c r="F426">
        <v>1</v>
      </c>
      <c r="G426">
        <v>71300</v>
      </c>
      <c r="H426">
        <v>0</v>
      </c>
      <c r="I426" t="s">
        <v>69</v>
      </c>
      <c r="J426">
        <v>18</v>
      </c>
      <c r="K426" t="s">
        <v>12</v>
      </c>
      <c r="L426" t="s">
        <v>53</v>
      </c>
      <c r="M426" t="s">
        <v>19</v>
      </c>
      <c r="N426" s="25">
        <v>41067</v>
      </c>
      <c r="O426">
        <v>1542.5650000000001</v>
      </c>
      <c r="P426">
        <v>1542.5650000000001</v>
      </c>
    </row>
    <row r="427" spans="1:16" x14ac:dyDescent="0.35">
      <c r="A427">
        <v>427</v>
      </c>
      <c r="B427" t="s">
        <v>65</v>
      </c>
      <c r="C427" t="s">
        <v>62</v>
      </c>
      <c r="D427" t="s">
        <v>58</v>
      </c>
      <c r="E427" t="s">
        <v>2</v>
      </c>
      <c r="F427">
        <v>1</v>
      </c>
      <c r="G427">
        <v>10100</v>
      </c>
      <c r="H427">
        <v>1</v>
      </c>
      <c r="I427" t="s">
        <v>67</v>
      </c>
      <c r="J427">
        <v>6</v>
      </c>
      <c r="K427" t="s">
        <v>12</v>
      </c>
      <c r="L427" t="s">
        <v>54</v>
      </c>
      <c r="M427" t="s">
        <v>21</v>
      </c>
      <c r="N427" s="25">
        <v>40305</v>
      </c>
      <c r="O427">
        <v>93.447999999999993</v>
      </c>
      <c r="P427">
        <v>93.447999999999993</v>
      </c>
    </row>
    <row r="428" spans="1:16" x14ac:dyDescent="0.35">
      <c r="A428">
        <v>428</v>
      </c>
      <c r="B428" t="s">
        <v>64</v>
      </c>
      <c r="C428" t="s">
        <v>62</v>
      </c>
      <c r="D428" t="s">
        <v>58</v>
      </c>
      <c r="E428" t="s">
        <v>70</v>
      </c>
      <c r="F428">
        <v>1</v>
      </c>
      <c r="G428">
        <v>35800</v>
      </c>
      <c r="H428">
        <v>1</v>
      </c>
      <c r="I428" t="s">
        <v>8</v>
      </c>
      <c r="J428">
        <v>24</v>
      </c>
      <c r="K428" t="s">
        <v>13</v>
      </c>
      <c r="L428" t="s">
        <v>56</v>
      </c>
      <c r="M428" t="s">
        <v>24</v>
      </c>
      <c r="N428" s="25">
        <v>42185</v>
      </c>
      <c r="O428">
        <v>1355.154</v>
      </c>
      <c r="P428">
        <v>1355.154</v>
      </c>
    </row>
    <row r="429" spans="1:16" x14ac:dyDescent="0.35">
      <c r="A429">
        <v>429</v>
      </c>
      <c r="B429" t="s">
        <v>64</v>
      </c>
      <c r="C429" t="s">
        <v>61</v>
      </c>
      <c r="D429" t="s">
        <v>58</v>
      </c>
      <c r="E429" t="s">
        <v>2</v>
      </c>
      <c r="F429">
        <v>1</v>
      </c>
      <c r="G429">
        <v>113000</v>
      </c>
      <c r="H429">
        <v>2</v>
      </c>
      <c r="I429" t="s">
        <v>68</v>
      </c>
      <c r="J429">
        <v>18</v>
      </c>
      <c r="K429" t="s">
        <v>13</v>
      </c>
      <c r="L429" t="s">
        <v>48</v>
      </c>
      <c r="M429" t="s">
        <v>27</v>
      </c>
      <c r="N429" s="25">
        <v>41805</v>
      </c>
      <c r="O429">
        <v>1554.1210000000001</v>
      </c>
      <c r="P429">
        <v>1554.1210000000001</v>
      </c>
    </row>
    <row r="430" spans="1:16" x14ac:dyDescent="0.35">
      <c r="A430">
        <v>430</v>
      </c>
      <c r="B430" t="s">
        <v>63</v>
      </c>
      <c r="C430" t="s">
        <v>62</v>
      </c>
      <c r="D430" t="s">
        <v>66</v>
      </c>
      <c r="E430" t="s">
        <v>70</v>
      </c>
      <c r="F430">
        <v>0</v>
      </c>
      <c r="G430">
        <v>23200</v>
      </c>
      <c r="H430">
        <v>2</v>
      </c>
      <c r="I430" t="s">
        <v>8</v>
      </c>
      <c r="J430">
        <v>24</v>
      </c>
      <c r="K430" t="s">
        <v>15</v>
      </c>
      <c r="L430" t="s">
        <v>28</v>
      </c>
      <c r="M430" t="s">
        <v>33</v>
      </c>
      <c r="N430" s="25">
        <v>42034</v>
      </c>
      <c r="O430">
        <v>787.61699999999996</v>
      </c>
      <c r="P430">
        <v>787.61699999999996</v>
      </c>
    </row>
    <row r="431" spans="1:16" x14ac:dyDescent="0.35">
      <c r="A431">
        <v>431</v>
      </c>
      <c r="B431" t="s">
        <v>64</v>
      </c>
      <c r="C431" t="s">
        <v>61</v>
      </c>
      <c r="D431" t="s">
        <v>66</v>
      </c>
      <c r="E431" t="s">
        <v>2</v>
      </c>
      <c r="F431">
        <v>1</v>
      </c>
      <c r="G431">
        <v>88500</v>
      </c>
      <c r="H431">
        <v>2</v>
      </c>
      <c r="I431" t="s">
        <v>68</v>
      </c>
      <c r="J431">
        <v>24</v>
      </c>
      <c r="K431" t="s">
        <v>13</v>
      </c>
      <c r="L431" t="s">
        <v>46</v>
      </c>
      <c r="M431" t="s">
        <v>22</v>
      </c>
      <c r="N431" s="25">
        <v>41806</v>
      </c>
      <c r="O431">
        <v>1103.825</v>
      </c>
      <c r="P431">
        <v>1103.825</v>
      </c>
    </row>
    <row r="432" spans="1:16" x14ac:dyDescent="0.35">
      <c r="A432">
        <v>432</v>
      </c>
      <c r="B432" t="s">
        <v>64</v>
      </c>
      <c r="C432" t="s">
        <v>61</v>
      </c>
      <c r="D432" t="s">
        <v>58</v>
      </c>
      <c r="E432" t="s">
        <v>2</v>
      </c>
      <c r="F432">
        <v>1</v>
      </c>
      <c r="G432">
        <v>96900</v>
      </c>
      <c r="H432">
        <v>1</v>
      </c>
      <c r="I432" t="s">
        <v>69</v>
      </c>
      <c r="J432">
        <v>12</v>
      </c>
      <c r="K432" t="s">
        <v>15</v>
      </c>
      <c r="L432" t="s">
        <v>28</v>
      </c>
      <c r="M432" t="s">
        <v>33</v>
      </c>
      <c r="N432" s="25">
        <v>41429</v>
      </c>
      <c r="O432">
        <v>1419.508</v>
      </c>
      <c r="P432">
        <v>1419.508</v>
      </c>
    </row>
    <row r="433" spans="1:16" x14ac:dyDescent="0.35">
      <c r="A433">
        <v>433</v>
      </c>
      <c r="B433" t="s">
        <v>63</v>
      </c>
      <c r="C433" t="s">
        <v>62</v>
      </c>
      <c r="D433" t="s">
        <v>66</v>
      </c>
      <c r="E433" t="s">
        <v>70</v>
      </c>
      <c r="F433">
        <v>1</v>
      </c>
      <c r="G433">
        <v>22000</v>
      </c>
      <c r="H433">
        <v>1</v>
      </c>
      <c r="I433" t="s">
        <v>67</v>
      </c>
      <c r="J433">
        <v>12</v>
      </c>
      <c r="K433" t="s">
        <v>12</v>
      </c>
      <c r="L433" t="s">
        <v>47</v>
      </c>
      <c r="M433" t="s">
        <v>16</v>
      </c>
      <c r="N433" s="25">
        <v>40979</v>
      </c>
      <c r="O433">
        <v>471.72500000000002</v>
      </c>
      <c r="P433">
        <v>471.72500000000002</v>
      </c>
    </row>
    <row r="434" spans="1:16" x14ac:dyDescent="0.35">
      <c r="A434">
        <v>434</v>
      </c>
      <c r="B434" t="s">
        <v>64</v>
      </c>
      <c r="C434" t="s">
        <v>62</v>
      </c>
      <c r="D434" t="s">
        <v>66</v>
      </c>
      <c r="E434" t="s">
        <v>2</v>
      </c>
      <c r="F434">
        <v>1</v>
      </c>
      <c r="G434">
        <v>81400</v>
      </c>
      <c r="H434">
        <v>2</v>
      </c>
      <c r="I434" t="s">
        <v>8</v>
      </c>
      <c r="J434">
        <v>6</v>
      </c>
      <c r="K434" t="s">
        <v>15</v>
      </c>
      <c r="L434" t="s">
        <v>28</v>
      </c>
      <c r="M434" t="s">
        <v>28</v>
      </c>
      <c r="N434" s="25">
        <v>42088</v>
      </c>
      <c r="O434">
        <v>1014.335</v>
      </c>
      <c r="P434">
        <v>1014.335</v>
      </c>
    </row>
    <row r="435" spans="1:16" x14ac:dyDescent="0.35">
      <c r="A435">
        <v>435</v>
      </c>
      <c r="B435" t="s">
        <v>65</v>
      </c>
      <c r="C435" t="s">
        <v>62</v>
      </c>
      <c r="D435" t="s">
        <v>58</v>
      </c>
      <c r="E435" t="s">
        <v>2</v>
      </c>
      <c r="F435">
        <v>1</v>
      </c>
      <c r="G435">
        <v>114800</v>
      </c>
      <c r="H435">
        <v>0</v>
      </c>
      <c r="I435" t="s">
        <v>69</v>
      </c>
      <c r="J435">
        <v>18</v>
      </c>
      <c r="K435" t="s">
        <v>13</v>
      </c>
      <c r="L435" t="s">
        <v>45</v>
      </c>
      <c r="M435" t="s">
        <v>26</v>
      </c>
      <c r="N435" s="25">
        <v>40789</v>
      </c>
      <c r="O435">
        <v>3596.4960000000001</v>
      </c>
      <c r="P435">
        <v>3500</v>
      </c>
    </row>
    <row r="436" spans="1:16" x14ac:dyDescent="0.35">
      <c r="A436">
        <v>436</v>
      </c>
      <c r="B436" t="s">
        <v>64</v>
      </c>
      <c r="C436" t="s">
        <v>62</v>
      </c>
      <c r="D436" t="s">
        <v>58</v>
      </c>
      <c r="E436" t="s">
        <v>2</v>
      </c>
      <c r="F436">
        <v>1</v>
      </c>
      <c r="G436">
        <v>79900</v>
      </c>
      <c r="H436">
        <v>3</v>
      </c>
      <c r="I436" t="s">
        <v>67</v>
      </c>
      <c r="J436">
        <v>12</v>
      </c>
      <c r="K436" t="s">
        <v>14</v>
      </c>
      <c r="L436" t="s">
        <v>51</v>
      </c>
      <c r="M436" t="s">
        <v>38</v>
      </c>
      <c r="N436" s="25">
        <v>41443</v>
      </c>
      <c r="O436">
        <v>294.76100000000002</v>
      </c>
      <c r="P436">
        <v>294.76100000000002</v>
      </c>
    </row>
    <row r="437" spans="1:16" x14ac:dyDescent="0.35">
      <c r="A437">
        <v>437</v>
      </c>
      <c r="B437" t="s">
        <v>64</v>
      </c>
      <c r="C437" t="s">
        <v>61</v>
      </c>
      <c r="D437" t="s">
        <v>58</v>
      </c>
      <c r="E437" t="s">
        <v>2</v>
      </c>
      <c r="F437">
        <v>1</v>
      </c>
      <c r="G437">
        <v>107400</v>
      </c>
      <c r="H437">
        <v>1</v>
      </c>
      <c r="I437" t="s">
        <v>69</v>
      </c>
      <c r="J437">
        <v>24</v>
      </c>
      <c r="K437" t="s">
        <v>15</v>
      </c>
      <c r="L437" t="s">
        <v>52</v>
      </c>
      <c r="M437" t="s">
        <v>30</v>
      </c>
      <c r="N437" s="25">
        <v>41117</v>
      </c>
      <c r="O437">
        <v>1821.345</v>
      </c>
      <c r="P437">
        <v>1821.345</v>
      </c>
    </row>
    <row r="438" spans="1:16" x14ac:dyDescent="0.35">
      <c r="A438">
        <v>438</v>
      </c>
      <c r="B438" t="s">
        <v>65</v>
      </c>
      <c r="C438" t="s">
        <v>62</v>
      </c>
      <c r="D438" t="s">
        <v>58</v>
      </c>
      <c r="E438" t="s">
        <v>2</v>
      </c>
      <c r="F438">
        <v>0</v>
      </c>
      <c r="G438">
        <v>78800</v>
      </c>
      <c r="H438">
        <v>0</v>
      </c>
      <c r="I438" t="s">
        <v>69</v>
      </c>
      <c r="J438">
        <v>18</v>
      </c>
      <c r="K438" t="s">
        <v>14</v>
      </c>
      <c r="L438" t="s">
        <v>50</v>
      </c>
      <c r="M438" t="s">
        <v>34</v>
      </c>
      <c r="N438" s="25">
        <v>41665</v>
      </c>
      <c r="O438">
        <v>3397.7919999999999</v>
      </c>
      <c r="P438">
        <v>3397.7919999999999</v>
      </c>
    </row>
    <row r="439" spans="1:16" x14ac:dyDescent="0.35">
      <c r="A439">
        <v>439</v>
      </c>
      <c r="B439" t="s">
        <v>64</v>
      </c>
      <c r="C439" t="s">
        <v>61</v>
      </c>
      <c r="D439" t="s">
        <v>66</v>
      </c>
      <c r="E439" t="s">
        <v>2</v>
      </c>
      <c r="F439">
        <v>0</v>
      </c>
      <c r="G439">
        <v>124800</v>
      </c>
      <c r="H439">
        <v>3</v>
      </c>
      <c r="I439" t="s">
        <v>69</v>
      </c>
      <c r="J439">
        <v>18</v>
      </c>
      <c r="K439" t="s">
        <v>14</v>
      </c>
      <c r="L439" t="s">
        <v>50</v>
      </c>
      <c r="M439" t="s">
        <v>34</v>
      </c>
      <c r="N439" s="25">
        <v>40286</v>
      </c>
      <c r="O439">
        <v>2536.6849999999999</v>
      </c>
      <c r="P439">
        <v>2536.6849999999999</v>
      </c>
    </row>
    <row r="440" spans="1:16" x14ac:dyDescent="0.35">
      <c r="A440">
        <v>440</v>
      </c>
      <c r="B440" t="s">
        <v>63</v>
      </c>
      <c r="C440" t="s">
        <v>62</v>
      </c>
      <c r="D440" t="s">
        <v>66</v>
      </c>
      <c r="E440" t="s">
        <v>2</v>
      </c>
      <c r="F440">
        <v>1</v>
      </c>
      <c r="G440">
        <v>36900</v>
      </c>
      <c r="H440">
        <v>1</v>
      </c>
      <c r="I440" t="s">
        <v>8</v>
      </c>
      <c r="J440">
        <v>18</v>
      </c>
      <c r="K440" t="s">
        <v>14</v>
      </c>
      <c r="L440" t="s">
        <v>51</v>
      </c>
      <c r="M440" t="s">
        <v>38</v>
      </c>
      <c r="N440" s="25">
        <v>42191</v>
      </c>
      <c r="O440">
        <v>1480.2829999999999</v>
      </c>
      <c r="P440">
        <v>1480.2829999999999</v>
      </c>
    </row>
    <row r="441" spans="1:16" x14ac:dyDescent="0.35">
      <c r="A441">
        <v>441</v>
      </c>
      <c r="B441" t="s">
        <v>63</v>
      </c>
      <c r="C441" t="s">
        <v>62</v>
      </c>
      <c r="D441" t="s">
        <v>66</v>
      </c>
      <c r="E441" t="s">
        <v>70</v>
      </c>
      <c r="F441">
        <v>0</v>
      </c>
      <c r="G441">
        <v>12800</v>
      </c>
      <c r="H441">
        <v>1</v>
      </c>
      <c r="I441" t="s">
        <v>8</v>
      </c>
      <c r="J441">
        <v>24</v>
      </c>
      <c r="K441" t="s">
        <v>13</v>
      </c>
      <c r="L441" t="s">
        <v>56</v>
      </c>
      <c r="M441" t="s">
        <v>24</v>
      </c>
      <c r="N441" s="25">
        <v>42239</v>
      </c>
      <c r="O441">
        <v>365.48599999999999</v>
      </c>
      <c r="P441">
        <v>365.48599999999999</v>
      </c>
    </row>
    <row r="442" spans="1:16" x14ac:dyDescent="0.35">
      <c r="A442">
        <v>442</v>
      </c>
      <c r="B442" t="s">
        <v>64</v>
      </c>
      <c r="C442" t="s">
        <v>62</v>
      </c>
      <c r="D442" t="s">
        <v>58</v>
      </c>
      <c r="E442" t="s">
        <v>70</v>
      </c>
      <c r="F442">
        <v>1</v>
      </c>
      <c r="G442">
        <v>65800</v>
      </c>
      <c r="H442">
        <v>1</v>
      </c>
      <c r="I442" t="s">
        <v>68</v>
      </c>
      <c r="J442">
        <v>12</v>
      </c>
      <c r="K442" t="s">
        <v>14</v>
      </c>
      <c r="L442" t="s">
        <v>51</v>
      </c>
      <c r="M442" t="s">
        <v>38</v>
      </c>
      <c r="N442" s="25">
        <v>40405</v>
      </c>
      <c r="O442">
        <v>868.524</v>
      </c>
      <c r="P442">
        <v>868.524</v>
      </c>
    </row>
    <row r="443" spans="1:16" x14ac:dyDescent="0.35">
      <c r="A443">
        <v>443</v>
      </c>
      <c r="B443" t="s">
        <v>63</v>
      </c>
      <c r="C443" t="s">
        <v>61</v>
      </c>
      <c r="D443" t="s">
        <v>58</v>
      </c>
      <c r="E443" t="s">
        <v>70</v>
      </c>
      <c r="F443">
        <v>1</v>
      </c>
      <c r="G443">
        <v>20900</v>
      </c>
      <c r="H443">
        <v>0</v>
      </c>
      <c r="I443" t="s">
        <v>67</v>
      </c>
      <c r="J443">
        <v>24</v>
      </c>
      <c r="K443" t="s">
        <v>14</v>
      </c>
      <c r="L443" t="s">
        <v>50</v>
      </c>
      <c r="M443" t="s">
        <v>34</v>
      </c>
      <c r="N443" s="25">
        <v>40923</v>
      </c>
      <c r="O443">
        <v>550.07299999999998</v>
      </c>
      <c r="P443">
        <v>550.07299999999998</v>
      </c>
    </row>
    <row r="444" spans="1:16" x14ac:dyDescent="0.35">
      <c r="A444">
        <v>444</v>
      </c>
      <c r="B444" t="s">
        <v>64</v>
      </c>
      <c r="C444" t="s">
        <v>61</v>
      </c>
      <c r="D444" t="s">
        <v>58</v>
      </c>
      <c r="E444" t="s">
        <v>70</v>
      </c>
      <c r="F444">
        <v>0</v>
      </c>
      <c r="G444">
        <v>49700</v>
      </c>
      <c r="H444">
        <v>0</v>
      </c>
      <c r="I444" t="s">
        <v>69</v>
      </c>
      <c r="J444">
        <v>24</v>
      </c>
      <c r="K444" t="s">
        <v>15</v>
      </c>
      <c r="L444" t="s">
        <v>28</v>
      </c>
      <c r="M444" t="s">
        <v>33</v>
      </c>
      <c r="N444" s="25">
        <v>41105</v>
      </c>
      <c r="O444">
        <v>2844.3090000000002</v>
      </c>
      <c r="P444">
        <v>2844.3090000000002</v>
      </c>
    </row>
    <row r="445" spans="1:16" x14ac:dyDescent="0.35">
      <c r="A445">
        <v>445</v>
      </c>
      <c r="B445" t="s">
        <v>65</v>
      </c>
      <c r="C445" t="s">
        <v>62</v>
      </c>
      <c r="D445" t="s">
        <v>58</v>
      </c>
      <c r="E445" t="s">
        <v>70</v>
      </c>
      <c r="F445">
        <v>1</v>
      </c>
      <c r="G445">
        <v>25500</v>
      </c>
      <c r="H445">
        <v>0</v>
      </c>
      <c r="I445" t="s">
        <v>67</v>
      </c>
      <c r="J445">
        <v>18</v>
      </c>
      <c r="K445" t="s">
        <v>13</v>
      </c>
      <c r="L445" t="s">
        <v>45</v>
      </c>
      <c r="M445" t="s">
        <v>26</v>
      </c>
      <c r="N445" s="25">
        <v>41235</v>
      </c>
      <c r="O445">
        <v>635.81299999999999</v>
      </c>
      <c r="P445">
        <v>635.81299999999999</v>
      </c>
    </row>
    <row r="446" spans="1:16" x14ac:dyDescent="0.35">
      <c r="A446">
        <v>446</v>
      </c>
      <c r="B446" t="s">
        <v>65</v>
      </c>
      <c r="C446" t="s">
        <v>62</v>
      </c>
      <c r="D446" t="s">
        <v>58</v>
      </c>
      <c r="E446" t="s">
        <v>70</v>
      </c>
      <c r="F446">
        <v>1</v>
      </c>
      <c r="G446">
        <v>20600</v>
      </c>
      <c r="H446">
        <v>0</v>
      </c>
      <c r="I446" t="s">
        <v>67</v>
      </c>
      <c r="J446">
        <v>6</v>
      </c>
      <c r="K446" t="s">
        <v>14</v>
      </c>
      <c r="L446" t="s">
        <v>40</v>
      </c>
      <c r="M446" t="s">
        <v>37</v>
      </c>
      <c r="N446" s="25">
        <v>41307</v>
      </c>
      <c r="O446">
        <v>201.00200000000001</v>
      </c>
      <c r="P446">
        <v>201.00200000000001</v>
      </c>
    </row>
    <row r="447" spans="1:16" x14ac:dyDescent="0.35">
      <c r="A447">
        <v>447</v>
      </c>
      <c r="B447" t="s">
        <v>65</v>
      </c>
      <c r="C447" t="s">
        <v>61</v>
      </c>
      <c r="D447" t="s">
        <v>58</v>
      </c>
      <c r="E447" t="s">
        <v>2</v>
      </c>
      <c r="F447">
        <v>1</v>
      </c>
      <c r="G447">
        <v>84300</v>
      </c>
      <c r="H447">
        <v>0</v>
      </c>
      <c r="I447" t="s">
        <v>69</v>
      </c>
      <c r="J447">
        <v>24</v>
      </c>
      <c r="K447" t="s">
        <v>13</v>
      </c>
      <c r="L447" t="s">
        <v>43</v>
      </c>
      <c r="M447" t="s">
        <v>23</v>
      </c>
      <c r="N447" s="25">
        <v>41238</v>
      </c>
      <c r="O447">
        <v>2841.8220000000001</v>
      </c>
      <c r="P447">
        <v>2841.8220000000001</v>
      </c>
    </row>
    <row r="448" spans="1:16" x14ac:dyDescent="0.35">
      <c r="A448">
        <v>448</v>
      </c>
      <c r="B448" t="s">
        <v>64</v>
      </c>
      <c r="C448" t="s">
        <v>62</v>
      </c>
      <c r="D448" t="s">
        <v>66</v>
      </c>
      <c r="E448" t="s">
        <v>70</v>
      </c>
      <c r="F448">
        <v>0</v>
      </c>
      <c r="G448">
        <v>31200</v>
      </c>
      <c r="H448">
        <v>3</v>
      </c>
      <c r="I448" t="s">
        <v>8</v>
      </c>
      <c r="J448">
        <v>24</v>
      </c>
      <c r="K448" t="s">
        <v>12</v>
      </c>
      <c r="L448" t="s">
        <v>54</v>
      </c>
      <c r="M448" t="s">
        <v>21</v>
      </c>
      <c r="N448" s="25">
        <v>42243</v>
      </c>
      <c r="O448">
        <v>1087.02</v>
      </c>
      <c r="P448">
        <v>1087.02</v>
      </c>
    </row>
    <row r="449" spans="1:16" x14ac:dyDescent="0.35">
      <c r="A449">
        <v>449</v>
      </c>
      <c r="B449" t="s">
        <v>64</v>
      </c>
      <c r="C449" t="s">
        <v>62</v>
      </c>
      <c r="D449" t="s">
        <v>66</v>
      </c>
      <c r="E449" t="s">
        <v>70</v>
      </c>
      <c r="F449">
        <v>1</v>
      </c>
      <c r="G449">
        <v>50500</v>
      </c>
      <c r="H449">
        <v>1</v>
      </c>
      <c r="I449" t="s">
        <v>68</v>
      </c>
      <c r="J449">
        <v>12</v>
      </c>
      <c r="K449" t="s">
        <v>14</v>
      </c>
      <c r="L449" t="s">
        <v>51</v>
      </c>
      <c r="M449" t="s">
        <v>38</v>
      </c>
      <c r="N449" s="25">
        <v>40570</v>
      </c>
      <c r="O449">
        <v>940.15200000000004</v>
      </c>
      <c r="P449">
        <v>940.15200000000004</v>
      </c>
    </row>
    <row r="450" spans="1:16" x14ac:dyDescent="0.35">
      <c r="A450">
        <v>450</v>
      </c>
      <c r="B450" t="s">
        <v>63</v>
      </c>
      <c r="C450" t="s">
        <v>62</v>
      </c>
      <c r="D450" t="s">
        <v>66</v>
      </c>
      <c r="E450" t="s">
        <v>70</v>
      </c>
      <c r="F450">
        <v>1</v>
      </c>
      <c r="G450">
        <v>15500</v>
      </c>
      <c r="H450">
        <v>1</v>
      </c>
      <c r="I450" t="s">
        <v>67</v>
      </c>
      <c r="J450">
        <v>6</v>
      </c>
      <c r="K450" t="s">
        <v>14</v>
      </c>
      <c r="L450" t="s">
        <v>40</v>
      </c>
      <c r="M450" t="s">
        <v>36</v>
      </c>
      <c r="N450" s="25">
        <v>41741</v>
      </c>
      <c r="O450">
        <v>209.7</v>
      </c>
      <c r="P450">
        <v>209.7</v>
      </c>
    </row>
    <row r="451" spans="1:16" x14ac:dyDescent="0.35">
      <c r="A451">
        <v>451</v>
      </c>
      <c r="B451" t="s">
        <v>63</v>
      </c>
      <c r="C451" t="s">
        <v>62</v>
      </c>
      <c r="D451" t="s">
        <v>66</v>
      </c>
      <c r="E451" t="s">
        <v>70</v>
      </c>
      <c r="F451">
        <v>1</v>
      </c>
      <c r="G451">
        <v>12900</v>
      </c>
      <c r="H451">
        <v>1</v>
      </c>
      <c r="I451" t="s">
        <v>67</v>
      </c>
      <c r="J451">
        <v>6</v>
      </c>
      <c r="K451" t="s">
        <v>15</v>
      </c>
      <c r="L451" t="s">
        <v>28</v>
      </c>
      <c r="M451" t="s">
        <v>33</v>
      </c>
      <c r="N451" s="25">
        <v>41515</v>
      </c>
      <c r="O451">
        <v>106.97</v>
      </c>
      <c r="P451">
        <v>106.97</v>
      </c>
    </row>
    <row r="452" spans="1:16" x14ac:dyDescent="0.35">
      <c r="A452">
        <v>452</v>
      </c>
      <c r="B452" t="s">
        <v>64</v>
      </c>
      <c r="C452" t="s">
        <v>61</v>
      </c>
      <c r="D452" t="s">
        <v>66</v>
      </c>
      <c r="E452" t="s">
        <v>70</v>
      </c>
      <c r="F452">
        <v>1</v>
      </c>
      <c r="G452">
        <v>52400</v>
      </c>
      <c r="H452">
        <v>0</v>
      </c>
      <c r="I452" t="s">
        <v>8</v>
      </c>
      <c r="J452">
        <v>18</v>
      </c>
      <c r="K452" t="s">
        <v>14</v>
      </c>
      <c r="L452" t="s">
        <v>50</v>
      </c>
      <c r="M452" t="s">
        <v>34</v>
      </c>
      <c r="N452" s="25">
        <v>42205</v>
      </c>
      <c r="O452">
        <v>856.726</v>
      </c>
      <c r="P452">
        <v>856.726</v>
      </c>
    </row>
    <row r="453" spans="1:16" x14ac:dyDescent="0.35">
      <c r="A453">
        <v>453</v>
      </c>
      <c r="B453" t="s">
        <v>64</v>
      </c>
      <c r="C453" t="s">
        <v>61</v>
      </c>
      <c r="D453" t="s">
        <v>58</v>
      </c>
      <c r="E453" t="s">
        <v>2</v>
      </c>
      <c r="F453">
        <v>1</v>
      </c>
      <c r="G453">
        <v>97600</v>
      </c>
      <c r="H453">
        <v>2</v>
      </c>
      <c r="I453" t="s">
        <v>68</v>
      </c>
      <c r="J453">
        <v>12</v>
      </c>
      <c r="K453" t="s">
        <v>14</v>
      </c>
      <c r="L453" t="s">
        <v>40</v>
      </c>
      <c r="M453" t="s">
        <v>37</v>
      </c>
      <c r="N453" s="25">
        <v>41976</v>
      </c>
      <c r="O453">
        <v>1162.0440000000001</v>
      </c>
      <c r="P453">
        <v>1162.0440000000001</v>
      </c>
    </row>
    <row r="454" spans="1:16" x14ac:dyDescent="0.35">
      <c r="A454">
        <v>454</v>
      </c>
      <c r="B454" t="s">
        <v>64</v>
      </c>
      <c r="C454" t="s">
        <v>61</v>
      </c>
      <c r="D454" t="s">
        <v>66</v>
      </c>
      <c r="E454" t="s">
        <v>70</v>
      </c>
      <c r="F454">
        <v>1</v>
      </c>
      <c r="G454">
        <v>50500</v>
      </c>
      <c r="H454">
        <v>0</v>
      </c>
      <c r="I454" t="s">
        <v>68</v>
      </c>
      <c r="J454">
        <v>12</v>
      </c>
      <c r="K454" t="s">
        <v>12</v>
      </c>
      <c r="L454" t="s">
        <v>55</v>
      </c>
      <c r="M454" t="s">
        <v>17</v>
      </c>
      <c r="N454" s="25">
        <v>40633</v>
      </c>
      <c r="O454">
        <v>1028.8789999999999</v>
      </c>
      <c r="P454">
        <v>1028.8789999999999</v>
      </c>
    </row>
    <row r="455" spans="1:16" x14ac:dyDescent="0.35">
      <c r="A455">
        <v>455</v>
      </c>
      <c r="B455" t="s">
        <v>64</v>
      </c>
      <c r="C455" t="s">
        <v>61</v>
      </c>
      <c r="D455" t="s">
        <v>66</v>
      </c>
      <c r="E455" t="s">
        <v>70</v>
      </c>
      <c r="F455">
        <v>1</v>
      </c>
      <c r="G455">
        <v>55900</v>
      </c>
      <c r="H455">
        <v>1</v>
      </c>
      <c r="I455" t="s">
        <v>68</v>
      </c>
      <c r="J455">
        <v>12</v>
      </c>
      <c r="K455" t="s">
        <v>12</v>
      </c>
      <c r="L455" t="s">
        <v>47</v>
      </c>
      <c r="M455" t="s">
        <v>18</v>
      </c>
      <c r="N455" s="25">
        <v>41447</v>
      </c>
      <c r="O455">
        <v>908.86300000000006</v>
      </c>
      <c r="P455">
        <v>908.86300000000006</v>
      </c>
    </row>
    <row r="456" spans="1:16" x14ac:dyDescent="0.35">
      <c r="A456">
        <v>456</v>
      </c>
      <c r="B456" t="s">
        <v>63</v>
      </c>
      <c r="C456" t="s">
        <v>62</v>
      </c>
      <c r="D456" t="s">
        <v>66</v>
      </c>
      <c r="E456" t="s">
        <v>70</v>
      </c>
      <c r="F456">
        <v>0</v>
      </c>
      <c r="G456">
        <v>28900</v>
      </c>
      <c r="H456">
        <v>0</v>
      </c>
      <c r="I456" t="s">
        <v>68</v>
      </c>
      <c r="J456">
        <v>24</v>
      </c>
      <c r="K456" t="s">
        <v>12</v>
      </c>
      <c r="L456" t="s">
        <v>53</v>
      </c>
      <c r="M456" t="s">
        <v>19</v>
      </c>
      <c r="N456" s="25">
        <v>39903</v>
      </c>
      <c r="O456">
        <v>905.13699999999994</v>
      </c>
      <c r="P456">
        <v>905.13699999999994</v>
      </c>
    </row>
    <row r="457" spans="1:16" x14ac:dyDescent="0.35">
      <c r="A457">
        <v>457</v>
      </c>
      <c r="B457" t="s">
        <v>64</v>
      </c>
      <c r="C457" t="s">
        <v>61</v>
      </c>
      <c r="D457" t="s">
        <v>66</v>
      </c>
      <c r="E457" t="s">
        <v>2</v>
      </c>
      <c r="F457">
        <v>1</v>
      </c>
      <c r="G457">
        <v>108300</v>
      </c>
      <c r="H457">
        <v>2</v>
      </c>
      <c r="I457" t="s">
        <v>8</v>
      </c>
      <c r="J457">
        <v>12</v>
      </c>
      <c r="K457" t="s">
        <v>12</v>
      </c>
      <c r="L457" t="s">
        <v>54</v>
      </c>
      <c r="M457" t="s">
        <v>21</v>
      </c>
      <c r="N457" s="25">
        <v>42198</v>
      </c>
      <c r="O457">
        <v>2223.6419999999998</v>
      </c>
      <c r="P457">
        <v>2223.6419999999998</v>
      </c>
    </row>
    <row r="458" spans="1:16" x14ac:dyDescent="0.35">
      <c r="A458">
        <v>458</v>
      </c>
      <c r="B458" t="s">
        <v>64</v>
      </c>
      <c r="C458" t="s">
        <v>62</v>
      </c>
      <c r="D458" t="s">
        <v>66</v>
      </c>
      <c r="E458" t="s">
        <v>2</v>
      </c>
      <c r="F458">
        <v>1</v>
      </c>
      <c r="G458">
        <v>46700</v>
      </c>
      <c r="H458">
        <v>0</v>
      </c>
      <c r="I458" t="s">
        <v>68</v>
      </c>
      <c r="J458">
        <v>24</v>
      </c>
      <c r="K458" t="s">
        <v>12</v>
      </c>
      <c r="L458" t="s">
        <v>47</v>
      </c>
      <c r="M458" t="s">
        <v>18</v>
      </c>
      <c r="N458" s="25">
        <v>41173</v>
      </c>
      <c r="O458">
        <v>982.55600000000004</v>
      </c>
      <c r="P458">
        <v>982.55600000000004</v>
      </c>
    </row>
    <row r="459" spans="1:16" x14ac:dyDescent="0.35">
      <c r="A459">
        <v>459</v>
      </c>
      <c r="B459" t="s">
        <v>65</v>
      </c>
      <c r="C459" t="s">
        <v>61</v>
      </c>
      <c r="D459" t="s">
        <v>58</v>
      </c>
      <c r="E459" t="s">
        <v>2</v>
      </c>
      <c r="F459">
        <v>1</v>
      </c>
      <c r="G459">
        <v>102700</v>
      </c>
      <c r="H459">
        <v>0</v>
      </c>
      <c r="I459" t="s">
        <v>8</v>
      </c>
      <c r="J459">
        <v>18</v>
      </c>
      <c r="K459" t="s">
        <v>15</v>
      </c>
      <c r="L459" t="s">
        <v>52</v>
      </c>
      <c r="M459" t="s">
        <v>31</v>
      </c>
      <c r="N459" s="25">
        <v>42220</v>
      </c>
      <c r="O459">
        <v>2381.2060000000001</v>
      </c>
      <c r="P459">
        <v>2381.2060000000001</v>
      </c>
    </row>
    <row r="460" spans="1:16" x14ac:dyDescent="0.35">
      <c r="A460">
        <v>460</v>
      </c>
      <c r="B460" t="s">
        <v>63</v>
      </c>
      <c r="C460" t="s">
        <v>62</v>
      </c>
      <c r="D460" t="s">
        <v>66</v>
      </c>
      <c r="E460" t="s">
        <v>70</v>
      </c>
      <c r="F460">
        <v>1</v>
      </c>
      <c r="G460">
        <v>15600</v>
      </c>
      <c r="H460">
        <v>0</v>
      </c>
      <c r="I460" t="s">
        <v>8</v>
      </c>
      <c r="J460">
        <v>12</v>
      </c>
      <c r="K460" t="s">
        <v>12</v>
      </c>
      <c r="L460" t="s">
        <v>47</v>
      </c>
      <c r="M460" t="s">
        <v>16</v>
      </c>
      <c r="N460" s="25">
        <v>42057</v>
      </c>
      <c r="O460">
        <v>468.32900000000001</v>
      </c>
      <c r="P460">
        <v>468.32900000000001</v>
      </c>
    </row>
    <row r="461" spans="1:16" x14ac:dyDescent="0.35">
      <c r="A461">
        <v>461</v>
      </c>
      <c r="B461" t="s">
        <v>64</v>
      </c>
      <c r="C461" t="s">
        <v>61</v>
      </c>
      <c r="D461" t="s">
        <v>66</v>
      </c>
      <c r="E461" t="s">
        <v>70</v>
      </c>
      <c r="F461">
        <v>1</v>
      </c>
      <c r="G461">
        <v>39000</v>
      </c>
      <c r="H461">
        <v>0</v>
      </c>
      <c r="I461" t="s">
        <v>8</v>
      </c>
      <c r="J461">
        <v>6</v>
      </c>
      <c r="K461" t="s">
        <v>12</v>
      </c>
      <c r="L461" t="s">
        <v>53</v>
      </c>
      <c r="M461" t="s">
        <v>19</v>
      </c>
      <c r="N461" s="25">
        <v>42240</v>
      </c>
      <c r="O461">
        <v>643.29499999999996</v>
      </c>
      <c r="P461">
        <v>643.29499999999996</v>
      </c>
    </row>
    <row r="462" spans="1:16" x14ac:dyDescent="0.35">
      <c r="A462">
        <v>462</v>
      </c>
      <c r="B462" t="s">
        <v>65</v>
      </c>
      <c r="C462" t="s">
        <v>62</v>
      </c>
      <c r="D462" t="s">
        <v>66</v>
      </c>
      <c r="E462" t="s">
        <v>2</v>
      </c>
      <c r="F462">
        <v>0</v>
      </c>
      <c r="G462">
        <v>60200</v>
      </c>
      <c r="H462">
        <v>0</v>
      </c>
      <c r="I462" t="s">
        <v>69</v>
      </c>
      <c r="J462">
        <v>18</v>
      </c>
      <c r="K462" t="s">
        <v>13</v>
      </c>
      <c r="L462" t="s">
        <v>46</v>
      </c>
      <c r="M462" t="s">
        <v>22</v>
      </c>
      <c r="N462" s="25">
        <v>41347</v>
      </c>
      <c r="O462">
        <v>2328.4389999999999</v>
      </c>
      <c r="P462">
        <v>2328.4389999999999</v>
      </c>
    </row>
    <row r="463" spans="1:16" x14ac:dyDescent="0.35">
      <c r="A463">
        <v>463</v>
      </c>
      <c r="B463" t="s">
        <v>63</v>
      </c>
      <c r="C463" t="s">
        <v>62</v>
      </c>
      <c r="D463" t="s">
        <v>66</v>
      </c>
      <c r="E463" t="s">
        <v>70</v>
      </c>
      <c r="F463">
        <v>1</v>
      </c>
      <c r="G463">
        <v>17300</v>
      </c>
      <c r="H463">
        <v>0</v>
      </c>
      <c r="I463" t="s">
        <v>67</v>
      </c>
      <c r="J463">
        <v>12</v>
      </c>
      <c r="K463" t="s">
        <v>13</v>
      </c>
      <c r="L463" t="s">
        <v>48</v>
      </c>
      <c r="M463" t="s">
        <v>27</v>
      </c>
      <c r="N463" s="25">
        <v>41357</v>
      </c>
      <c r="O463">
        <v>345.34800000000001</v>
      </c>
      <c r="P463">
        <v>345.34800000000001</v>
      </c>
    </row>
    <row r="464" spans="1:16" x14ac:dyDescent="0.35">
      <c r="A464">
        <v>464</v>
      </c>
      <c r="B464" t="s">
        <v>64</v>
      </c>
      <c r="C464" t="s">
        <v>62</v>
      </c>
      <c r="D464" t="s">
        <v>66</v>
      </c>
      <c r="E464" t="s">
        <v>70</v>
      </c>
      <c r="F464">
        <v>1</v>
      </c>
      <c r="G464">
        <v>36900</v>
      </c>
      <c r="H464">
        <v>1</v>
      </c>
      <c r="I464" t="s">
        <v>67</v>
      </c>
      <c r="J464">
        <v>6</v>
      </c>
      <c r="K464" t="s">
        <v>14</v>
      </c>
      <c r="L464" t="s">
        <v>40</v>
      </c>
      <c r="M464" t="s">
        <v>36</v>
      </c>
      <c r="N464" s="25">
        <v>42072</v>
      </c>
      <c r="O464">
        <v>371.29300000000001</v>
      </c>
      <c r="P464">
        <v>371.29300000000001</v>
      </c>
    </row>
    <row r="465" spans="1:16" x14ac:dyDescent="0.35">
      <c r="A465">
        <v>465</v>
      </c>
      <c r="B465" t="s">
        <v>64</v>
      </c>
      <c r="C465" t="s">
        <v>61</v>
      </c>
      <c r="D465" t="s">
        <v>58</v>
      </c>
      <c r="E465" t="s">
        <v>2</v>
      </c>
      <c r="F465">
        <v>1</v>
      </c>
      <c r="G465">
        <v>64800</v>
      </c>
      <c r="H465">
        <v>2</v>
      </c>
      <c r="I465" t="s">
        <v>68</v>
      </c>
      <c r="J465">
        <v>12</v>
      </c>
      <c r="K465" t="s">
        <v>15</v>
      </c>
      <c r="L465" t="s">
        <v>28</v>
      </c>
      <c r="M465" t="s">
        <v>28</v>
      </c>
      <c r="N465" s="25">
        <v>40193</v>
      </c>
      <c r="O465">
        <v>574.10299999999995</v>
      </c>
      <c r="P465">
        <v>574.10299999999995</v>
      </c>
    </row>
    <row r="466" spans="1:16" x14ac:dyDescent="0.35">
      <c r="A466">
        <v>466</v>
      </c>
      <c r="B466" t="s">
        <v>64</v>
      </c>
      <c r="C466" t="s">
        <v>62</v>
      </c>
      <c r="D466" t="s">
        <v>66</v>
      </c>
      <c r="E466" t="s">
        <v>2</v>
      </c>
      <c r="F466">
        <v>0</v>
      </c>
      <c r="G466">
        <v>67300</v>
      </c>
      <c r="H466">
        <v>1</v>
      </c>
      <c r="I466" t="s">
        <v>69</v>
      </c>
      <c r="J466">
        <v>18</v>
      </c>
      <c r="K466" t="s">
        <v>13</v>
      </c>
      <c r="L466" t="s">
        <v>43</v>
      </c>
      <c r="M466" t="s">
        <v>23</v>
      </c>
      <c r="N466" s="25">
        <v>40764</v>
      </c>
      <c r="O466">
        <v>1513.3309999999999</v>
      </c>
      <c r="P466">
        <v>1513.3309999999999</v>
      </c>
    </row>
    <row r="467" spans="1:16" x14ac:dyDescent="0.35">
      <c r="A467">
        <v>467</v>
      </c>
      <c r="B467" t="s">
        <v>63</v>
      </c>
      <c r="C467" t="s">
        <v>61</v>
      </c>
      <c r="D467" t="s">
        <v>66</v>
      </c>
      <c r="E467" t="s">
        <v>70</v>
      </c>
      <c r="F467">
        <v>1</v>
      </c>
      <c r="G467">
        <v>15400</v>
      </c>
      <c r="H467">
        <v>0</v>
      </c>
      <c r="I467" t="s">
        <v>67</v>
      </c>
      <c r="J467">
        <v>6</v>
      </c>
      <c r="K467" t="s">
        <v>13</v>
      </c>
      <c r="L467" t="s">
        <v>46</v>
      </c>
      <c r="M467" t="s">
        <v>22</v>
      </c>
      <c r="N467" s="25">
        <v>40227</v>
      </c>
      <c r="O467">
        <v>171.607</v>
      </c>
      <c r="P467">
        <v>171.607</v>
      </c>
    </row>
    <row r="468" spans="1:16" x14ac:dyDescent="0.35">
      <c r="A468">
        <v>468</v>
      </c>
      <c r="B468" t="s">
        <v>63</v>
      </c>
      <c r="C468" t="s">
        <v>62</v>
      </c>
      <c r="D468" t="s">
        <v>66</v>
      </c>
      <c r="E468" t="s">
        <v>70</v>
      </c>
      <c r="F468">
        <v>1</v>
      </c>
      <c r="G468">
        <v>22600</v>
      </c>
      <c r="H468">
        <v>3</v>
      </c>
      <c r="I468" t="s">
        <v>8</v>
      </c>
      <c r="J468">
        <v>6</v>
      </c>
      <c r="K468" t="s">
        <v>15</v>
      </c>
      <c r="L468" t="s">
        <v>52</v>
      </c>
      <c r="M468" t="s">
        <v>30</v>
      </c>
      <c r="N468" s="25">
        <v>42068</v>
      </c>
      <c r="O468">
        <v>521.04600000000005</v>
      </c>
      <c r="P468">
        <v>521.04600000000005</v>
      </c>
    </row>
    <row r="469" spans="1:16" x14ac:dyDescent="0.35">
      <c r="A469">
        <v>469</v>
      </c>
      <c r="B469" t="s">
        <v>65</v>
      </c>
      <c r="C469" t="s">
        <v>61</v>
      </c>
      <c r="D469" t="s">
        <v>58</v>
      </c>
      <c r="E469" t="s">
        <v>2</v>
      </c>
      <c r="F469">
        <v>0</v>
      </c>
      <c r="G469">
        <v>54600</v>
      </c>
      <c r="H469">
        <v>0</v>
      </c>
      <c r="I469" t="s">
        <v>69</v>
      </c>
      <c r="J469">
        <v>24</v>
      </c>
      <c r="K469" t="s">
        <v>15</v>
      </c>
      <c r="L469" t="s">
        <v>42</v>
      </c>
      <c r="M469" t="s">
        <v>32</v>
      </c>
      <c r="N469" s="25">
        <v>41212</v>
      </c>
      <c r="O469">
        <v>2163.2199999999998</v>
      </c>
      <c r="P469">
        <v>2163.2199999999998</v>
      </c>
    </row>
    <row r="470" spans="1:16" x14ac:dyDescent="0.35">
      <c r="A470">
        <v>470</v>
      </c>
      <c r="B470" t="s">
        <v>63</v>
      </c>
      <c r="C470" t="s">
        <v>61</v>
      </c>
      <c r="D470" t="s">
        <v>58</v>
      </c>
      <c r="E470" t="s">
        <v>2</v>
      </c>
      <c r="F470">
        <v>1</v>
      </c>
      <c r="G470">
        <v>62200</v>
      </c>
      <c r="H470">
        <v>0</v>
      </c>
      <c r="I470" t="s">
        <v>69</v>
      </c>
      <c r="J470">
        <v>24</v>
      </c>
      <c r="K470" t="s">
        <v>14</v>
      </c>
      <c r="L470" t="s">
        <v>50</v>
      </c>
      <c r="M470" t="s">
        <v>34</v>
      </c>
      <c r="N470" s="25">
        <v>40225</v>
      </c>
      <c r="O470">
        <v>1347.527</v>
      </c>
      <c r="P470">
        <v>1347.527</v>
      </c>
    </row>
    <row r="471" spans="1:16" x14ac:dyDescent="0.35">
      <c r="A471">
        <v>471</v>
      </c>
      <c r="B471" t="s">
        <v>63</v>
      </c>
      <c r="C471" t="s">
        <v>61</v>
      </c>
      <c r="D471" t="s">
        <v>66</v>
      </c>
      <c r="E471" t="s">
        <v>2</v>
      </c>
      <c r="F471">
        <v>1</v>
      </c>
      <c r="G471">
        <v>56300</v>
      </c>
      <c r="H471">
        <v>0</v>
      </c>
      <c r="I471" t="s">
        <v>8</v>
      </c>
      <c r="J471">
        <v>24</v>
      </c>
      <c r="K471" t="s">
        <v>13</v>
      </c>
      <c r="L471" t="s">
        <v>56</v>
      </c>
      <c r="M471" t="s">
        <v>24</v>
      </c>
      <c r="N471" s="25">
        <v>42223</v>
      </c>
      <c r="O471">
        <v>1607.5989999999999</v>
      </c>
      <c r="P471">
        <v>1607.5989999999999</v>
      </c>
    </row>
    <row r="472" spans="1:16" x14ac:dyDescent="0.35">
      <c r="A472">
        <v>472</v>
      </c>
      <c r="B472" t="s">
        <v>63</v>
      </c>
      <c r="C472" t="s">
        <v>61</v>
      </c>
      <c r="D472" t="s">
        <v>66</v>
      </c>
      <c r="E472" t="s">
        <v>70</v>
      </c>
      <c r="F472">
        <v>1</v>
      </c>
      <c r="G472">
        <v>21000</v>
      </c>
      <c r="H472">
        <v>0</v>
      </c>
      <c r="I472" t="s">
        <v>67</v>
      </c>
      <c r="J472">
        <v>24</v>
      </c>
      <c r="K472" t="s">
        <v>14</v>
      </c>
      <c r="L472" t="s">
        <v>50</v>
      </c>
      <c r="M472" t="s">
        <v>34</v>
      </c>
      <c r="N472" s="25">
        <v>40209</v>
      </c>
      <c r="O472">
        <v>645.87300000000005</v>
      </c>
      <c r="P472">
        <v>645.87300000000005</v>
      </c>
    </row>
    <row r="473" spans="1:16" x14ac:dyDescent="0.35">
      <c r="A473">
        <v>473</v>
      </c>
      <c r="B473" t="s">
        <v>64</v>
      </c>
      <c r="C473" t="s">
        <v>62</v>
      </c>
      <c r="D473" t="s">
        <v>66</v>
      </c>
      <c r="E473" t="s">
        <v>2</v>
      </c>
      <c r="F473">
        <v>1</v>
      </c>
      <c r="G473">
        <v>66900</v>
      </c>
      <c r="H473">
        <v>2</v>
      </c>
      <c r="I473" t="s">
        <v>68</v>
      </c>
      <c r="J473">
        <v>12</v>
      </c>
      <c r="K473" t="s">
        <v>15</v>
      </c>
      <c r="L473" t="s">
        <v>42</v>
      </c>
      <c r="M473" t="s">
        <v>32</v>
      </c>
      <c r="N473" s="25">
        <v>40716</v>
      </c>
      <c r="O473">
        <v>768.63900000000001</v>
      </c>
      <c r="P473">
        <v>768.63900000000001</v>
      </c>
    </row>
    <row r="474" spans="1:16" x14ac:dyDescent="0.35">
      <c r="A474">
        <v>474</v>
      </c>
      <c r="B474" t="s">
        <v>64</v>
      </c>
      <c r="C474" t="s">
        <v>61</v>
      </c>
      <c r="D474" t="s">
        <v>58</v>
      </c>
      <c r="E474" t="s">
        <v>2</v>
      </c>
      <c r="F474">
        <v>1</v>
      </c>
      <c r="G474">
        <v>66500</v>
      </c>
      <c r="H474">
        <v>3</v>
      </c>
      <c r="I474" t="s">
        <v>67</v>
      </c>
      <c r="J474">
        <v>12</v>
      </c>
      <c r="K474" t="s">
        <v>15</v>
      </c>
      <c r="L474" t="s">
        <v>42</v>
      </c>
      <c r="M474" t="s">
        <v>32</v>
      </c>
      <c r="N474" s="25">
        <v>40735</v>
      </c>
      <c r="O474">
        <v>285.56200000000001</v>
      </c>
      <c r="P474">
        <v>285.56200000000001</v>
      </c>
    </row>
    <row r="475" spans="1:16" x14ac:dyDescent="0.35">
      <c r="A475">
        <v>475</v>
      </c>
      <c r="B475" t="s">
        <v>63</v>
      </c>
      <c r="C475" t="s">
        <v>62</v>
      </c>
      <c r="D475" t="s">
        <v>66</v>
      </c>
      <c r="E475" t="s">
        <v>70</v>
      </c>
      <c r="F475">
        <v>1</v>
      </c>
      <c r="G475">
        <v>13600</v>
      </c>
      <c r="H475">
        <v>1</v>
      </c>
      <c r="I475" t="s">
        <v>67</v>
      </c>
      <c r="J475">
        <v>6</v>
      </c>
      <c r="K475" t="s">
        <v>13</v>
      </c>
      <c r="L475" t="s">
        <v>46</v>
      </c>
      <c r="M475" t="s">
        <v>22</v>
      </c>
      <c r="N475" s="25">
        <v>41734</v>
      </c>
      <c r="O475">
        <v>183.43700000000001</v>
      </c>
      <c r="P475">
        <v>183.43700000000001</v>
      </c>
    </row>
    <row r="476" spans="1:16" x14ac:dyDescent="0.35">
      <c r="A476">
        <v>476</v>
      </c>
      <c r="B476" t="s">
        <v>64</v>
      </c>
      <c r="C476" t="s">
        <v>61</v>
      </c>
      <c r="D476" t="s">
        <v>58</v>
      </c>
      <c r="E476" t="s">
        <v>2</v>
      </c>
      <c r="F476">
        <v>1</v>
      </c>
      <c r="G476">
        <v>54200</v>
      </c>
      <c r="H476">
        <v>1</v>
      </c>
      <c r="I476" t="s">
        <v>68</v>
      </c>
      <c r="J476">
        <v>6</v>
      </c>
      <c r="K476" t="s">
        <v>14</v>
      </c>
      <c r="L476" t="s">
        <v>51</v>
      </c>
      <c r="M476" t="s">
        <v>38</v>
      </c>
      <c r="N476" s="25">
        <v>42238</v>
      </c>
      <c r="O476">
        <v>756.95799999999997</v>
      </c>
      <c r="P476">
        <v>756.95799999999997</v>
      </c>
    </row>
    <row r="477" spans="1:16" x14ac:dyDescent="0.35">
      <c r="A477">
        <v>477</v>
      </c>
      <c r="B477" t="s">
        <v>64</v>
      </c>
      <c r="C477" t="s">
        <v>61</v>
      </c>
      <c r="D477" t="s">
        <v>58</v>
      </c>
      <c r="E477" t="s">
        <v>2</v>
      </c>
      <c r="F477">
        <v>1</v>
      </c>
      <c r="G477">
        <v>102400</v>
      </c>
      <c r="H477">
        <v>1</v>
      </c>
      <c r="I477" t="s">
        <v>69</v>
      </c>
      <c r="J477">
        <v>18</v>
      </c>
      <c r="K477" t="s">
        <v>14</v>
      </c>
      <c r="L477" t="s">
        <v>40</v>
      </c>
      <c r="M477" t="s">
        <v>37</v>
      </c>
      <c r="N477" s="25">
        <v>40777</v>
      </c>
      <c r="O477">
        <v>1237.354</v>
      </c>
      <c r="P477">
        <v>1237.354</v>
      </c>
    </row>
    <row r="478" spans="1:16" x14ac:dyDescent="0.35">
      <c r="A478">
        <v>478</v>
      </c>
      <c r="B478" t="s">
        <v>63</v>
      </c>
      <c r="C478" t="s">
        <v>62</v>
      </c>
      <c r="D478" t="s">
        <v>66</v>
      </c>
      <c r="E478" t="s">
        <v>2</v>
      </c>
      <c r="F478">
        <v>1</v>
      </c>
      <c r="G478">
        <v>42300</v>
      </c>
      <c r="H478">
        <v>0</v>
      </c>
      <c r="I478" t="s">
        <v>8</v>
      </c>
      <c r="J478">
        <v>6</v>
      </c>
      <c r="K478" t="s">
        <v>15</v>
      </c>
      <c r="L478" t="s">
        <v>52</v>
      </c>
      <c r="M478" t="s">
        <v>31</v>
      </c>
      <c r="N478" s="25">
        <v>42173</v>
      </c>
      <c r="O478">
        <v>855.64</v>
      </c>
      <c r="P478">
        <v>855.64</v>
      </c>
    </row>
    <row r="479" spans="1:16" x14ac:dyDescent="0.35">
      <c r="A479">
        <v>479</v>
      </c>
      <c r="B479" t="s">
        <v>65</v>
      </c>
      <c r="C479" t="s">
        <v>62</v>
      </c>
      <c r="D479" t="s">
        <v>66</v>
      </c>
      <c r="E479" t="s">
        <v>70</v>
      </c>
      <c r="F479">
        <v>1</v>
      </c>
      <c r="G479">
        <v>14900</v>
      </c>
      <c r="H479">
        <v>0</v>
      </c>
      <c r="I479" t="s">
        <v>8</v>
      </c>
      <c r="J479">
        <v>12</v>
      </c>
      <c r="K479" t="s">
        <v>13</v>
      </c>
      <c r="L479" t="s">
        <v>43</v>
      </c>
      <c r="M479" t="s">
        <v>23</v>
      </c>
      <c r="N479" s="25">
        <v>42142</v>
      </c>
      <c r="O479">
        <v>274.58499999999998</v>
      </c>
      <c r="P479">
        <v>274.58499999999998</v>
      </c>
    </row>
    <row r="480" spans="1:16" x14ac:dyDescent="0.35">
      <c r="A480">
        <v>480</v>
      </c>
      <c r="B480" t="s">
        <v>64</v>
      </c>
      <c r="C480" t="s">
        <v>61</v>
      </c>
      <c r="D480" t="s">
        <v>58</v>
      </c>
      <c r="E480" t="s">
        <v>2</v>
      </c>
      <c r="F480">
        <v>1</v>
      </c>
      <c r="G480">
        <v>123800</v>
      </c>
      <c r="H480">
        <v>2</v>
      </c>
      <c r="I480" t="s">
        <v>8</v>
      </c>
      <c r="J480">
        <v>18</v>
      </c>
      <c r="K480" t="s">
        <v>13</v>
      </c>
      <c r="L480" t="s">
        <v>46</v>
      </c>
      <c r="M480" t="s">
        <v>22</v>
      </c>
      <c r="N480" s="25">
        <v>42111</v>
      </c>
      <c r="O480">
        <v>3536.9119999999998</v>
      </c>
      <c r="P480">
        <v>3500</v>
      </c>
    </row>
    <row r="481" spans="1:16" x14ac:dyDescent="0.35">
      <c r="A481">
        <v>481</v>
      </c>
      <c r="B481" t="s">
        <v>65</v>
      </c>
      <c r="C481" t="s">
        <v>61</v>
      </c>
      <c r="D481" t="s">
        <v>58</v>
      </c>
      <c r="E481" t="s">
        <v>70</v>
      </c>
      <c r="F481">
        <v>1</v>
      </c>
      <c r="G481">
        <v>58700</v>
      </c>
      <c r="H481">
        <v>0</v>
      </c>
      <c r="I481" t="s">
        <v>8</v>
      </c>
      <c r="J481">
        <v>24</v>
      </c>
      <c r="K481" t="s">
        <v>12</v>
      </c>
      <c r="L481" t="s">
        <v>53</v>
      </c>
      <c r="M481" t="s">
        <v>19</v>
      </c>
      <c r="N481" s="25">
        <v>42237</v>
      </c>
      <c r="O481">
        <v>1479.4839999999999</v>
      </c>
      <c r="P481">
        <v>1479.4839999999999</v>
      </c>
    </row>
    <row r="482" spans="1:16" x14ac:dyDescent="0.35">
      <c r="A482">
        <v>482</v>
      </c>
      <c r="B482" t="s">
        <v>63</v>
      </c>
      <c r="C482" t="s">
        <v>62</v>
      </c>
      <c r="D482" t="s">
        <v>66</v>
      </c>
      <c r="E482" t="s">
        <v>70</v>
      </c>
      <c r="F482">
        <v>1</v>
      </c>
      <c r="G482">
        <v>15000</v>
      </c>
      <c r="H482">
        <v>2</v>
      </c>
      <c r="I482" t="s">
        <v>8</v>
      </c>
      <c r="J482">
        <v>12</v>
      </c>
      <c r="K482" t="s">
        <v>14</v>
      </c>
      <c r="L482" t="s">
        <v>50</v>
      </c>
      <c r="M482" t="s">
        <v>35</v>
      </c>
      <c r="N482" s="25">
        <v>42158</v>
      </c>
      <c r="O482">
        <v>340.80900000000003</v>
      </c>
      <c r="P482">
        <v>340.80900000000003</v>
      </c>
    </row>
    <row r="483" spans="1:16" x14ac:dyDescent="0.35">
      <c r="A483">
        <v>483</v>
      </c>
      <c r="B483" t="s">
        <v>63</v>
      </c>
      <c r="C483" t="s">
        <v>61</v>
      </c>
      <c r="D483" t="s">
        <v>66</v>
      </c>
      <c r="E483" t="s">
        <v>70</v>
      </c>
      <c r="F483">
        <v>1</v>
      </c>
      <c r="G483">
        <v>14100</v>
      </c>
      <c r="H483">
        <v>0</v>
      </c>
      <c r="I483" t="s">
        <v>67</v>
      </c>
      <c r="J483">
        <v>12</v>
      </c>
      <c r="K483" t="s">
        <v>15</v>
      </c>
      <c r="L483" t="s">
        <v>28</v>
      </c>
      <c r="M483" t="s">
        <v>33</v>
      </c>
      <c r="N483" s="25">
        <v>41418</v>
      </c>
      <c r="O483">
        <v>328.06900000000002</v>
      </c>
      <c r="P483">
        <v>328.06900000000002</v>
      </c>
    </row>
    <row r="484" spans="1:16" x14ac:dyDescent="0.35">
      <c r="A484">
        <v>484</v>
      </c>
      <c r="B484" t="s">
        <v>63</v>
      </c>
      <c r="C484" t="s">
        <v>62</v>
      </c>
      <c r="D484" t="s">
        <v>66</v>
      </c>
      <c r="E484" t="s">
        <v>70</v>
      </c>
      <c r="F484">
        <v>0</v>
      </c>
      <c r="G484">
        <v>17300</v>
      </c>
      <c r="H484">
        <v>1</v>
      </c>
      <c r="I484" t="s">
        <v>67</v>
      </c>
      <c r="J484">
        <v>18</v>
      </c>
      <c r="K484" t="s">
        <v>15</v>
      </c>
      <c r="L484" t="s">
        <v>28</v>
      </c>
      <c r="M484" t="s">
        <v>33</v>
      </c>
      <c r="N484" s="25">
        <v>40555</v>
      </c>
      <c r="O484">
        <v>380.892</v>
      </c>
      <c r="P484">
        <v>380.892</v>
      </c>
    </row>
    <row r="485" spans="1:16" x14ac:dyDescent="0.35">
      <c r="A485">
        <v>485</v>
      </c>
      <c r="B485" t="s">
        <v>64</v>
      </c>
      <c r="C485" t="s">
        <v>61</v>
      </c>
      <c r="D485" t="s">
        <v>58</v>
      </c>
      <c r="E485" t="s">
        <v>2</v>
      </c>
      <c r="F485">
        <v>0</v>
      </c>
      <c r="G485">
        <v>77800</v>
      </c>
      <c r="H485">
        <v>1</v>
      </c>
      <c r="I485" t="s">
        <v>69</v>
      </c>
      <c r="J485">
        <v>18</v>
      </c>
      <c r="K485" t="s">
        <v>15</v>
      </c>
      <c r="L485" t="s">
        <v>44</v>
      </c>
      <c r="M485" t="s">
        <v>29</v>
      </c>
      <c r="N485" s="25">
        <v>39961</v>
      </c>
      <c r="O485">
        <v>1813.0640000000001</v>
      </c>
      <c r="P485">
        <v>1813.0640000000001</v>
      </c>
    </row>
    <row r="486" spans="1:16" x14ac:dyDescent="0.35">
      <c r="A486">
        <v>486</v>
      </c>
      <c r="B486" t="s">
        <v>65</v>
      </c>
      <c r="C486" t="s">
        <v>62</v>
      </c>
      <c r="D486" t="s">
        <v>66</v>
      </c>
      <c r="E486" t="s">
        <v>2</v>
      </c>
      <c r="F486">
        <v>1</v>
      </c>
      <c r="G486">
        <v>65900</v>
      </c>
      <c r="H486">
        <v>0</v>
      </c>
      <c r="I486" t="s">
        <v>69</v>
      </c>
      <c r="J486">
        <v>12</v>
      </c>
      <c r="K486" t="s">
        <v>12</v>
      </c>
      <c r="L486" t="s">
        <v>55</v>
      </c>
      <c r="M486" t="s">
        <v>17</v>
      </c>
      <c r="N486" s="25">
        <v>42090</v>
      </c>
      <c r="O486">
        <v>777.32799999999997</v>
      </c>
      <c r="P486">
        <v>777.32799999999997</v>
      </c>
    </row>
    <row r="487" spans="1:16" x14ac:dyDescent="0.35">
      <c r="A487">
        <v>487</v>
      </c>
      <c r="B487" t="s">
        <v>64</v>
      </c>
      <c r="C487" t="s">
        <v>61</v>
      </c>
      <c r="D487" t="s">
        <v>58</v>
      </c>
      <c r="E487" t="s">
        <v>70</v>
      </c>
      <c r="F487">
        <v>1</v>
      </c>
      <c r="G487">
        <v>73200</v>
      </c>
      <c r="H487">
        <v>0</v>
      </c>
      <c r="I487" t="s">
        <v>69</v>
      </c>
      <c r="J487">
        <v>24</v>
      </c>
      <c r="K487" t="s">
        <v>13</v>
      </c>
      <c r="L487" t="s">
        <v>43</v>
      </c>
      <c r="M487" t="s">
        <v>23</v>
      </c>
      <c r="N487" s="25">
        <v>41503</v>
      </c>
      <c r="O487">
        <v>2176.837</v>
      </c>
      <c r="P487">
        <v>2176.837</v>
      </c>
    </row>
    <row r="488" spans="1:16" x14ac:dyDescent="0.35">
      <c r="A488">
        <v>488</v>
      </c>
      <c r="B488" t="s">
        <v>64</v>
      </c>
      <c r="C488" t="s">
        <v>61</v>
      </c>
      <c r="D488" t="s">
        <v>58</v>
      </c>
      <c r="E488" t="s">
        <v>2</v>
      </c>
      <c r="F488">
        <v>1</v>
      </c>
      <c r="G488">
        <v>88100</v>
      </c>
      <c r="H488">
        <v>2</v>
      </c>
      <c r="I488" t="s">
        <v>68</v>
      </c>
      <c r="J488">
        <v>24</v>
      </c>
      <c r="K488" t="s">
        <v>13</v>
      </c>
      <c r="L488" t="s">
        <v>56</v>
      </c>
      <c r="M488" t="s">
        <v>24</v>
      </c>
      <c r="N488" s="25">
        <v>40551</v>
      </c>
      <c r="O488">
        <v>1078.499</v>
      </c>
      <c r="P488">
        <v>1078.499</v>
      </c>
    </row>
    <row r="489" spans="1:16" x14ac:dyDescent="0.35">
      <c r="A489">
        <v>489</v>
      </c>
      <c r="B489" t="s">
        <v>64</v>
      </c>
      <c r="C489" t="s">
        <v>62</v>
      </c>
      <c r="D489" t="s">
        <v>58</v>
      </c>
      <c r="E489" t="s">
        <v>2</v>
      </c>
      <c r="F489">
        <v>1</v>
      </c>
      <c r="G489">
        <v>51900</v>
      </c>
      <c r="H489">
        <v>3</v>
      </c>
      <c r="I489" t="s">
        <v>67</v>
      </c>
      <c r="J489">
        <v>6</v>
      </c>
      <c r="K489" t="s">
        <v>13</v>
      </c>
      <c r="L489" t="s">
        <v>45</v>
      </c>
      <c r="M489" t="s">
        <v>26</v>
      </c>
      <c r="N489" s="25">
        <v>41856</v>
      </c>
      <c r="O489">
        <v>157.53100000000001</v>
      </c>
      <c r="P489">
        <v>157.53100000000001</v>
      </c>
    </row>
    <row r="490" spans="1:16" x14ac:dyDescent="0.35">
      <c r="A490">
        <v>490</v>
      </c>
      <c r="B490" t="s">
        <v>65</v>
      </c>
      <c r="C490" t="s">
        <v>62</v>
      </c>
      <c r="D490" t="s">
        <v>58</v>
      </c>
      <c r="E490" t="s">
        <v>70</v>
      </c>
      <c r="F490">
        <v>0</v>
      </c>
      <c r="G490">
        <v>47500</v>
      </c>
      <c r="H490">
        <v>0</v>
      </c>
      <c r="I490" t="s">
        <v>69</v>
      </c>
      <c r="J490">
        <v>6</v>
      </c>
      <c r="K490" t="s">
        <v>13</v>
      </c>
      <c r="L490" t="s">
        <v>42</v>
      </c>
      <c r="M490" t="s">
        <v>25</v>
      </c>
      <c r="N490" s="25">
        <v>41290</v>
      </c>
      <c r="O490">
        <v>754.84</v>
      </c>
      <c r="P490">
        <v>754.84</v>
      </c>
    </row>
    <row r="491" spans="1:16" x14ac:dyDescent="0.35">
      <c r="A491">
        <v>491</v>
      </c>
      <c r="B491" t="s">
        <v>64</v>
      </c>
      <c r="C491" t="s">
        <v>61</v>
      </c>
      <c r="D491" t="s">
        <v>58</v>
      </c>
      <c r="E491" t="s">
        <v>2</v>
      </c>
      <c r="F491">
        <v>1</v>
      </c>
      <c r="G491">
        <v>74500</v>
      </c>
      <c r="H491">
        <v>0</v>
      </c>
      <c r="I491" t="s">
        <v>69</v>
      </c>
      <c r="J491">
        <v>6</v>
      </c>
      <c r="K491" t="s">
        <v>15</v>
      </c>
      <c r="L491" t="s">
        <v>52</v>
      </c>
      <c r="M491" t="s">
        <v>30</v>
      </c>
      <c r="N491" s="25">
        <v>40731</v>
      </c>
      <c r="O491">
        <v>1481</v>
      </c>
      <c r="P491">
        <v>1481</v>
      </c>
    </row>
    <row r="492" spans="1:16" x14ac:dyDescent="0.35">
      <c r="A492">
        <v>492</v>
      </c>
      <c r="B492" t="s">
        <v>63</v>
      </c>
      <c r="C492" t="s">
        <v>62</v>
      </c>
      <c r="D492" t="s">
        <v>58</v>
      </c>
      <c r="E492" t="s">
        <v>70</v>
      </c>
      <c r="F492">
        <v>0</v>
      </c>
      <c r="G492">
        <v>27900</v>
      </c>
      <c r="H492">
        <v>0</v>
      </c>
      <c r="I492" t="s">
        <v>68</v>
      </c>
      <c r="J492">
        <v>18</v>
      </c>
      <c r="K492" t="s">
        <v>14</v>
      </c>
      <c r="L492" t="s">
        <v>50</v>
      </c>
      <c r="M492" t="s">
        <v>35</v>
      </c>
      <c r="N492" s="25">
        <v>40935</v>
      </c>
      <c r="O492">
        <v>1184.0540000000001</v>
      </c>
      <c r="P492">
        <v>1184.0540000000001</v>
      </c>
    </row>
    <row r="493" spans="1:16" x14ac:dyDescent="0.35">
      <c r="A493">
        <v>493</v>
      </c>
      <c r="B493" t="s">
        <v>65</v>
      </c>
      <c r="C493" t="s">
        <v>61</v>
      </c>
      <c r="D493" t="s">
        <v>58</v>
      </c>
      <c r="E493" t="s">
        <v>2</v>
      </c>
      <c r="F493">
        <v>1</v>
      </c>
      <c r="G493">
        <v>58300</v>
      </c>
      <c r="H493">
        <v>0</v>
      </c>
      <c r="I493" t="s">
        <v>68</v>
      </c>
      <c r="J493">
        <v>24</v>
      </c>
      <c r="K493" t="s">
        <v>15</v>
      </c>
      <c r="L493" t="s">
        <v>28</v>
      </c>
      <c r="M493" t="s">
        <v>28</v>
      </c>
      <c r="N493" s="25">
        <v>41863</v>
      </c>
      <c r="O493">
        <v>1472.2629999999999</v>
      </c>
      <c r="P493">
        <v>1472.2629999999999</v>
      </c>
    </row>
    <row r="494" spans="1:16" x14ac:dyDescent="0.35">
      <c r="A494">
        <v>494</v>
      </c>
      <c r="B494" t="s">
        <v>64</v>
      </c>
      <c r="C494" t="s">
        <v>61</v>
      </c>
      <c r="D494" t="s">
        <v>58</v>
      </c>
      <c r="E494" t="s">
        <v>2</v>
      </c>
      <c r="F494">
        <v>1</v>
      </c>
      <c r="G494">
        <v>81200</v>
      </c>
      <c r="H494">
        <v>0</v>
      </c>
      <c r="I494" t="s">
        <v>69</v>
      </c>
      <c r="J494">
        <v>24</v>
      </c>
      <c r="K494" t="s">
        <v>12</v>
      </c>
      <c r="L494" t="s">
        <v>47</v>
      </c>
      <c r="M494" t="s">
        <v>18</v>
      </c>
      <c r="N494" s="25">
        <v>40910</v>
      </c>
      <c r="O494">
        <v>1855.633</v>
      </c>
      <c r="P494">
        <v>1855.633</v>
      </c>
    </row>
    <row r="495" spans="1:16" x14ac:dyDescent="0.35">
      <c r="A495">
        <v>495</v>
      </c>
      <c r="B495" t="s">
        <v>64</v>
      </c>
      <c r="C495" t="s">
        <v>61</v>
      </c>
      <c r="D495" t="s">
        <v>58</v>
      </c>
      <c r="E495" t="s">
        <v>2</v>
      </c>
      <c r="F495">
        <v>1</v>
      </c>
      <c r="G495">
        <v>104100</v>
      </c>
      <c r="H495">
        <v>0</v>
      </c>
      <c r="I495" t="s">
        <v>69</v>
      </c>
      <c r="J495">
        <v>24</v>
      </c>
      <c r="K495" t="s">
        <v>12</v>
      </c>
      <c r="L495" t="s">
        <v>53</v>
      </c>
      <c r="M495" t="s">
        <v>19</v>
      </c>
      <c r="N495" s="25">
        <v>41013</v>
      </c>
      <c r="O495">
        <v>2636.239</v>
      </c>
      <c r="P495">
        <v>2636.239</v>
      </c>
    </row>
    <row r="496" spans="1:16" x14ac:dyDescent="0.35">
      <c r="A496">
        <v>496</v>
      </c>
      <c r="B496" t="s">
        <v>64</v>
      </c>
      <c r="C496" t="s">
        <v>62</v>
      </c>
      <c r="D496" t="s">
        <v>58</v>
      </c>
      <c r="E496" t="s">
        <v>2</v>
      </c>
      <c r="F496">
        <v>0</v>
      </c>
      <c r="G496">
        <v>87200</v>
      </c>
      <c r="H496">
        <v>0</v>
      </c>
      <c r="I496" t="s">
        <v>69</v>
      </c>
      <c r="J496">
        <v>18</v>
      </c>
      <c r="K496" t="s">
        <v>15</v>
      </c>
      <c r="L496" t="s">
        <v>52</v>
      </c>
      <c r="M496" t="s">
        <v>30</v>
      </c>
      <c r="N496" s="25">
        <v>40768</v>
      </c>
      <c r="O496">
        <v>3603.9189999999999</v>
      </c>
      <c r="P496">
        <v>3500</v>
      </c>
    </row>
    <row r="497" spans="1:16" x14ac:dyDescent="0.35">
      <c r="A497">
        <v>497</v>
      </c>
      <c r="B497" t="s">
        <v>64</v>
      </c>
      <c r="C497" t="s">
        <v>61</v>
      </c>
      <c r="D497" t="s">
        <v>58</v>
      </c>
      <c r="E497" t="s">
        <v>2</v>
      </c>
      <c r="F497">
        <v>1</v>
      </c>
      <c r="G497">
        <v>76400</v>
      </c>
      <c r="H497">
        <v>2</v>
      </c>
      <c r="I497" t="s">
        <v>68</v>
      </c>
      <c r="J497">
        <v>18</v>
      </c>
      <c r="K497" t="s">
        <v>14</v>
      </c>
      <c r="L497" t="s">
        <v>40</v>
      </c>
      <c r="M497" t="s">
        <v>37</v>
      </c>
      <c r="N497" s="25">
        <v>39845</v>
      </c>
      <c r="O497">
        <v>880.63699999999994</v>
      </c>
      <c r="P497">
        <v>880.63699999999994</v>
      </c>
    </row>
    <row r="498" spans="1:16" x14ac:dyDescent="0.35">
      <c r="A498">
        <v>498</v>
      </c>
      <c r="B498" t="s">
        <v>63</v>
      </c>
      <c r="C498" t="s">
        <v>61</v>
      </c>
      <c r="D498" t="s">
        <v>66</v>
      </c>
      <c r="E498" t="s">
        <v>2</v>
      </c>
      <c r="F498">
        <v>1</v>
      </c>
      <c r="G498">
        <v>64300</v>
      </c>
      <c r="H498">
        <v>3</v>
      </c>
      <c r="I498" t="s">
        <v>67</v>
      </c>
      <c r="J498">
        <v>6</v>
      </c>
      <c r="K498" t="s">
        <v>12</v>
      </c>
      <c r="L498" t="s">
        <v>53</v>
      </c>
      <c r="M498" t="s">
        <v>19</v>
      </c>
      <c r="N498" s="25">
        <v>41159</v>
      </c>
      <c r="O498">
        <v>239.19399999999999</v>
      </c>
      <c r="P498">
        <v>239.19399999999999</v>
      </c>
    </row>
    <row r="499" spans="1:16" x14ac:dyDescent="0.35">
      <c r="A499">
        <v>499</v>
      </c>
      <c r="B499" t="s">
        <v>64</v>
      </c>
      <c r="C499" t="s">
        <v>61</v>
      </c>
      <c r="D499" t="s">
        <v>58</v>
      </c>
      <c r="E499" t="s">
        <v>2</v>
      </c>
      <c r="F499">
        <v>1</v>
      </c>
      <c r="G499">
        <v>119800</v>
      </c>
      <c r="H499">
        <v>2</v>
      </c>
      <c r="I499" t="s">
        <v>68</v>
      </c>
      <c r="J499">
        <v>24</v>
      </c>
      <c r="K499" t="s">
        <v>13</v>
      </c>
      <c r="L499" t="s">
        <v>46</v>
      </c>
      <c r="M499" t="s">
        <v>22</v>
      </c>
      <c r="N499" s="25">
        <v>41476</v>
      </c>
      <c r="O499">
        <v>2089.6170000000002</v>
      </c>
      <c r="P499">
        <v>2089.6170000000002</v>
      </c>
    </row>
    <row r="500" spans="1:16" x14ac:dyDescent="0.35">
      <c r="A500">
        <v>500</v>
      </c>
      <c r="B500" t="s">
        <v>64</v>
      </c>
      <c r="C500" t="s">
        <v>61</v>
      </c>
      <c r="D500" t="s">
        <v>58</v>
      </c>
      <c r="E500" t="s">
        <v>70</v>
      </c>
      <c r="F500">
        <v>1</v>
      </c>
      <c r="G500">
        <v>56300</v>
      </c>
      <c r="H500">
        <v>3</v>
      </c>
      <c r="I500" t="s">
        <v>67</v>
      </c>
      <c r="J500">
        <v>6</v>
      </c>
      <c r="K500" t="s">
        <v>15</v>
      </c>
      <c r="L500" t="s">
        <v>52</v>
      </c>
      <c r="M500" t="s">
        <v>30</v>
      </c>
      <c r="N500" s="25">
        <v>40697</v>
      </c>
      <c r="O500">
        <v>320.75799999999998</v>
      </c>
      <c r="P500">
        <v>320.75799999999998</v>
      </c>
    </row>
    <row r="501" spans="1:16" x14ac:dyDescent="0.35">
      <c r="A501">
        <v>501</v>
      </c>
      <c r="B501" t="s">
        <v>63</v>
      </c>
      <c r="C501" t="s">
        <v>61</v>
      </c>
      <c r="D501" t="s">
        <v>66</v>
      </c>
      <c r="E501" t="s">
        <v>2</v>
      </c>
      <c r="F501">
        <v>1</v>
      </c>
      <c r="G501">
        <v>67800</v>
      </c>
      <c r="H501">
        <v>0</v>
      </c>
      <c r="I501" t="s">
        <v>69</v>
      </c>
      <c r="J501">
        <v>12</v>
      </c>
      <c r="K501" t="s">
        <v>13</v>
      </c>
      <c r="L501" t="s">
        <v>43</v>
      </c>
      <c r="M501" t="s">
        <v>23</v>
      </c>
      <c r="N501" s="25">
        <v>41828</v>
      </c>
      <c r="O501">
        <v>1083.6769999999999</v>
      </c>
      <c r="P501">
        <v>1083.6769999999999</v>
      </c>
    </row>
    <row r="502" spans="1:16" x14ac:dyDescent="0.35">
      <c r="A502">
        <v>502</v>
      </c>
      <c r="B502" t="s">
        <v>63</v>
      </c>
      <c r="C502" t="s">
        <v>61</v>
      </c>
      <c r="D502" t="s">
        <v>66</v>
      </c>
      <c r="E502" t="s">
        <v>2</v>
      </c>
      <c r="F502">
        <v>1</v>
      </c>
      <c r="G502">
        <v>66700</v>
      </c>
      <c r="H502">
        <v>0</v>
      </c>
      <c r="I502" t="s">
        <v>8</v>
      </c>
      <c r="J502">
        <v>18</v>
      </c>
      <c r="K502" t="s">
        <v>14</v>
      </c>
      <c r="L502" t="s">
        <v>40</v>
      </c>
      <c r="M502" t="s">
        <v>36</v>
      </c>
      <c r="N502" s="25">
        <v>42193</v>
      </c>
      <c r="O502">
        <v>1310.0129999999999</v>
      </c>
      <c r="P502">
        <v>1310.0129999999999</v>
      </c>
    </row>
    <row r="503" spans="1:16" x14ac:dyDescent="0.35">
      <c r="A503">
        <v>503</v>
      </c>
      <c r="B503" t="s">
        <v>65</v>
      </c>
      <c r="C503" t="s">
        <v>62</v>
      </c>
      <c r="D503" t="s">
        <v>58</v>
      </c>
      <c r="E503" t="s">
        <v>2</v>
      </c>
      <c r="F503">
        <v>0</v>
      </c>
      <c r="G503">
        <v>91800</v>
      </c>
      <c r="H503">
        <v>0</v>
      </c>
      <c r="I503" t="s">
        <v>8</v>
      </c>
      <c r="J503">
        <v>24</v>
      </c>
      <c r="K503" t="s">
        <v>15</v>
      </c>
      <c r="L503" t="s">
        <v>42</v>
      </c>
      <c r="M503" t="s">
        <v>32</v>
      </c>
      <c r="N503" s="25">
        <v>42211</v>
      </c>
      <c r="O503">
        <v>2451.6080000000002</v>
      </c>
      <c r="P503">
        <v>2451.6080000000002</v>
      </c>
    </row>
    <row r="504" spans="1:16" x14ac:dyDescent="0.35">
      <c r="A504">
        <v>504</v>
      </c>
      <c r="B504" t="s">
        <v>63</v>
      </c>
      <c r="C504" t="s">
        <v>61</v>
      </c>
      <c r="D504" t="s">
        <v>66</v>
      </c>
      <c r="E504" t="s">
        <v>70</v>
      </c>
      <c r="F504">
        <v>1</v>
      </c>
      <c r="G504">
        <v>17700</v>
      </c>
      <c r="H504">
        <v>1</v>
      </c>
      <c r="I504" t="s">
        <v>67</v>
      </c>
      <c r="J504">
        <v>12</v>
      </c>
      <c r="K504" t="s">
        <v>13</v>
      </c>
      <c r="L504" t="s">
        <v>46</v>
      </c>
      <c r="M504" t="s">
        <v>22</v>
      </c>
      <c r="N504" s="25">
        <v>41990</v>
      </c>
      <c r="O504">
        <v>268.20800000000003</v>
      </c>
      <c r="P504">
        <v>268.20800000000003</v>
      </c>
    </row>
    <row r="505" spans="1:16" x14ac:dyDescent="0.35">
      <c r="A505">
        <v>505</v>
      </c>
      <c r="B505" t="s">
        <v>64</v>
      </c>
      <c r="C505" t="s">
        <v>62</v>
      </c>
      <c r="D505" t="s">
        <v>58</v>
      </c>
      <c r="E505" t="s">
        <v>2</v>
      </c>
      <c r="F505">
        <v>1</v>
      </c>
      <c r="G505">
        <v>97900</v>
      </c>
      <c r="H505">
        <v>0</v>
      </c>
      <c r="I505" t="s">
        <v>69</v>
      </c>
      <c r="J505">
        <v>24</v>
      </c>
      <c r="K505" t="s">
        <v>12</v>
      </c>
      <c r="L505" t="s">
        <v>47</v>
      </c>
      <c r="M505" t="s">
        <v>18</v>
      </c>
      <c r="N505" s="25">
        <v>41370</v>
      </c>
      <c r="O505">
        <v>2149.223</v>
      </c>
      <c r="P505">
        <v>2149.223</v>
      </c>
    </row>
    <row r="506" spans="1:16" x14ac:dyDescent="0.35">
      <c r="A506">
        <v>506</v>
      </c>
      <c r="B506" t="s">
        <v>63</v>
      </c>
      <c r="C506" t="s">
        <v>62</v>
      </c>
      <c r="D506" t="s">
        <v>58</v>
      </c>
      <c r="E506" t="s">
        <v>2</v>
      </c>
      <c r="F506">
        <v>1</v>
      </c>
      <c r="G506">
        <v>76200</v>
      </c>
      <c r="H506">
        <v>0</v>
      </c>
      <c r="I506" t="s">
        <v>69</v>
      </c>
      <c r="J506">
        <v>12</v>
      </c>
      <c r="K506" t="s">
        <v>12</v>
      </c>
      <c r="L506" t="s">
        <v>47</v>
      </c>
      <c r="M506" t="s">
        <v>18</v>
      </c>
      <c r="N506" s="25">
        <v>40846</v>
      </c>
      <c r="O506">
        <v>979.21799999999996</v>
      </c>
      <c r="P506">
        <v>979.21799999999996</v>
      </c>
    </row>
    <row r="507" spans="1:16" x14ac:dyDescent="0.35">
      <c r="A507">
        <v>507</v>
      </c>
      <c r="B507" t="s">
        <v>64</v>
      </c>
      <c r="C507" t="s">
        <v>61</v>
      </c>
      <c r="D507" t="s">
        <v>66</v>
      </c>
      <c r="E507" t="s">
        <v>70</v>
      </c>
      <c r="F507">
        <v>1</v>
      </c>
      <c r="G507">
        <v>47200</v>
      </c>
      <c r="H507">
        <v>0</v>
      </c>
      <c r="I507" t="s">
        <v>68</v>
      </c>
      <c r="J507">
        <v>18</v>
      </c>
      <c r="K507" t="s">
        <v>15</v>
      </c>
      <c r="L507" t="s">
        <v>52</v>
      </c>
      <c r="M507" t="s">
        <v>31</v>
      </c>
      <c r="N507" s="25">
        <v>41418</v>
      </c>
      <c r="O507">
        <v>1587.3710000000001</v>
      </c>
      <c r="P507">
        <v>1587.3710000000001</v>
      </c>
    </row>
    <row r="508" spans="1:16" x14ac:dyDescent="0.35">
      <c r="A508">
        <v>508</v>
      </c>
      <c r="B508" t="s">
        <v>63</v>
      </c>
      <c r="C508" t="s">
        <v>61</v>
      </c>
      <c r="D508" t="s">
        <v>66</v>
      </c>
      <c r="E508" t="s">
        <v>70</v>
      </c>
      <c r="F508">
        <v>1</v>
      </c>
      <c r="G508">
        <v>21700</v>
      </c>
      <c r="H508">
        <v>1</v>
      </c>
      <c r="I508" t="s">
        <v>8</v>
      </c>
      <c r="J508">
        <v>18</v>
      </c>
      <c r="K508" t="s">
        <v>15</v>
      </c>
      <c r="L508" t="s">
        <v>28</v>
      </c>
      <c r="M508" t="s">
        <v>33</v>
      </c>
      <c r="N508" s="25">
        <v>42155</v>
      </c>
      <c r="O508">
        <v>773.96900000000005</v>
      </c>
      <c r="P508">
        <v>773.96900000000005</v>
      </c>
    </row>
    <row r="509" spans="1:16" x14ac:dyDescent="0.35">
      <c r="A509">
        <v>509</v>
      </c>
      <c r="B509" t="s">
        <v>64</v>
      </c>
      <c r="C509" t="s">
        <v>61</v>
      </c>
      <c r="D509" t="s">
        <v>58</v>
      </c>
      <c r="E509" t="s">
        <v>2</v>
      </c>
      <c r="F509">
        <v>1</v>
      </c>
      <c r="G509">
        <v>82400</v>
      </c>
      <c r="H509">
        <v>0</v>
      </c>
      <c r="I509" t="s">
        <v>69</v>
      </c>
      <c r="J509">
        <v>18</v>
      </c>
      <c r="K509" t="s">
        <v>15</v>
      </c>
      <c r="L509" t="s">
        <v>44</v>
      </c>
      <c r="M509" t="s">
        <v>29</v>
      </c>
      <c r="N509" s="25">
        <v>42226</v>
      </c>
      <c r="O509">
        <v>1779.03</v>
      </c>
      <c r="P509">
        <v>1779.03</v>
      </c>
    </row>
    <row r="510" spans="1:16" x14ac:dyDescent="0.35">
      <c r="A510">
        <v>510</v>
      </c>
      <c r="B510" t="s">
        <v>64</v>
      </c>
      <c r="C510" t="s">
        <v>62</v>
      </c>
      <c r="D510" t="s">
        <v>66</v>
      </c>
      <c r="E510" t="s">
        <v>70</v>
      </c>
      <c r="F510">
        <v>0</v>
      </c>
      <c r="G510">
        <v>35600</v>
      </c>
      <c r="H510">
        <v>3</v>
      </c>
      <c r="I510" t="s">
        <v>67</v>
      </c>
      <c r="J510">
        <v>18</v>
      </c>
      <c r="K510" t="s">
        <v>12</v>
      </c>
      <c r="L510" t="s">
        <v>47</v>
      </c>
      <c r="M510" t="s">
        <v>16</v>
      </c>
      <c r="N510" s="25">
        <v>41929</v>
      </c>
      <c r="O510">
        <v>865.08500000000004</v>
      </c>
      <c r="P510">
        <v>865.08500000000004</v>
      </c>
    </row>
    <row r="511" spans="1:16" x14ac:dyDescent="0.35">
      <c r="A511">
        <v>511</v>
      </c>
      <c r="B511" t="s">
        <v>65</v>
      </c>
      <c r="C511" t="s">
        <v>61</v>
      </c>
      <c r="D511" t="s">
        <v>66</v>
      </c>
      <c r="E511" t="s">
        <v>70</v>
      </c>
      <c r="F511">
        <v>1</v>
      </c>
      <c r="G511">
        <v>42800</v>
      </c>
      <c r="H511">
        <v>0</v>
      </c>
      <c r="I511" t="s">
        <v>68</v>
      </c>
      <c r="J511">
        <v>12</v>
      </c>
      <c r="K511" t="s">
        <v>14</v>
      </c>
      <c r="L511" t="s">
        <v>49</v>
      </c>
      <c r="M511" t="s">
        <v>39</v>
      </c>
      <c r="N511" s="25">
        <v>41994</v>
      </c>
      <c r="O511">
        <v>922.04700000000003</v>
      </c>
      <c r="P511">
        <v>922.04700000000003</v>
      </c>
    </row>
    <row r="512" spans="1:16" x14ac:dyDescent="0.35">
      <c r="A512">
        <v>512</v>
      </c>
      <c r="B512" t="s">
        <v>64</v>
      </c>
      <c r="C512" t="s">
        <v>61</v>
      </c>
      <c r="D512" t="s">
        <v>66</v>
      </c>
      <c r="E512" t="s">
        <v>70</v>
      </c>
      <c r="F512">
        <v>1</v>
      </c>
      <c r="G512">
        <v>72000</v>
      </c>
      <c r="H512">
        <v>0</v>
      </c>
      <c r="I512" t="s">
        <v>69</v>
      </c>
      <c r="J512">
        <v>12</v>
      </c>
      <c r="K512" t="s">
        <v>13</v>
      </c>
      <c r="L512" t="s">
        <v>45</v>
      </c>
      <c r="M512" t="s">
        <v>26</v>
      </c>
      <c r="N512" s="25">
        <v>41058</v>
      </c>
      <c r="O512">
        <v>1474.787</v>
      </c>
      <c r="P512">
        <v>1474.787</v>
      </c>
    </row>
    <row r="513" spans="1:16" x14ac:dyDescent="0.35">
      <c r="A513">
        <v>513</v>
      </c>
      <c r="B513" t="s">
        <v>64</v>
      </c>
      <c r="C513" t="s">
        <v>62</v>
      </c>
      <c r="D513" t="s">
        <v>58</v>
      </c>
      <c r="E513" t="s">
        <v>2</v>
      </c>
      <c r="F513">
        <v>0</v>
      </c>
      <c r="G513">
        <v>90400</v>
      </c>
      <c r="H513">
        <v>1</v>
      </c>
      <c r="I513" t="s">
        <v>69</v>
      </c>
      <c r="J513">
        <v>18</v>
      </c>
      <c r="K513" t="s">
        <v>15</v>
      </c>
      <c r="L513" t="s">
        <v>28</v>
      </c>
      <c r="M513" t="s">
        <v>28</v>
      </c>
      <c r="N513" s="25">
        <v>40880</v>
      </c>
      <c r="O513">
        <v>2924.424</v>
      </c>
      <c r="P513">
        <v>2924.424</v>
      </c>
    </row>
    <row r="514" spans="1:16" x14ac:dyDescent="0.35">
      <c r="A514">
        <v>514</v>
      </c>
      <c r="B514" t="s">
        <v>63</v>
      </c>
      <c r="C514" t="s">
        <v>61</v>
      </c>
      <c r="D514" t="s">
        <v>66</v>
      </c>
      <c r="E514" t="s">
        <v>2</v>
      </c>
      <c r="F514">
        <v>1</v>
      </c>
      <c r="G514">
        <v>37200</v>
      </c>
      <c r="H514">
        <v>1</v>
      </c>
      <c r="I514" t="s">
        <v>67</v>
      </c>
      <c r="J514">
        <v>6</v>
      </c>
      <c r="K514" t="s">
        <v>12</v>
      </c>
      <c r="L514" t="s">
        <v>55</v>
      </c>
      <c r="M514" t="s">
        <v>17</v>
      </c>
      <c r="N514" s="25">
        <v>40786</v>
      </c>
      <c r="O514">
        <v>247.00700000000001</v>
      </c>
      <c r="P514">
        <v>247.00700000000001</v>
      </c>
    </row>
    <row r="515" spans="1:16" x14ac:dyDescent="0.35">
      <c r="A515">
        <v>515</v>
      </c>
      <c r="B515" t="s">
        <v>64</v>
      </c>
      <c r="C515" t="s">
        <v>61</v>
      </c>
      <c r="D515" t="s">
        <v>58</v>
      </c>
      <c r="E515" t="s">
        <v>2</v>
      </c>
      <c r="F515">
        <v>1</v>
      </c>
      <c r="G515">
        <v>77000</v>
      </c>
      <c r="H515">
        <v>0</v>
      </c>
      <c r="I515" t="s">
        <v>69</v>
      </c>
      <c r="J515">
        <v>12</v>
      </c>
      <c r="K515" t="s">
        <v>15</v>
      </c>
      <c r="L515" t="s">
        <v>42</v>
      </c>
      <c r="M515" t="s">
        <v>32</v>
      </c>
      <c r="N515" s="25">
        <v>40714</v>
      </c>
      <c r="O515">
        <v>2103.614</v>
      </c>
      <c r="P515">
        <v>2103.614</v>
      </c>
    </row>
    <row r="516" spans="1:16" x14ac:dyDescent="0.35">
      <c r="A516">
        <v>516</v>
      </c>
      <c r="B516" t="s">
        <v>63</v>
      </c>
      <c r="C516" t="s">
        <v>62</v>
      </c>
      <c r="D516" t="s">
        <v>66</v>
      </c>
      <c r="E516" t="s">
        <v>2</v>
      </c>
      <c r="F516">
        <v>1</v>
      </c>
      <c r="G516">
        <v>71200</v>
      </c>
      <c r="H516">
        <v>3</v>
      </c>
      <c r="I516" t="s">
        <v>67</v>
      </c>
      <c r="J516">
        <v>12</v>
      </c>
      <c r="K516" t="s">
        <v>15</v>
      </c>
      <c r="L516" t="s">
        <v>52</v>
      </c>
      <c r="M516" t="s">
        <v>30</v>
      </c>
      <c r="N516" s="25">
        <v>39955</v>
      </c>
      <c r="O516">
        <v>392.37900000000002</v>
      </c>
      <c r="P516">
        <v>392.37900000000002</v>
      </c>
    </row>
    <row r="517" spans="1:16" x14ac:dyDescent="0.35">
      <c r="A517">
        <v>517</v>
      </c>
      <c r="B517" t="s">
        <v>65</v>
      </c>
      <c r="C517" t="s">
        <v>62</v>
      </c>
      <c r="D517" t="s">
        <v>58</v>
      </c>
      <c r="E517" t="s">
        <v>2</v>
      </c>
      <c r="F517">
        <v>1</v>
      </c>
      <c r="G517">
        <v>61000</v>
      </c>
      <c r="H517">
        <v>0</v>
      </c>
      <c r="I517" t="s">
        <v>8</v>
      </c>
      <c r="J517">
        <v>18</v>
      </c>
      <c r="K517" t="s">
        <v>13</v>
      </c>
      <c r="L517" t="s">
        <v>48</v>
      </c>
      <c r="M517" t="s">
        <v>27</v>
      </c>
      <c r="N517" s="25">
        <v>42010</v>
      </c>
      <c r="O517">
        <v>1849.538</v>
      </c>
      <c r="P517">
        <v>1849.538</v>
      </c>
    </row>
    <row r="518" spans="1:16" x14ac:dyDescent="0.35">
      <c r="A518">
        <v>518</v>
      </c>
      <c r="B518" t="s">
        <v>65</v>
      </c>
      <c r="C518" t="s">
        <v>61</v>
      </c>
      <c r="D518" t="s">
        <v>58</v>
      </c>
      <c r="E518" t="s">
        <v>2</v>
      </c>
      <c r="F518">
        <v>0</v>
      </c>
      <c r="G518">
        <v>37000</v>
      </c>
      <c r="H518">
        <v>0</v>
      </c>
      <c r="I518" t="s">
        <v>68</v>
      </c>
      <c r="J518">
        <v>12</v>
      </c>
      <c r="K518" t="s">
        <v>14</v>
      </c>
      <c r="L518" t="s">
        <v>50</v>
      </c>
      <c r="M518" t="s">
        <v>35</v>
      </c>
      <c r="N518" s="25">
        <v>40315</v>
      </c>
      <c r="O518">
        <v>849.67200000000003</v>
      </c>
      <c r="P518">
        <v>849.67200000000003</v>
      </c>
    </row>
    <row r="519" spans="1:16" x14ac:dyDescent="0.35">
      <c r="A519">
        <v>519</v>
      </c>
      <c r="B519" t="s">
        <v>63</v>
      </c>
      <c r="C519" t="s">
        <v>62</v>
      </c>
      <c r="D519" t="s">
        <v>66</v>
      </c>
      <c r="E519" t="s">
        <v>70</v>
      </c>
      <c r="F519">
        <v>1</v>
      </c>
      <c r="G519">
        <v>25300</v>
      </c>
      <c r="H519">
        <v>3</v>
      </c>
      <c r="I519" t="s">
        <v>8</v>
      </c>
      <c r="J519">
        <v>6</v>
      </c>
      <c r="K519" t="s">
        <v>12</v>
      </c>
      <c r="L519" t="s">
        <v>53</v>
      </c>
      <c r="M519" t="s">
        <v>19</v>
      </c>
      <c r="N519" s="25">
        <v>42088</v>
      </c>
      <c r="O519">
        <v>510.14800000000002</v>
      </c>
      <c r="P519">
        <v>510.14800000000002</v>
      </c>
    </row>
    <row r="520" spans="1:16" x14ac:dyDescent="0.35">
      <c r="A520">
        <v>520</v>
      </c>
      <c r="B520" t="s">
        <v>63</v>
      </c>
      <c r="C520" t="s">
        <v>62</v>
      </c>
      <c r="D520" t="s">
        <v>66</v>
      </c>
      <c r="E520" t="s">
        <v>2</v>
      </c>
      <c r="F520">
        <v>0</v>
      </c>
      <c r="G520">
        <v>53700</v>
      </c>
      <c r="H520">
        <v>0</v>
      </c>
      <c r="I520" t="s">
        <v>69</v>
      </c>
      <c r="J520">
        <v>24</v>
      </c>
      <c r="K520" t="s">
        <v>12</v>
      </c>
      <c r="L520" t="s">
        <v>53</v>
      </c>
      <c r="M520" t="s">
        <v>19</v>
      </c>
      <c r="N520" s="25">
        <v>42044</v>
      </c>
      <c r="O520">
        <v>2490.9740000000002</v>
      </c>
      <c r="P520">
        <v>2490.9740000000002</v>
      </c>
    </row>
    <row r="521" spans="1:16" x14ac:dyDescent="0.35">
      <c r="A521">
        <v>521</v>
      </c>
      <c r="B521" t="s">
        <v>64</v>
      </c>
      <c r="C521" t="s">
        <v>62</v>
      </c>
      <c r="D521" t="s">
        <v>66</v>
      </c>
      <c r="E521" t="s">
        <v>70</v>
      </c>
      <c r="F521">
        <v>1</v>
      </c>
      <c r="G521">
        <v>48100</v>
      </c>
      <c r="H521">
        <v>0</v>
      </c>
      <c r="I521" t="s">
        <v>68</v>
      </c>
      <c r="J521">
        <v>12</v>
      </c>
      <c r="K521" t="s">
        <v>12</v>
      </c>
      <c r="L521" t="s">
        <v>55</v>
      </c>
      <c r="M521" t="s">
        <v>17</v>
      </c>
      <c r="N521" s="25">
        <v>42010</v>
      </c>
      <c r="O521">
        <v>781.61900000000003</v>
      </c>
      <c r="P521">
        <v>781.61900000000003</v>
      </c>
    </row>
    <row r="522" spans="1:16" x14ac:dyDescent="0.35">
      <c r="A522">
        <v>522</v>
      </c>
      <c r="B522" t="s">
        <v>64</v>
      </c>
      <c r="C522" t="s">
        <v>61</v>
      </c>
      <c r="D522" t="s">
        <v>58</v>
      </c>
      <c r="E522" t="s">
        <v>2</v>
      </c>
      <c r="F522">
        <v>1</v>
      </c>
      <c r="G522">
        <v>96300</v>
      </c>
      <c r="H522">
        <v>1</v>
      </c>
      <c r="I522" t="s">
        <v>69</v>
      </c>
      <c r="J522">
        <v>12</v>
      </c>
      <c r="K522" t="s">
        <v>12</v>
      </c>
      <c r="L522" t="s">
        <v>55</v>
      </c>
      <c r="M522" t="s">
        <v>17</v>
      </c>
      <c r="N522" s="25">
        <v>39992</v>
      </c>
      <c r="O522">
        <v>1081.269</v>
      </c>
      <c r="P522">
        <v>1081.269</v>
      </c>
    </row>
    <row r="523" spans="1:16" x14ac:dyDescent="0.35">
      <c r="A523">
        <v>523</v>
      </c>
      <c r="B523" t="s">
        <v>64</v>
      </c>
      <c r="C523" t="s">
        <v>62</v>
      </c>
      <c r="D523" t="s">
        <v>66</v>
      </c>
      <c r="E523" t="s">
        <v>2</v>
      </c>
      <c r="F523">
        <v>1</v>
      </c>
      <c r="G523">
        <v>75200</v>
      </c>
      <c r="H523">
        <v>1</v>
      </c>
      <c r="I523" t="s">
        <v>8</v>
      </c>
      <c r="J523">
        <v>24</v>
      </c>
      <c r="K523" t="s">
        <v>13</v>
      </c>
      <c r="L523" t="s">
        <v>43</v>
      </c>
      <c r="M523" t="s">
        <v>23</v>
      </c>
      <c r="N523" s="25">
        <v>42069</v>
      </c>
      <c r="O523">
        <v>2702.4549999999999</v>
      </c>
      <c r="P523">
        <v>2702.4549999999999</v>
      </c>
    </row>
    <row r="524" spans="1:16" x14ac:dyDescent="0.35">
      <c r="A524">
        <v>524</v>
      </c>
      <c r="B524" t="s">
        <v>65</v>
      </c>
      <c r="C524" t="s">
        <v>62</v>
      </c>
      <c r="D524" t="s">
        <v>66</v>
      </c>
      <c r="E524" t="s">
        <v>2</v>
      </c>
      <c r="F524">
        <v>0</v>
      </c>
      <c r="G524">
        <v>81500</v>
      </c>
      <c r="H524">
        <v>0</v>
      </c>
      <c r="I524" t="s">
        <v>69</v>
      </c>
      <c r="J524">
        <v>18</v>
      </c>
      <c r="K524" t="s">
        <v>12</v>
      </c>
      <c r="L524" t="s">
        <v>41</v>
      </c>
      <c r="M524" t="s">
        <v>20</v>
      </c>
      <c r="N524" s="25">
        <v>41030</v>
      </c>
      <c r="O524">
        <v>3655.4</v>
      </c>
      <c r="P524">
        <v>3500</v>
      </c>
    </row>
    <row r="525" spans="1:16" x14ac:dyDescent="0.35">
      <c r="A525">
        <v>525</v>
      </c>
      <c r="B525" t="s">
        <v>64</v>
      </c>
      <c r="C525" t="s">
        <v>61</v>
      </c>
      <c r="D525" t="s">
        <v>66</v>
      </c>
      <c r="E525" t="s">
        <v>2</v>
      </c>
      <c r="F525">
        <v>0</v>
      </c>
      <c r="G525">
        <v>83500</v>
      </c>
      <c r="H525">
        <v>2</v>
      </c>
      <c r="I525" t="s">
        <v>69</v>
      </c>
      <c r="J525">
        <v>24</v>
      </c>
      <c r="K525" t="s">
        <v>12</v>
      </c>
      <c r="L525" t="s">
        <v>55</v>
      </c>
      <c r="M525" t="s">
        <v>17</v>
      </c>
      <c r="N525" s="25">
        <v>40937</v>
      </c>
      <c r="O525">
        <v>2098.2249999999999</v>
      </c>
      <c r="P525">
        <v>2098.2249999999999</v>
      </c>
    </row>
    <row r="526" spans="1:16" x14ac:dyDescent="0.35">
      <c r="A526">
        <v>526</v>
      </c>
      <c r="B526" t="s">
        <v>65</v>
      </c>
      <c r="C526" t="s">
        <v>62</v>
      </c>
      <c r="D526" t="s">
        <v>58</v>
      </c>
      <c r="E526" t="s">
        <v>70</v>
      </c>
      <c r="F526">
        <v>1</v>
      </c>
      <c r="G526">
        <v>30900</v>
      </c>
      <c r="H526">
        <v>0</v>
      </c>
      <c r="I526" t="s">
        <v>68</v>
      </c>
      <c r="J526">
        <v>18</v>
      </c>
      <c r="K526" t="s">
        <v>15</v>
      </c>
      <c r="L526" t="s">
        <v>52</v>
      </c>
      <c r="M526" t="s">
        <v>31</v>
      </c>
      <c r="N526" s="25">
        <v>40985</v>
      </c>
      <c r="O526">
        <v>861.91899999999998</v>
      </c>
      <c r="P526">
        <v>861.91899999999998</v>
      </c>
    </row>
    <row r="527" spans="1:16" x14ac:dyDescent="0.35">
      <c r="A527">
        <v>527</v>
      </c>
      <c r="B527" t="s">
        <v>64</v>
      </c>
      <c r="C527" t="s">
        <v>62</v>
      </c>
      <c r="D527" t="s">
        <v>58</v>
      </c>
      <c r="E527" t="s">
        <v>2</v>
      </c>
      <c r="F527">
        <v>1</v>
      </c>
      <c r="G527">
        <v>75600</v>
      </c>
      <c r="H527">
        <v>0</v>
      </c>
      <c r="I527" t="s">
        <v>8</v>
      </c>
      <c r="J527">
        <v>12</v>
      </c>
      <c r="K527" t="s">
        <v>13</v>
      </c>
      <c r="L527" t="s">
        <v>46</v>
      </c>
      <c r="M527" t="s">
        <v>22</v>
      </c>
      <c r="N527" s="25">
        <v>42170</v>
      </c>
      <c r="O527">
        <v>1540.8920000000001</v>
      </c>
      <c r="P527">
        <v>1540.8920000000001</v>
      </c>
    </row>
    <row r="528" spans="1:16" x14ac:dyDescent="0.35">
      <c r="A528">
        <v>528</v>
      </c>
      <c r="B528" t="s">
        <v>63</v>
      </c>
      <c r="C528" t="s">
        <v>61</v>
      </c>
      <c r="D528" t="s">
        <v>66</v>
      </c>
      <c r="E528" t="s">
        <v>2</v>
      </c>
      <c r="F528">
        <v>0</v>
      </c>
      <c r="G528">
        <v>25100</v>
      </c>
      <c r="H528">
        <v>0</v>
      </c>
      <c r="I528" t="s">
        <v>68</v>
      </c>
      <c r="J528">
        <v>12</v>
      </c>
      <c r="K528" t="s">
        <v>13</v>
      </c>
      <c r="L528" t="s">
        <v>45</v>
      </c>
      <c r="M528" t="s">
        <v>26</v>
      </c>
      <c r="N528" s="25">
        <v>40687</v>
      </c>
      <c r="O528">
        <v>592.072</v>
      </c>
      <c r="P528">
        <v>592.072</v>
      </c>
    </row>
    <row r="529" spans="1:16" x14ac:dyDescent="0.35">
      <c r="A529">
        <v>529</v>
      </c>
      <c r="B529" t="s">
        <v>65</v>
      </c>
      <c r="C529" t="s">
        <v>62</v>
      </c>
      <c r="D529" t="s">
        <v>66</v>
      </c>
      <c r="E529" t="s">
        <v>2</v>
      </c>
      <c r="F529">
        <v>1</v>
      </c>
      <c r="G529">
        <v>41700</v>
      </c>
      <c r="H529">
        <v>0</v>
      </c>
      <c r="I529" t="s">
        <v>68</v>
      </c>
      <c r="J529">
        <v>18</v>
      </c>
      <c r="K529" t="s">
        <v>12</v>
      </c>
      <c r="L529" t="s">
        <v>55</v>
      </c>
      <c r="M529" t="s">
        <v>17</v>
      </c>
      <c r="N529" s="25">
        <v>41891</v>
      </c>
      <c r="O529">
        <v>1397.7159999999999</v>
      </c>
      <c r="P529">
        <v>1397.7159999999999</v>
      </c>
    </row>
    <row r="530" spans="1:16" x14ac:dyDescent="0.35">
      <c r="A530">
        <v>530</v>
      </c>
      <c r="B530" t="s">
        <v>64</v>
      </c>
      <c r="C530" t="s">
        <v>62</v>
      </c>
      <c r="D530" t="s">
        <v>58</v>
      </c>
      <c r="E530" t="s">
        <v>2</v>
      </c>
      <c r="F530">
        <v>1</v>
      </c>
      <c r="G530">
        <v>35300</v>
      </c>
      <c r="H530">
        <v>0</v>
      </c>
      <c r="I530" t="s">
        <v>68</v>
      </c>
      <c r="J530">
        <v>24</v>
      </c>
      <c r="K530" t="s">
        <v>12</v>
      </c>
      <c r="L530" t="s">
        <v>53</v>
      </c>
      <c r="M530" t="s">
        <v>19</v>
      </c>
      <c r="N530" s="25">
        <v>41847</v>
      </c>
      <c r="O530">
        <v>1092.528</v>
      </c>
      <c r="P530">
        <v>1092.528</v>
      </c>
    </row>
    <row r="531" spans="1:16" x14ac:dyDescent="0.35">
      <c r="A531">
        <v>531</v>
      </c>
      <c r="B531" t="s">
        <v>64</v>
      </c>
      <c r="C531" t="s">
        <v>62</v>
      </c>
      <c r="D531" t="s">
        <v>66</v>
      </c>
      <c r="E531" t="s">
        <v>70</v>
      </c>
      <c r="F531">
        <v>1</v>
      </c>
      <c r="G531">
        <v>35300</v>
      </c>
      <c r="H531">
        <v>0</v>
      </c>
      <c r="I531" t="s">
        <v>8</v>
      </c>
      <c r="J531">
        <v>18</v>
      </c>
      <c r="K531" t="s">
        <v>12</v>
      </c>
      <c r="L531" t="s">
        <v>54</v>
      </c>
      <c r="M531" t="s">
        <v>21</v>
      </c>
      <c r="N531" s="25">
        <v>42052</v>
      </c>
      <c r="O531">
        <v>1368.739</v>
      </c>
      <c r="P531">
        <v>1368.739</v>
      </c>
    </row>
    <row r="532" spans="1:16" x14ac:dyDescent="0.35">
      <c r="A532">
        <v>532</v>
      </c>
      <c r="B532" t="s">
        <v>65</v>
      </c>
      <c r="C532" t="s">
        <v>61</v>
      </c>
      <c r="D532" t="s">
        <v>66</v>
      </c>
      <c r="E532" t="s">
        <v>70</v>
      </c>
      <c r="F532">
        <v>1</v>
      </c>
      <c r="G532">
        <v>44400</v>
      </c>
      <c r="H532">
        <v>0</v>
      </c>
      <c r="I532" t="s">
        <v>68</v>
      </c>
      <c r="J532">
        <v>18</v>
      </c>
      <c r="K532" t="s">
        <v>14</v>
      </c>
      <c r="L532" t="s">
        <v>51</v>
      </c>
      <c r="M532" t="s">
        <v>38</v>
      </c>
      <c r="N532" s="25">
        <v>40876</v>
      </c>
      <c r="O532">
        <v>886.31399999999996</v>
      </c>
      <c r="P532">
        <v>886.31399999999996</v>
      </c>
    </row>
    <row r="533" spans="1:16" x14ac:dyDescent="0.35">
      <c r="A533">
        <v>533</v>
      </c>
      <c r="B533" t="s">
        <v>64</v>
      </c>
      <c r="C533" t="s">
        <v>62</v>
      </c>
      <c r="D533" t="s">
        <v>58</v>
      </c>
      <c r="E533" t="s">
        <v>2</v>
      </c>
      <c r="F533">
        <v>0</v>
      </c>
      <c r="G533">
        <v>44200</v>
      </c>
      <c r="H533">
        <v>0</v>
      </c>
      <c r="I533" t="s">
        <v>69</v>
      </c>
      <c r="J533">
        <v>24</v>
      </c>
      <c r="K533" t="s">
        <v>13</v>
      </c>
      <c r="L533" t="s">
        <v>43</v>
      </c>
      <c r="M533" t="s">
        <v>23</v>
      </c>
      <c r="N533" s="25">
        <v>40885</v>
      </c>
      <c r="O533">
        <v>2524.4879999999998</v>
      </c>
      <c r="P533">
        <v>2524.4879999999998</v>
      </c>
    </row>
    <row r="534" spans="1:16" x14ac:dyDescent="0.35">
      <c r="A534">
        <v>534</v>
      </c>
      <c r="B534" t="s">
        <v>65</v>
      </c>
      <c r="C534" t="s">
        <v>62</v>
      </c>
      <c r="D534" t="s">
        <v>58</v>
      </c>
      <c r="E534" t="s">
        <v>2</v>
      </c>
      <c r="F534">
        <v>0</v>
      </c>
      <c r="G534">
        <v>57900</v>
      </c>
      <c r="H534">
        <v>0</v>
      </c>
      <c r="I534" t="s">
        <v>69</v>
      </c>
      <c r="J534">
        <v>12</v>
      </c>
      <c r="K534" t="s">
        <v>12</v>
      </c>
      <c r="L534" t="s">
        <v>47</v>
      </c>
      <c r="M534" t="s">
        <v>18</v>
      </c>
      <c r="N534" s="25">
        <v>41438</v>
      </c>
      <c r="O534">
        <v>1692.94</v>
      </c>
      <c r="P534">
        <v>1692.94</v>
      </c>
    </row>
    <row r="535" spans="1:16" x14ac:dyDescent="0.35">
      <c r="A535">
        <v>535</v>
      </c>
      <c r="B535" t="s">
        <v>64</v>
      </c>
      <c r="C535" t="s">
        <v>61</v>
      </c>
      <c r="D535" t="s">
        <v>58</v>
      </c>
      <c r="E535" t="s">
        <v>2</v>
      </c>
      <c r="F535">
        <v>1</v>
      </c>
      <c r="G535">
        <v>97100</v>
      </c>
      <c r="H535">
        <v>0</v>
      </c>
      <c r="I535" t="s">
        <v>8</v>
      </c>
      <c r="J535">
        <v>12</v>
      </c>
      <c r="K535" t="s">
        <v>12</v>
      </c>
      <c r="L535" t="s">
        <v>53</v>
      </c>
      <c r="M535" t="s">
        <v>19</v>
      </c>
      <c r="N535" s="25">
        <v>42014</v>
      </c>
      <c r="O535">
        <v>1473.127</v>
      </c>
      <c r="P535">
        <v>1473.127</v>
      </c>
    </row>
    <row r="536" spans="1:16" x14ac:dyDescent="0.35">
      <c r="A536">
        <v>536</v>
      </c>
      <c r="B536" t="s">
        <v>64</v>
      </c>
      <c r="C536" t="s">
        <v>61</v>
      </c>
      <c r="D536" t="s">
        <v>66</v>
      </c>
      <c r="E536" t="s">
        <v>2</v>
      </c>
      <c r="F536">
        <v>1</v>
      </c>
      <c r="G536">
        <v>96400</v>
      </c>
      <c r="H536">
        <v>1</v>
      </c>
      <c r="I536" t="s">
        <v>69</v>
      </c>
      <c r="J536">
        <v>24</v>
      </c>
      <c r="K536" t="s">
        <v>14</v>
      </c>
      <c r="L536" t="s">
        <v>40</v>
      </c>
      <c r="M536" t="s">
        <v>36</v>
      </c>
      <c r="N536" s="25">
        <v>42130</v>
      </c>
      <c r="O536">
        <v>1822.3309999999999</v>
      </c>
      <c r="P536">
        <v>1822.3309999999999</v>
      </c>
    </row>
    <row r="537" spans="1:16" x14ac:dyDescent="0.35">
      <c r="A537">
        <v>537</v>
      </c>
      <c r="B537" t="s">
        <v>63</v>
      </c>
      <c r="C537" t="s">
        <v>62</v>
      </c>
      <c r="D537" t="s">
        <v>66</v>
      </c>
      <c r="E537" t="s">
        <v>70</v>
      </c>
      <c r="F537">
        <v>0</v>
      </c>
      <c r="G537">
        <v>23100</v>
      </c>
      <c r="H537">
        <v>2</v>
      </c>
      <c r="I537" t="s">
        <v>67</v>
      </c>
      <c r="J537">
        <v>12</v>
      </c>
      <c r="K537" t="s">
        <v>13</v>
      </c>
      <c r="L537" t="s">
        <v>45</v>
      </c>
      <c r="M537" t="s">
        <v>26</v>
      </c>
      <c r="N537" s="25">
        <v>42039</v>
      </c>
      <c r="O537">
        <v>457.00599999999997</v>
      </c>
      <c r="P537">
        <v>457.00599999999997</v>
      </c>
    </row>
    <row r="538" spans="1:16" x14ac:dyDescent="0.35">
      <c r="A538">
        <v>538</v>
      </c>
      <c r="B538" t="s">
        <v>64</v>
      </c>
      <c r="C538" t="s">
        <v>61</v>
      </c>
      <c r="D538" t="s">
        <v>66</v>
      </c>
      <c r="E538" t="s">
        <v>70</v>
      </c>
      <c r="F538">
        <v>0</v>
      </c>
      <c r="G538">
        <v>67700</v>
      </c>
      <c r="H538">
        <v>0</v>
      </c>
      <c r="I538" t="s">
        <v>69</v>
      </c>
      <c r="J538">
        <v>12</v>
      </c>
      <c r="K538" t="s">
        <v>12</v>
      </c>
      <c r="L538" t="s">
        <v>53</v>
      </c>
      <c r="M538" t="s">
        <v>19</v>
      </c>
      <c r="N538" s="25">
        <v>41914</v>
      </c>
      <c r="O538">
        <v>2226.3510000000001</v>
      </c>
      <c r="P538">
        <v>2226.3510000000001</v>
      </c>
    </row>
    <row r="539" spans="1:16" x14ac:dyDescent="0.35">
      <c r="A539">
        <v>539</v>
      </c>
      <c r="B539" t="s">
        <v>64</v>
      </c>
      <c r="C539" t="s">
        <v>62</v>
      </c>
      <c r="D539" t="s">
        <v>66</v>
      </c>
      <c r="E539" t="s">
        <v>2</v>
      </c>
      <c r="F539">
        <v>0</v>
      </c>
      <c r="G539">
        <v>53900</v>
      </c>
      <c r="H539">
        <v>1</v>
      </c>
      <c r="I539" t="s">
        <v>69</v>
      </c>
      <c r="J539">
        <v>18</v>
      </c>
      <c r="K539" t="s">
        <v>15</v>
      </c>
      <c r="L539" t="s">
        <v>52</v>
      </c>
      <c r="M539" t="s">
        <v>31</v>
      </c>
      <c r="N539" s="25">
        <v>41172</v>
      </c>
      <c r="O539">
        <v>2177.34</v>
      </c>
      <c r="P539">
        <v>2177.34</v>
      </c>
    </row>
    <row r="540" spans="1:16" x14ac:dyDescent="0.35">
      <c r="A540">
        <v>540</v>
      </c>
      <c r="B540" t="s">
        <v>63</v>
      </c>
      <c r="C540" t="s">
        <v>62</v>
      </c>
      <c r="D540" t="s">
        <v>58</v>
      </c>
      <c r="E540" t="s">
        <v>2</v>
      </c>
      <c r="F540">
        <v>1</v>
      </c>
      <c r="G540">
        <v>42400</v>
      </c>
      <c r="H540">
        <v>1</v>
      </c>
      <c r="I540" t="s">
        <v>8</v>
      </c>
      <c r="J540">
        <v>18</v>
      </c>
      <c r="K540" t="s">
        <v>13</v>
      </c>
      <c r="L540" t="s">
        <v>48</v>
      </c>
      <c r="M540" t="s">
        <v>27</v>
      </c>
      <c r="N540" s="25">
        <v>42243</v>
      </c>
      <c r="O540">
        <v>1165.6089999999999</v>
      </c>
      <c r="P540">
        <v>1165.6089999999999</v>
      </c>
    </row>
    <row r="541" spans="1:16" x14ac:dyDescent="0.35">
      <c r="A541">
        <v>541</v>
      </c>
      <c r="B541" t="s">
        <v>64</v>
      </c>
      <c r="C541" t="s">
        <v>62</v>
      </c>
      <c r="D541" t="s">
        <v>58</v>
      </c>
      <c r="E541" t="s">
        <v>70</v>
      </c>
      <c r="F541">
        <v>1</v>
      </c>
      <c r="G541">
        <v>52700</v>
      </c>
      <c r="H541">
        <v>2</v>
      </c>
      <c r="I541" t="s">
        <v>67</v>
      </c>
      <c r="J541">
        <v>18</v>
      </c>
      <c r="K541" t="s">
        <v>13</v>
      </c>
      <c r="L541" t="s">
        <v>43</v>
      </c>
      <c r="M541" t="s">
        <v>23</v>
      </c>
      <c r="N541" s="25">
        <v>40465</v>
      </c>
      <c r="O541">
        <v>854.90099999999995</v>
      </c>
      <c r="P541">
        <v>854.90099999999995</v>
      </c>
    </row>
    <row r="542" spans="1:16" x14ac:dyDescent="0.35">
      <c r="A542">
        <v>542</v>
      </c>
      <c r="B542" t="s">
        <v>64</v>
      </c>
      <c r="C542" t="s">
        <v>61</v>
      </c>
      <c r="D542" t="s">
        <v>66</v>
      </c>
      <c r="E542" t="s">
        <v>70</v>
      </c>
      <c r="F542">
        <v>1</v>
      </c>
      <c r="G542">
        <v>47000</v>
      </c>
      <c r="H542">
        <v>1</v>
      </c>
      <c r="I542" t="s">
        <v>68</v>
      </c>
      <c r="J542">
        <v>12</v>
      </c>
      <c r="K542" t="s">
        <v>12</v>
      </c>
      <c r="L542" t="s">
        <v>54</v>
      </c>
      <c r="M542" t="s">
        <v>21</v>
      </c>
      <c r="N542" s="25">
        <v>41804</v>
      </c>
      <c r="O542">
        <v>584.09699999999998</v>
      </c>
      <c r="P542">
        <v>584.09699999999998</v>
      </c>
    </row>
    <row r="543" spans="1:16" x14ac:dyDescent="0.35">
      <c r="A543">
        <v>543</v>
      </c>
      <c r="B543" t="s">
        <v>63</v>
      </c>
      <c r="C543" t="s">
        <v>62</v>
      </c>
      <c r="D543" t="s">
        <v>66</v>
      </c>
      <c r="E543" t="s">
        <v>70</v>
      </c>
      <c r="F543">
        <v>1</v>
      </c>
      <c r="G543">
        <v>14800</v>
      </c>
      <c r="H543">
        <v>1</v>
      </c>
      <c r="I543" t="s">
        <v>67</v>
      </c>
      <c r="J543">
        <v>6</v>
      </c>
      <c r="K543" t="s">
        <v>15</v>
      </c>
      <c r="L543" t="s">
        <v>28</v>
      </c>
      <c r="M543" t="s">
        <v>28</v>
      </c>
      <c r="N543" s="25">
        <v>39989</v>
      </c>
      <c r="O543">
        <v>208.505</v>
      </c>
      <c r="P543">
        <v>208.505</v>
      </c>
    </row>
    <row r="544" spans="1:16" x14ac:dyDescent="0.35">
      <c r="A544">
        <v>544</v>
      </c>
      <c r="B544" t="s">
        <v>63</v>
      </c>
      <c r="C544" t="s">
        <v>62</v>
      </c>
      <c r="D544" t="s">
        <v>66</v>
      </c>
      <c r="E544" t="s">
        <v>70</v>
      </c>
      <c r="F544">
        <v>1</v>
      </c>
      <c r="G544">
        <v>12700</v>
      </c>
      <c r="H544">
        <v>3</v>
      </c>
      <c r="I544" t="s">
        <v>67</v>
      </c>
      <c r="J544">
        <v>12</v>
      </c>
      <c r="K544" t="s">
        <v>14</v>
      </c>
      <c r="L544" t="s">
        <v>50</v>
      </c>
      <c r="M544" t="s">
        <v>35</v>
      </c>
      <c r="N544" s="25">
        <v>40044</v>
      </c>
      <c r="O544">
        <v>87.448999999999998</v>
      </c>
      <c r="P544">
        <v>87.448999999999998</v>
      </c>
    </row>
    <row r="545" spans="1:16" x14ac:dyDescent="0.35">
      <c r="A545">
        <v>545</v>
      </c>
      <c r="B545" t="s">
        <v>65</v>
      </c>
      <c r="C545" t="s">
        <v>62</v>
      </c>
      <c r="D545" t="s">
        <v>58</v>
      </c>
      <c r="E545" t="s">
        <v>2</v>
      </c>
      <c r="F545">
        <v>1</v>
      </c>
      <c r="G545">
        <v>96200</v>
      </c>
      <c r="H545">
        <v>0</v>
      </c>
      <c r="I545" t="s">
        <v>69</v>
      </c>
      <c r="J545">
        <v>12</v>
      </c>
      <c r="K545" t="s">
        <v>14</v>
      </c>
      <c r="L545" t="s">
        <v>49</v>
      </c>
      <c r="M545" t="s">
        <v>39</v>
      </c>
      <c r="N545" s="25">
        <v>39909</v>
      </c>
      <c r="O545">
        <v>1457.0329999999999</v>
      </c>
      <c r="P545">
        <v>1457.0329999999999</v>
      </c>
    </row>
    <row r="546" spans="1:16" x14ac:dyDescent="0.35">
      <c r="A546">
        <v>546</v>
      </c>
      <c r="B546" t="s">
        <v>63</v>
      </c>
      <c r="C546" t="s">
        <v>62</v>
      </c>
      <c r="D546" t="s">
        <v>58</v>
      </c>
      <c r="E546" t="s">
        <v>70</v>
      </c>
      <c r="F546">
        <v>1</v>
      </c>
      <c r="G546">
        <v>15100</v>
      </c>
      <c r="H546">
        <v>0</v>
      </c>
      <c r="I546" t="s">
        <v>67</v>
      </c>
      <c r="J546">
        <v>6</v>
      </c>
      <c r="K546" t="s">
        <v>13</v>
      </c>
      <c r="L546" t="s">
        <v>46</v>
      </c>
      <c r="M546" t="s">
        <v>22</v>
      </c>
      <c r="N546" s="25">
        <v>42159</v>
      </c>
      <c r="O546">
        <v>273.83499999999998</v>
      </c>
      <c r="P546">
        <v>273.83499999999998</v>
      </c>
    </row>
    <row r="547" spans="1:16" x14ac:dyDescent="0.35">
      <c r="A547">
        <v>547</v>
      </c>
      <c r="B547" t="s">
        <v>63</v>
      </c>
      <c r="C547" t="s">
        <v>61</v>
      </c>
      <c r="D547" t="s">
        <v>66</v>
      </c>
      <c r="E547" t="s">
        <v>2</v>
      </c>
      <c r="F547">
        <v>1</v>
      </c>
      <c r="G547">
        <v>43700</v>
      </c>
      <c r="H547">
        <v>1</v>
      </c>
      <c r="I547" t="s">
        <v>8</v>
      </c>
      <c r="J547">
        <v>12</v>
      </c>
      <c r="K547" t="s">
        <v>13</v>
      </c>
      <c r="L547" t="s">
        <v>45</v>
      </c>
      <c r="M547" t="s">
        <v>26</v>
      </c>
      <c r="N547" s="25">
        <v>42235</v>
      </c>
      <c r="O547">
        <v>926.71299999999997</v>
      </c>
      <c r="P547">
        <v>926.71299999999997</v>
      </c>
    </row>
    <row r="548" spans="1:16" x14ac:dyDescent="0.35">
      <c r="A548">
        <v>548</v>
      </c>
      <c r="B548" t="s">
        <v>65</v>
      </c>
      <c r="C548" t="s">
        <v>62</v>
      </c>
      <c r="D548" t="s">
        <v>58</v>
      </c>
      <c r="E548" t="s">
        <v>70</v>
      </c>
      <c r="F548">
        <v>1</v>
      </c>
      <c r="G548">
        <v>43300</v>
      </c>
      <c r="H548">
        <v>0</v>
      </c>
      <c r="I548" t="s">
        <v>8</v>
      </c>
      <c r="J548">
        <v>12</v>
      </c>
      <c r="K548" t="s">
        <v>15</v>
      </c>
      <c r="L548" t="s">
        <v>42</v>
      </c>
      <c r="M548" t="s">
        <v>32</v>
      </c>
      <c r="N548" s="25">
        <v>42245</v>
      </c>
      <c r="O548">
        <v>1584.3019999999999</v>
      </c>
      <c r="P548">
        <v>1584.3019999999999</v>
      </c>
    </row>
    <row r="549" spans="1:16" x14ac:dyDescent="0.35">
      <c r="A549">
        <v>549</v>
      </c>
      <c r="B549" t="s">
        <v>64</v>
      </c>
      <c r="C549" t="s">
        <v>62</v>
      </c>
      <c r="D549" t="s">
        <v>58</v>
      </c>
      <c r="E549" t="s">
        <v>70</v>
      </c>
      <c r="F549">
        <v>1</v>
      </c>
      <c r="G549">
        <v>36700</v>
      </c>
      <c r="H549">
        <v>1</v>
      </c>
      <c r="I549" t="s">
        <v>8</v>
      </c>
      <c r="J549">
        <v>6</v>
      </c>
      <c r="K549" t="s">
        <v>14</v>
      </c>
      <c r="L549" t="s">
        <v>50</v>
      </c>
      <c r="M549" t="s">
        <v>34</v>
      </c>
      <c r="N549" s="25">
        <v>42237</v>
      </c>
      <c r="O549">
        <v>529.34699999999998</v>
      </c>
      <c r="P549">
        <v>529.34699999999998</v>
      </c>
    </row>
    <row r="550" spans="1:16" x14ac:dyDescent="0.35">
      <c r="A550">
        <v>550</v>
      </c>
      <c r="B550" t="s">
        <v>65</v>
      </c>
      <c r="C550" t="s">
        <v>62</v>
      </c>
      <c r="D550" t="s">
        <v>58</v>
      </c>
      <c r="E550" t="s">
        <v>70</v>
      </c>
      <c r="F550">
        <v>1</v>
      </c>
      <c r="G550">
        <v>28500</v>
      </c>
      <c r="H550">
        <v>0</v>
      </c>
      <c r="I550" t="s">
        <v>67</v>
      </c>
      <c r="J550">
        <v>24</v>
      </c>
      <c r="K550" t="s">
        <v>12</v>
      </c>
      <c r="L550" t="s">
        <v>54</v>
      </c>
      <c r="M550" t="s">
        <v>21</v>
      </c>
      <c r="N550" s="25">
        <v>39911</v>
      </c>
      <c r="O550">
        <v>621.16499999999996</v>
      </c>
      <c r="P550">
        <v>621.16499999999996</v>
      </c>
    </row>
    <row r="551" spans="1:16" x14ac:dyDescent="0.35">
      <c r="A551">
        <v>551</v>
      </c>
      <c r="B551" t="s">
        <v>64</v>
      </c>
      <c r="C551" t="s">
        <v>62</v>
      </c>
      <c r="D551" t="s">
        <v>66</v>
      </c>
      <c r="E551" t="s">
        <v>70</v>
      </c>
      <c r="F551">
        <v>1</v>
      </c>
      <c r="G551">
        <v>32100</v>
      </c>
      <c r="H551">
        <v>2</v>
      </c>
      <c r="I551" t="s">
        <v>67</v>
      </c>
      <c r="J551">
        <v>24</v>
      </c>
      <c r="K551" t="s">
        <v>12</v>
      </c>
      <c r="L551" t="s">
        <v>55</v>
      </c>
      <c r="M551" t="s">
        <v>17</v>
      </c>
      <c r="N551" s="25">
        <v>41507</v>
      </c>
      <c r="O551">
        <v>404.82299999999998</v>
      </c>
      <c r="P551">
        <v>404.82299999999998</v>
      </c>
    </row>
    <row r="552" spans="1:16" x14ac:dyDescent="0.35">
      <c r="A552">
        <v>552</v>
      </c>
      <c r="B552" t="s">
        <v>64</v>
      </c>
      <c r="C552" t="s">
        <v>61</v>
      </c>
      <c r="D552" t="s">
        <v>66</v>
      </c>
      <c r="E552" t="s">
        <v>2</v>
      </c>
      <c r="F552">
        <v>1</v>
      </c>
      <c r="G552">
        <v>92900</v>
      </c>
      <c r="H552">
        <v>1</v>
      </c>
      <c r="I552" t="s">
        <v>8</v>
      </c>
      <c r="J552">
        <v>6</v>
      </c>
      <c r="K552" t="s">
        <v>15</v>
      </c>
      <c r="L552" t="s">
        <v>28</v>
      </c>
      <c r="M552" t="s">
        <v>33</v>
      </c>
      <c r="N552" s="25">
        <v>42013</v>
      </c>
      <c r="O552">
        <v>1704.6679999999999</v>
      </c>
      <c r="P552">
        <v>1704.6679999999999</v>
      </c>
    </row>
    <row r="553" spans="1:16" x14ac:dyDescent="0.35">
      <c r="A553">
        <v>553</v>
      </c>
      <c r="B553" t="s">
        <v>65</v>
      </c>
      <c r="C553" t="s">
        <v>62</v>
      </c>
      <c r="D553" t="s">
        <v>58</v>
      </c>
      <c r="E553" t="s">
        <v>2</v>
      </c>
      <c r="F553">
        <v>0</v>
      </c>
      <c r="G553">
        <v>40100</v>
      </c>
      <c r="H553">
        <v>0</v>
      </c>
      <c r="I553" t="s">
        <v>68</v>
      </c>
      <c r="J553">
        <v>12</v>
      </c>
      <c r="K553" t="s">
        <v>13</v>
      </c>
      <c r="L553" t="s">
        <v>48</v>
      </c>
      <c r="M553" t="s">
        <v>27</v>
      </c>
      <c r="N553" s="25">
        <v>40697</v>
      </c>
      <c r="O553">
        <v>1383.8789999999999</v>
      </c>
      <c r="P553">
        <v>1383.8789999999999</v>
      </c>
    </row>
    <row r="554" spans="1:16" x14ac:dyDescent="0.35">
      <c r="A554">
        <v>554</v>
      </c>
      <c r="B554" t="s">
        <v>65</v>
      </c>
      <c r="C554" t="s">
        <v>62</v>
      </c>
      <c r="D554" t="s">
        <v>66</v>
      </c>
      <c r="E554" t="s">
        <v>70</v>
      </c>
      <c r="F554">
        <v>1</v>
      </c>
      <c r="G554">
        <v>21400</v>
      </c>
      <c r="H554">
        <v>0</v>
      </c>
      <c r="I554" t="s">
        <v>67</v>
      </c>
      <c r="J554">
        <v>18</v>
      </c>
      <c r="K554" t="s">
        <v>13</v>
      </c>
      <c r="L554" t="s">
        <v>56</v>
      </c>
      <c r="M554" t="s">
        <v>24</v>
      </c>
      <c r="N554" s="25">
        <v>41561</v>
      </c>
      <c r="O554">
        <v>497.73599999999999</v>
      </c>
      <c r="P554">
        <v>497.73599999999999</v>
      </c>
    </row>
    <row r="555" spans="1:16" x14ac:dyDescent="0.35">
      <c r="A555">
        <v>555</v>
      </c>
      <c r="B555" t="s">
        <v>64</v>
      </c>
      <c r="C555" t="s">
        <v>61</v>
      </c>
      <c r="D555" t="s">
        <v>58</v>
      </c>
      <c r="E555" t="s">
        <v>2</v>
      </c>
      <c r="F555">
        <v>1</v>
      </c>
      <c r="G555">
        <v>72200</v>
      </c>
      <c r="H555">
        <v>0</v>
      </c>
      <c r="I555" t="s">
        <v>69</v>
      </c>
      <c r="J555">
        <v>24</v>
      </c>
      <c r="K555" t="s">
        <v>15</v>
      </c>
      <c r="L555" t="s">
        <v>42</v>
      </c>
      <c r="M555" t="s">
        <v>32</v>
      </c>
      <c r="N555" s="25">
        <v>40690</v>
      </c>
      <c r="O555">
        <v>2491.6799999999998</v>
      </c>
      <c r="P555">
        <v>2491.6799999999998</v>
      </c>
    </row>
    <row r="556" spans="1:16" x14ac:dyDescent="0.35">
      <c r="A556">
        <v>556</v>
      </c>
      <c r="B556" t="s">
        <v>65</v>
      </c>
      <c r="C556" t="s">
        <v>62</v>
      </c>
      <c r="D556" t="s">
        <v>58</v>
      </c>
      <c r="E556" t="s">
        <v>2</v>
      </c>
      <c r="F556">
        <v>0</v>
      </c>
      <c r="G556">
        <v>67900</v>
      </c>
      <c r="H556">
        <v>0</v>
      </c>
      <c r="I556" t="s">
        <v>69</v>
      </c>
      <c r="J556">
        <v>24</v>
      </c>
      <c r="K556" t="s">
        <v>13</v>
      </c>
      <c r="L556" t="s">
        <v>45</v>
      </c>
      <c r="M556" t="s">
        <v>26</v>
      </c>
      <c r="N556" s="25">
        <v>39817</v>
      </c>
      <c r="O556">
        <v>2924.53</v>
      </c>
      <c r="P556">
        <v>2924.53</v>
      </c>
    </row>
    <row r="557" spans="1:16" x14ac:dyDescent="0.35">
      <c r="A557">
        <v>557</v>
      </c>
      <c r="B557" t="s">
        <v>63</v>
      </c>
      <c r="C557" t="s">
        <v>62</v>
      </c>
      <c r="D557" t="s">
        <v>66</v>
      </c>
      <c r="E557" t="s">
        <v>70</v>
      </c>
      <c r="F557">
        <v>0</v>
      </c>
      <c r="G557">
        <v>21100</v>
      </c>
      <c r="H557">
        <v>1</v>
      </c>
      <c r="I557" t="s">
        <v>67</v>
      </c>
      <c r="J557">
        <v>6</v>
      </c>
      <c r="K557" t="s">
        <v>15</v>
      </c>
      <c r="L557" t="s">
        <v>44</v>
      </c>
      <c r="M557" t="s">
        <v>29</v>
      </c>
      <c r="N557" s="25">
        <v>40127</v>
      </c>
      <c r="O557">
        <v>470.03899999999999</v>
      </c>
      <c r="P557">
        <v>470.03899999999999</v>
      </c>
    </row>
    <row r="558" spans="1:16" x14ac:dyDescent="0.35">
      <c r="A558">
        <v>558</v>
      </c>
      <c r="B558" t="s">
        <v>64</v>
      </c>
      <c r="C558" t="s">
        <v>61</v>
      </c>
      <c r="D558" t="s">
        <v>58</v>
      </c>
      <c r="E558" t="s">
        <v>2</v>
      </c>
      <c r="F558">
        <v>0</v>
      </c>
      <c r="G558">
        <v>93000</v>
      </c>
      <c r="H558">
        <v>3</v>
      </c>
      <c r="I558" t="s">
        <v>69</v>
      </c>
      <c r="J558">
        <v>6</v>
      </c>
      <c r="K558" t="s">
        <v>14</v>
      </c>
      <c r="L558" t="s">
        <v>51</v>
      </c>
      <c r="M558" t="s">
        <v>38</v>
      </c>
      <c r="N558" s="25">
        <v>42052</v>
      </c>
      <c r="O558">
        <v>1045.96</v>
      </c>
      <c r="P558">
        <v>1045.96</v>
      </c>
    </row>
    <row r="559" spans="1:16" x14ac:dyDescent="0.35">
      <c r="A559">
        <v>559</v>
      </c>
      <c r="B559" t="s">
        <v>63</v>
      </c>
      <c r="C559" t="s">
        <v>62</v>
      </c>
      <c r="D559" t="s">
        <v>66</v>
      </c>
      <c r="E559" t="s">
        <v>2</v>
      </c>
      <c r="F559">
        <v>1</v>
      </c>
      <c r="G559">
        <v>40900</v>
      </c>
      <c r="H559">
        <v>2</v>
      </c>
      <c r="I559" t="s">
        <v>67</v>
      </c>
      <c r="J559">
        <v>18</v>
      </c>
      <c r="K559" t="s">
        <v>12</v>
      </c>
      <c r="L559" t="s">
        <v>53</v>
      </c>
      <c r="M559" t="s">
        <v>19</v>
      </c>
      <c r="N559" s="25">
        <v>40995</v>
      </c>
      <c r="O559">
        <v>575.60199999999998</v>
      </c>
      <c r="P559">
        <v>575.60199999999998</v>
      </c>
    </row>
    <row r="560" spans="1:16" x14ac:dyDescent="0.35">
      <c r="A560">
        <v>560</v>
      </c>
      <c r="B560" t="s">
        <v>64</v>
      </c>
      <c r="C560" t="s">
        <v>61</v>
      </c>
      <c r="D560" t="s">
        <v>58</v>
      </c>
      <c r="E560" t="s">
        <v>70</v>
      </c>
      <c r="F560">
        <v>0</v>
      </c>
      <c r="G560">
        <v>61300</v>
      </c>
      <c r="H560">
        <v>2</v>
      </c>
      <c r="I560" t="s">
        <v>69</v>
      </c>
      <c r="J560">
        <v>24</v>
      </c>
      <c r="K560" t="s">
        <v>13</v>
      </c>
      <c r="L560" t="s">
        <v>43</v>
      </c>
      <c r="M560" t="s">
        <v>23</v>
      </c>
      <c r="N560" s="25">
        <v>41713</v>
      </c>
      <c r="O560">
        <v>1241.394</v>
      </c>
      <c r="P560">
        <v>1241.394</v>
      </c>
    </row>
    <row r="561" spans="1:16" x14ac:dyDescent="0.35">
      <c r="A561">
        <v>561</v>
      </c>
      <c r="B561" t="s">
        <v>65</v>
      </c>
      <c r="C561" t="s">
        <v>62</v>
      </c>
      <c r="D561" t="s">
        <v>58</v>
      </c>
      <c r="E561" t="s">
        <v>2</v>
      </c>
      <c r="F561">
        <v>1</v>
      </c>
      <c r="G561">
        <v>110700</v>
      </c>
      <c r="H561">
        <v>0</v>
      </c>
      <c r="I561" t="s">
        <v>69</v>
      </c>
      <c r="J561">
        <v>12</v>
      </c>
      <c r="K561" t="s">
        <v>12</v>
      </c>
      <c r="L561" t="s">
        <v>41</v>
      </c>
      <c r="M561" t="s">
        <v>20</v>
      </c>
      <c r="N561" s="25">
        <v>41621</v>
      </c>
      <c r="O561">
        <v>2457.674</v>
      </c>
      <c r="P561">
        <v>2457.674</v>
      </c>
    </row>
    <row r="562" spans="1:16" x14ac:dyDescent="0.35">
      <c r="A562">
        <v>562</v>
      </c>
      <c r="B562" t="s">
        <v>64</v>
      </c>
      <c r="C562" t="s">
        <v>61</v>
      </c>
      <c r="D562" t="s">
        <v>66</v>
      </c>
      <c r="E562" t="s">
        <v>2</v>
      </c>
      <c r="F562">
        <v>1</v>
      </c>
      <c r="G562">
        <v>81800</v>
      </c>
      <c r="H562">
        <v>1</v>
      </c>
      <c r="I562" t="s">
        <v>69</v>
      </c>
      <c r="J562">
        <v>18</v>
      </c>
      <c r="K562" t="s">
        <v>15</v>
      </c>
      <c r="L562" t="s">
        <v>42</v>
      </c>
      <c r="M562" t="s">
        <v>32</v>
      </c>
      <c r="N562" s="25">
        <v>40002</v>
      </c>
      <c r="O562">
        <v>1837.867</v>
      </c>
      <c r="P562">
        <v>1837.867</v>
      </c>
    </row>
    <row r="563" spans="1:16" x14ac:dyDescent="0.35">
      <c r="A563">
        <v>563</v>
      </c>
      <c r="B563" t="s">
        <v>63</v>
      </c>
      <c r="C563" t="s">
        <v>61</v>
      </c>
      <c r="D563" t="s">
        <v>66</v>
      </c>
      <c r="E563" t="s">
        <v>70</v>
      </c>
      <c r="F563">
        <v>1</v>
      </c>
      <c r="G563">
        <v>19100</v>
      </c>
      <c r="H563">
        <v>0</v>
      </c>
      <c r="I563" t="s">
        <v>8</v>
      </c>
      <c r="J563">
        <v>6</v>
      </c>
      <c r="K563" t="s">
        <v>15</v>
      </c>
      <c r="L563" t="s">
        <v>28</v>
      </c>
      <c r="M563" t="s">
        <v>33</v>
      </c>
      <c r="N563" s="25">
        <v>42058</v>
      </c>
      <c r="O563">
        <v>175.999</v>
      </c>
      <c r="P563">
        <v>175.999</v>
      </c>
    </row>
    <row r="564" spans="1:16" x14ac:dyDescent="0.35">
      <c r="A564">
        <v>564</v>
      </c>
      <c r="B564" t="s">
        <v>63</v>
      </c>
      <c r="C564" t="s">
        <v>62</v>
      </c>
      <c r="D564" t="s">
        <v>66</v>
      </c>
      <c r="E564" t="s">
        <v>2</v>
      </c>
      <c r="F564">
        <v>1</v>
      </c>
      <c r="G564">
        <v>73600</v>
      </c>
      <c r="H564">
        <v>1</v>
      </c>
      <c r="I564" t="s">
        <v>68</v>
      </c>
      <c r="J564">
        <v>6</v>
      </c>
      <c r="K564" t="s">
        <v>13</v>
      </c>
      <c r="L564" t="s">
        <v>43</v>
      </c>
      <c r="M564" t="s">
        <v>23</v>
      </c>
      <c r="N564" s="25">
        <v>40277</v>
      </c>
      <c r="O564">
        <v>646.81299999999999</v>
      </c>
      <c r="P564">
        <v>646.81299999999999</v>
      </c>
    </row>
    <row r="565" spans="1:16" x14ac:dyDescent="0.35">
      <c r="A565">
        <v>565</v>
      </c>
      <c r="B565" t="s">
        <v>64</v>
      </c>
      <c r="C565" t="s">
        <v>62</v>
      </c>
      <c r="D565" t="s">
        <v>58</v>
      </c>
      <c r="E565" t="s">
        <v>70</v>
      </c>
      <c r="F565">
        <v>0</v>
      </c>
      <c r="G565">
        <v>62500</v>
      </c>
      <c r="H565">
        <v>3</v>
      </c>
      <c r="I565" t="s">
        <v>8</v>
      </c>
      <c r="J565">
        <v>6</v>
      </c>
      <c r="K565" t="s">
        <v>14</v>
      </c>
      <c r="L565" t="s">
        <v>49</v>
      </c>
      <c r="M565" t="s">
        <v>39</v>
      </c>
      <c r="N565" s="25">
        <v>42175</v>
      </c>
      <c r="O565">
        <v>921.45799999999997</v>
      </c>
      <c r="P565">
        <v>921.45799999999997</v>
      </c>
    </row>
    <row r="566" spans="1:16" x14ac:dyDescent="0.35">
      <c r="A566">
        <v>566</v>
      </c>
      <c r="B566" t="s">
        <v>64</v>
      </c>
      <c r="C566" t="s">
        <v>62</v>
      </c>
      <c r="D566" t="s">
        <v>66</v>
      </c>
      <c r="E566" t="s">
        <v>2</v>
      </c>
      <c r="F566">
        <v>1</v>
      </c>
      <c r="G566">
        <v>48600</v>
      </c>
      <c r="H566">
        <v>0</v>
      </c>
      <c r="I566" t="s">
        <v>68</v>
      </c>
      <c r="J566">
        <v>24</v>
      </c>
      <c r="K566" t="s">
        <v>12</v>
      </c>
      <c r="L566" t="s">
        <v>47</v>
      </c>
      <c r="M566" t="s">
        <v>18</v>
      </c>
      <c r="N566" s="25">
        <v>41111</v>
      </c>
      <c r="O566">
        <v>1583.0640000000001</v>
      </c>
      <c r="P566">
        <v>1583.0640000000001</v>
      </c>
    </row>
    <row r="567" spans="1:16" x14ac:dyDescent="0.35">
      <c r="A567">
        <v>567</v>
      </c>
      <c r="B567" t="s">
        <v>65</v>
      </c>
      <c r="C567" t="s">
        <v>61</v>
      </c>
      <c r="D567" t="s">
        <v>66</v>
      </c>
      <c r="E567" t="s">
        <v>2</v>
      </c>
      <c r="F567">
        <v>1</v>
      </c>
      <c r="G567">
        <v>69800</v>
      </c>
      <c r="H567">
        <v>0</v>
      </c>
      <c r="I567" t="s">
        <v>69</v>
      </c>
      <c r="J567">
        <v>24</v>
      </c>
      <c r="K567" t="s">
        <v>14</v>
      </c>
      <c r="L567" t="s">
        <v>40</v>
      </c>
      <c r="M567" t="s">
        <v>37</v>
      </c>
      <c r="N567" s="25">
        <v>40849</v>
      </c>
      <c r="O567">
        <v>2763.596</v>
      </c>
      <c r="P567">
        <v>2763.596</v>
      </c>
    </row>
    <row r="568" spans="1:16" x14ac:dyDescent="0.35">
      <c r="A568">
        <v>568</v>
      </c>
      <c r="B568" t="s">
        <v>64</v>
      </c>
      <c r="C568" t="s">
        <v>61</v>
      </c>
      <c r="D568" t="s">
        <v>58</v>
      </c>
      <c r="E568" t="s">
        <v>2</v>
      </c>
      <c r="F568">
        <v>1</v>
      </c>
      <c r="G568">
        <v>90300</v>
      </c>
      <c r="H568">
        <v>0</v>
      </c>
      <c r="I568" t="s">
        <v>69</v>
      </c>
      <c r="J568">
        <v>24</v>
      </c>
      <c r="K568" t="s">
        <v>15</v>
      </c>
      <c r="L568" t="s">
        <v>44</v>
      </c>
      <c r="M568" t="s">
        <v>29</v>
      </c>
      <c r="N568" s="25">
        <v>41744</v>
      </c>
      <c r="O568">
        <v>1944.145</v>
      </c>
      <c r="P568">
        <v>1944.145</v>
      </c>
    </row>
    <row r="569" spans="1:16" x14ac:dyDescent="0.35">
      <c r="A569">
        <v>569</v>
      </c>
      <c r="B569" t="s">
        <v>64</v>
      </c>
      <c r="C569" t="s">
        <v>61</v>
      </c>
      <c r="D569" t="s">
        <v>58</v>
      </c>
      <c r="E569" t="s">
        <v>2</v>
      </c>
      <c r="F569">
        <v>1</v>
      </c>
      <c r="G569">
        <v>70400</v>
      </c>
      <c r="H569">
        <v>2</v>
      </c>
      <c r="I569" t="s">
        <v>8</v>
      </c>
      <c r="J569">
        <v>12</v>
      </c>
      <c r="K569" t="s">
        <v>13</v>
      </c>
      <c r="L569" t="s">
        <v>45</v>
      </c>
      <c r="M569" t="s">
        <v>26</v>
      </c>
      <c r="N569" s="25">
        <v>40280</v>
      </c>
      <c r="O569">
        <v>1127.365</v>
      </c>
      <c r="P569">
        <v>1127.365</v>
      </c>
    </row>
    <row r="570" spans="1:16" x14ac:dyDescent="0.35">
      <c r="A570">
        <v>570</v>
      </c>
      <c r="B570" t="s">
        <v>63</v>
      </c>
      <c r="C570" t="s">
        <v>62</v>
      </c>
      <c r="D570" t="s">
        <v>58</v>
      </c>
      <c r="E570" t="s">
        <v>70</v>
      </c>
      <c r="F570">
        <v>0</v>
      </c>
      <c r="G570">
        <v>32000</v>
      </c>
      <c r="H570">
        <v>1</v>
      </c>
      <c r="I570" t="s">
        <v>8</v>
      </c>
      <c r="J570">
        <v>24</v>
      </c>
      <c r="K570" t="s">
        <v>14</v>
      </c>
      <c r="L570" t="s">
        <v>40</v>
      </c>
      <c r="M570" t="s">
        <v>37</v>
      </c>
      <c r="N570" s="25">
        <v>42196</v>
      </c>
      <c r="O570">
        <v>1319.7</v>
      </c>
      <c r="P570">
        <v>1319.7</v>
      </c>
    </row>
    <row r="571" spans="1:16" x14ac:dyDescent="0.35">
      <c r="A571">
        <v>571</v>
      </c>
      <c r="B571" t="s">
        <v>64</v>
      </c>
      <c r="C571" t="s">
        <v>62</v>
      </c>
      <c r="D571" t="s">
        <v>58</v>
      </c>
      <c r="E571" t="s">
        <v>2</v>
      </c>
      <c r="F571">
        <v>1</v>
      </c>
      <c r="G571">
        <v>68200</v>
      </c>
      <c r="H571">
        <v>1</v>
      </c>
      <c r="I571" t="s">
        <v>8</v>
      </c>
      <c r="J571">
        <v>6</v>
      </c>
      <c r="K571" t="s">
        <v>15</v>
      </c>
      <c r="L571" t="s">
        <v>28</v>
      </c>
      <c r="M571" t="s">
        <v>28</v>
      </c>
      <c r="N571" s="25">
        <v>42210</v>
      </c>
      <c r="O571">
        <v>817.74800000000005</v>
      </c>
      <c r="P571">
        <v>817.74800000000005</v>
      </c>
    </row>
    <row r="572" spans="1:16" x14ac:dyDescent="0.35">
      <c r="A572">
        <v>572</v>
      </c>
      <c r="B572" t="s">
        <v>63</v>
      </c>
      <c r="C572" t="s">
        <v>62</v>
      </c>
      <c r="D572" t="s">
        <v>58</v>
      </c>
      <c r="E572" t="s">
        <v>70</v>
      </c>
      <c r="F572">
        <v>1</v>
      </c>
      <c r="G572">
        <v>21600</v>
      </c>
      <c r="H572">
        <v>2</v>
      </c>
      <c r="I572" t="s">
        <v>8</v>
      </c>
      <c r="J572">
        <v>12</v>
      </c>
      <c r="K572" t="s">
        <v>14</v>
      </c>
      <c r="L572" t="s">
        <v>40</v>
      </c>
      <c r="M572" t="s">
        <v>37</v>
      </c>
      <c r="N572" s="25">
        <v>42044</v>
      </c>
      <c r="O572">
        <v>490.97399999999999</v>
      </c>
      <c r="P572">
        <v>490.97399999999999</v>
      </c>
    </row>
    <row r="573" spans="1:16" x14ac:dyDescent="0.35">
      <c r="A573">
        <v>573</v>
      </c>
      <c r="B573" t="s">
        <v>64</v>
      </c>
      <c r="C573" t="s">
        <v>62</v>
      </c>
      <c r="D573" t="s">
        <v>66</v>
      </c>
      <c r="E573" t="s">
        <v>70</v>
      </c>
      <c r="F573">
        <v>0</v>
      </c>
      <c r="G573">
        <v>38200</v>
      </c>
      <c r="H573">
        <v>0</v>
      </c>
      <c r="I573" t="s">
        <v>68</v>
      </c>
      <c r="J573">
        <v>24</v>
      </c>
      <c r="K573" t="s">
        <v>14</v>
      </c>
      <c r="L573" t="s">
        <v>40</v>
      </c>
      <c r="M573" t="s">
        <v>37</v>
      </c>
      <c r="N573" s="25">
        <v>41754</v>
      </c>
      <c r="O573">
        <v>1475.806</v>
      </c>
      <c r="P573">
        <v>1475.806</v>
      </c>
    </row>
    <row r="574" spans="1:16" x14ac:dyDescent="0.35">
      <c r="A574">
        <v>574</v>
      </c>
      <c r="B574" t="s">
        <v>64</v>
      </c>
      <c r="C574" t="s">
        <v>62</v>
      </c>
      <c r="D574" t="s">
        <v>66</v>
      </c>
      <c r="E574" t="s">
        <v>2</v>
      </c>
      <c r="F574">
        <v>1</v>
      </c>
      <c r="G574">
        <v>91000</v>
      </c>
      <c r="H574">
        <v>2</v>
      </c>
      <c r="I574" t="s">
        <v>68</v>
      </c>
      <c r="J574">
        <v>6</v>
      </c>
      <c r="K574" t="s">
        <v>13</v>
      </c>
      <c r="L574" t="s">
        <v>46</v>
      </c>
      <c r="M574" t="s">
        <v>22</v>
      </c>
      <c r="N574" s="25">
        <v>40658</v>
      </c>
      <c r="O574">
        <v>708.24699999999996</v>
      </c>
      <c r="P574">
        <v>708.24699999999996</v>
      </c>
    </row>
    <row r="575" spans="1:16" x14ac:dyDescent="0.35">
      <c r="A575">
        <v>575</v>
      </c>
      <c r="B575" t="s">
        <v>63</v>
      </c>
      <c r="C575" t="s">
        <v>62</v>
      </c>
      <c r="D575" t="s">
        <v>66</v>
      </c>
      <c r="E575" t="s">
        <v>70</v>
      </c>
      <c r="F575">
        <v>0</v>
      </c>
      <c r="G575">
        <v>12000</v>
      </c>
      <c r="H575">
        <v>0</v>
      </c>
      <c r="I575" t="s">
        <v>67</v>
      </c>
      <c r="J575">
        <v>6</v>
      </c>
      <c r="K575" t="s">
        <v>13</v>
      </c>
      <c r="L575" t="s">
        <v>46</v>
      </c>
      <c r="M575" t="s">
        <v>22</v>
      </c>
      <c r="N575" s="25">
        <v>42092</v>
      </c>
      <c r="O575">
        <v>263.66399999999999</v>
      </c>
      <c r="P575">
        <v>263.66399999999999</v>
      </c>
    </row>
    <row r="576" spans="1:16" x14ac:dyDescent="0.35">
      <c r="A576">
        <v>576</v>
      </c>
      <c r="B576" t="s">
        <v>63</v>
      </c>
      <c r="C576" t="s">
        <v>62</v>
      </c>
      <c r="D576" t="s">
        <v>66</v>
      </c>
      <c r="E576" t="s">
        <v>70</v>
      </c>
      <c r="F576">
        <v>0</v>
      </c>
      <c r="G576">
        <v>18200</v>
      </c>
      <c r="H576">
        <v>2</v>
      </c>
      <c r="I576" t="s">
        <v>67</v>
      </c>
      <c r="J576">
        <v>12</v>
      </c>
      <c r="K576" t="s">
        <v>14</v>
      </c>
      <c r="L576" t="s">
        <v>49</v>
      </c>
      <c r="M576" t="s">
        <v>39</v>
      </c>
      <c r="N576" s="25">
        <v>41012</v>
      </c>
      <c r="O576">
        <v>322.46899999999999</v>
      </c>
      <c r="P576">
        <v>322.46899999999999</v>
      </c>
    </row>
    <row r="577" spans="1:16" x14ac:dyDescent="0.35">
      <c r="A577">
        <v>577</v>
      </c>
      <c r="B577" t="s">
        <v>64</v>
      </c>
      <c r="C577" t="s">
        <v>62</v>
      </c>
      <c r="D577" t="s">
        <v>66</v>
      </c>
      <c r="E577" t="s">
        <v>2</v>
      </c>
      <c r="F577">
        <v>1</v>
      </c>
      <c r="G577">
        <v>72100</v>
      </c>
      <c r="H577">
        <v>0</v>
      </c>
      <c r="I577" t="s">
        <v>69</v>
      </c>
      <c r="J577">
        <v>24</v>
      </c>
      <c r="K577" t="s">
        <v>13</v>
      </c>
      <c r="L577" t="s">
        <v>46</v>
      </c>
      <c r="M577" t="s">
        <v>22</v>
      </c>
      <c r="N577" s="25">
        <v>41929</v>
      </c>
      <c r="O577">
        <v>3052.4319999999998</v>
      </c>
      <c r="P577">
        <v>3052.4319999999998</v>
      </c>
    </row>
    <row r="578" spans="1:16" x14ac:dyDescent="0.35">
      <c r="A578">
        <v>578</v>
      </c>
      <c r="B578" t="s">
        <v>64</v>
      </c>
      <c r="C578" t="s">
        <v>61</v>
      </c>
      <c r="D578" t="s">
        <v>66</v>
      </c>
      <c r="E578" t="s">
        <v>2</v>
      </c>
      <c r="F578">
        <v>1</v>
      </c>
      <c r="G578">
        <v>38400</v>
      </c>
      <c r="H578">
        <v>2</v>
      </c>
      <c r="I578" t="s">
        <v>67</v>
      </c>
      <c r="J578">
        <v>6</v>
      </c>
      <c r="K578" t="s">
        <v>15</v>
      </c>
      <c r="L578" t="s">
        <v>52</v>
      </c>
      <c r="M578" t="s">
        <v>30</v>
      </c>
      <c r="N578" s="25">
        <v>41944</v>
      </c>
      <c r="O578">
        <v>188.13200000000001</v>
      </c>
      <c r="P578">
        <v>188.13200000000001</v>
      </c>
    </row>
    <row r="579" spans="1:16" x14ac:dyDescent="0.35">
      <c r="A579">
        <v>579</v>
      </c>
      <c r="B579" t="s">
        <v>64</v>
      </c>
      <c r="C579" t="s">
        <v>61</v>
      </c>
      <c r="D579" t="s">
        <v>58</v>
      </c>
      <c r="E579" t="s">
        <v>2</v>
      </c>
      <c r="F579">
        <v>0</v>
      </c>
      <c r="G579">
        <v>79700</v>
      </c>
      <c r="H579">
        <v>1</v>
      </c>
      <c r="I579" t="s">
        <v>69</v>
      </c>
      <c r="J579">
        <v>24</v>
      </c>
      <c r="K579" t="s">
        <v>14</v>
      </c>
      <c r="L579" t="s">
        <v>49</v>
      </c>
      <c r="M579" t="s">
        <v>39</v>
      </c>
      <c r="N579" s="25">
        <v>40519</v>
      </c>
      <c r="O579">
        <v>3383.6460000000002</v>
      </c>
      <c r="P579">
        <v>3383.6460000000002</v>
      </c>
    </row>
    <row r="580" spans="1:16" x14ac:dyDescent="0.35">
      <c r="A580">
        <v>580</v>
      </c>
      <c r="B580" t="s">
        <v>63</v>
      </c>
      <c r="C580" t="s">
        <v>61</v>
      </c>
      <c r="D580" t="s">
        <v>66</v>
      </c>
      <c r="E580" t="s">
        <v>70</v>
      </c>
      <c r="F580">
        <v>0</v>
      </c>
      <c r="G580">
        <v>17700</v>
      </c>
      <c r="H580">
        <v>0</v>
      </c>
      <c r="I580" t="s">
        <v>67</v>
      </c>
      <c r="J580">
        <v>18</v>
      </c>
      <c r="K580" t="s">
        <v>14</v>
      </c>
      <c r="L580" t="s">
        <v>49</v>
      </c>
      <c r="M580" t="s">
        <v>39</v>
      </c>
      <c r="N580" s="25">
        <v>40497</v>
      </c>
      <c r="O580">
        <v>741.59799999999996</v>
      </c>
      <c r="P580">
        <v>741.59799999999996</v>
      </c>
    </row>
    <row r="581" spans="1:16" x14ac:dyDescent="0.35">
      <c r="A581">
        <v>581</v>
      </c>
      <c r="B581" t="s">
        <v>65</v>
      </c>
      <c r="C581" t="s">
        <v>61</v>
      </c>
      <c r="D581" t="s">
        <v>58</v>
      </c>
      <c r="E581" t="s">
        <v>2</v>
      </c>
      <c r="F581">
        <v>0</v>
      </c>
      <c r="G581">
        <v>112900</v>
      </c>
      <c r="H581">
        <v>0</v>
      </c>
      <c r="I581" t="s">
        <v>69</v>
      </c>
      <c r="J581">
        <v>24</v>
      </c>
      <c r="K581" t="s">
        <v>14</v>
      </c>
      <c r="L581" t="s">
        <v>50</v>
      </c>
      <c r="M581" t="s">
        <v>35</v>
      </c>
      <c r="N581" s="25">
        <v>39849</v>
      </c>
      <c r="O581">
        <v>6217.3429999999998</v>
      </c>
      <c r="P581">
        <v>3500</v>
      </c>
    </row>
    <row r="582" spans="1:16" x14ac:dyDescent="0.35">
      <c r="A582">
        <v>582</v>
      </c>
      <c r="B582" t="s">
        <v>63</v>
      </c>
      <c r="C582" t="s">
        <v>62</v>
      </c>
      <c r="D582" t="s">
        <v>66</v>
      </c>
      <c r="E582" t="s">
        <v>70</v>
      </c>
      <c r="F582">
        <v>1</v>
      </c>
      <c r="G582">
        <v>17800</v>
      </c>
      <c r="H582">
        <v>1</v>
      </c>
      <c r="I582" t="s">
        <v>67</v>
      </c>
      <c r="J582">
        <v>6</v>
      </c>
      <c r="K582" t="s">
        <v>15</v>
      </c>
      <c r="L582" t="s">
        <v>52</v>
      </c>
      <c r="M582" t="s">
        <v>31</v>
      </c>
      <c r="N582" s="25">
        <v>41129</v>
      </c>
      <c r="O582">
        <v>216.06899999999999</v>
      </c>
      <c r="P582">
        <v>216.06899999999999</v>
      </c>
    </row>
    <row r="583" spans="1:16" x14ac:dyDescent="0.35">
      <c r="A583">
        <v>583</v>
      </c>
      <c r="B583" t="s">
        <v>64</v>
      </c>
      <c r="C583" t="s">
        <v>62</v>
      </c>
      <c r="D583" t="s">
        <v>58</v>
      </c>
      <c r="E583" t="s">
        <v>2</v>
      </c>
      <c r="F583">
        <v>0</v>
      </c>
      <c r="G583">
        <v>52300</v>
      </c>
      <c r="H583">
        <v>1</v>
      </c>
      <c r="I583" t="s">
        <v>69</v>
      </c>
      <c r="J583">
        <v>18</v>
      </c>
      <c r="K583" t="s">
        <v>13</v>
      </c>
      <c r="L583" t="s">
        <v>48</v>
      </c>
      <c r="M583" t="s">
        <v>27</v>
      </c>
      <c r="N583" s="25">
        <v>40336</v>
      </c>
      <c r="O583">
        <v>2034.4639999999999</v>
      </c>
      <c r="P583">
        <v>2034.4639999999999</v>
      </c>
    </row>
    <row r="584" spans="1:16" x14ac:dyDescent="0.35">
      <c r="A584">
        <v>584</v>
      </c>
      <c r="B584" t="s">
        <v>64</v>
      </c>
      <c r="C584" t="s">
        <v>61</v>
      </c>
      <c r="D584" t="s">
        <v>58</v>
      </c>
      <c r="E584" t="s">
        <v>70</v>
      </c>
      <c r="F584">
        <v>0</v>
      </c>
      <c r="G584">
        <v>60200</v>
      </c>
      <c r="H584">
        <v>0</v>
      </c>
      <c r="I584" t="s">
        <v>69</v>
      </c>
      <c r="J584">
        <v>12</v>
      </c>
      <c r="K584" t="s">
        <v>15</v>
      </c>
      <c r="L584" t="s">
        <v>28</v>
      </c>
      <c r="M584" t="s">
        <v>33</v>
      </c>
      <c r="N584" s="25">
        <v>39954</v>
      </c>
      <c r="O584">
        <v>1955.135</v>
      </c>
      <c r="P584">
        <v>1955.135</v>
      </c>
    </row>
    <row r="585" spans="1:16" x14ac:dyDescent="0.35">
      <c r="A585">
        <v>585</v>
      </c>
      <c r="B585" t="s">
        <v>64</v>
      </c>
      <c r="C585" t="s">
        <v>62</v>
      </c>
      <c r="D585" t="s">
        <v>58</v>
      </c>
      <c r="E585" t="s">
        <v>2</v>
      </c>
      <c r="F585">
        <v>1</v>
      </c>
      <c r="G585">
        <v>80800</v>
      </c>
      <c r="H585">
        <v>1</v>
      </c>
      <c r="I585" t="s">
        <v>8</v>
      </c>
      <c r="J585">
        <v>18</v>
      </c>
      <c r="K585" t="s">
        <v>13</v>
      </c>
      <c r="L585" t="s">
        <v>43</v>
      </c>
      <c r="M585" t="s">
        <v>23</v>
      </c>
      <c r="N585" s="25">
        <v>42112</v>
      </c>
      <c r="O585">
        <v>1598.2719999999999</v>
      </c>
      <c r="P585">
        <v>1598.2719999999999</v>
      </c>
    </row>
    <row r="586" spans="1:16" x14ac:dyDescent="0.35">
      <c r="A586">
        <v>586</v>
      </c>
      <c r="B586" t="s">
        <v>63</v>
      </c>
      <c r="C586" t="s">
        <v>62</v>
      </c>
      <c r="D586" t="s">
        <v>66</v>
      </c>
      <c r="E586" t="s">
        <v>70</v>
      </c>
      <c r="F586">
        <v>1</v>
      </c>
      <c r="G586">
        <v>21900</v>
      </c>
      <c r="H586">
        <v>1</v>
      </c>
      <c r="I586" t="s">
        <v>8</v>
      </c>
      <c r="J586">
        <v>12</v>
      </c>
      <c r="K586" t="s">
        <v>13</v>
      </c>
      <c r="L586" t="s">
        <v>43</v>
      </c>
      <c r="M586" t="s">
        <v>23</v>
      </c>
      <c r="N586" s="25">
        <v>42222</v>
      </c>
      <c r="O586">
        <v>576.06600000000003</v>
      </c>
      <c r="P586">
        <v>576.06600000000003</v>
      </c>
    </row>
    <row r="587" spans="1:16" x14ac:dyDescent="0.35">
      <c r="A587">
        <v>587</v>
      </c>
      <c r="B587" t="s">
        <v>64</v>
      </c>
      <c r="C587" t="s">
        <v>61</v>
      </c>
      <c r="D587" t="s">
        <v>58</v>
      </c>
      <c r="E587" t="s">
        <v>2</v>
      </c>
      <c r="F587">
        <v>0</v>
      </c>
      <c r="G587">
        <v>102700</v>
      </c>
      <c r="H587">
        <v>1</v>
      </c>
      <c r="I587" t="s">
        <v>69</v>
      </c>
      <c r="J587">
        <v>18</v>
      </c>
      <c r="K587" t="s">
        <v>14</v>
      </c>
      <c r="L587" t="s">
        <v>50</v>
      </c>
      <c r="M587" t="s">
        <v>34</v>
      </c>
      <c r="N587" s="25">
        <v>40276</v>
      </c>
      <c r="O587">
        <v>3785.4250000000002</v>
      </c>
      <c r="P587">
        <v>3500</v>
      </c>
    </row>
    <row r="588" spans="1:16" x14ac:dyDescent="0.35">
      <c r="A588">
        <v>588</v>
      </c>
      <c r="B588" t="s">
        <v>64</v>
      </c>
      <c r="C588" t="s">
        <v>62</v>
      </c>
      <c r="D588" t="s">
        <v>58</v>
      </c>
      <c r="E588" t="s">
        <v>2</v>
      </c>
      <c r="F588">
        <v>1</v>
      </c>
      <c r="G588">
        <v>90500</v>
      </c>
      <c r="H588">
        <v>1</v>
      </c>
      <c r="I588" t="s">
        <v>69</v>
      </c>
      <c r="J588">
        <v>6</v>
      </c>
      <c r="K588" t="s">
        <v>14</v>
      </c>
      <c r="L588" t="s">
        <v>50</v>
      </c>
      <c r="M588" t="s">
        <v>34</v>
      </c>
      <c r="N588" s="25">
        <v>41688</v>
      </c>
      <c r="O588">
        <v>1116.002</v>
      </c>
      <c r="P588">
        <v>1116.002</v>
      </c>
    </row>
    <row r="589" spans="1:16" x14ac:dyDescent="0.35">
      <c r="A589">
        <v>589</v>
      </c>
      <c r="B589" t="s">
        <v>64</v>
      </c>
      <c r="C589" t="s">
        <v>61</v>
      </c>
      <c r="D589" t="s">
        <v>58</v>
      </c>
      <c r="E589" t="s">
        <v>70</v>
      </c>
      <c r="F589">
        <v>1</v>
      </c>
      <c r="G589">
        <v>44600</v>
      </c>
      <c r="H589">
        <v>2</v>
      </c>
      <c r="I589" t="s">
        <v>67</v>
      </c>
      <c r="J589">
        <v>6</v>
      </c>
      <c r="K589" t="s">
        <v>15</v>
      </c>
      <c r="L589" t="s">
        <v>42</v>
      </c>
      <c r="M589" t="s">
        <v>32</v>
      </c>
      <c r="N589" s="25">
        <v>41962</v>
      </c>
      <c r="O589">
        <v>236.309</v>
      </c>
      <c r="P589">
        <v>236.309</v>
      </c>
    </row>
    <row r="590" spans="1:16" x14ac:dyDescent="0.35">
      <c r="A590">
        <v>590</v>
      </c>
      <c r="B590" t="s">
        <v>65</v>
      </c>
      <c r="C590" t="s">
        <v>61</v>
      </c>
      <c r="D590" t="s">
        <v>58</v>
      </c>
      <c r="E590" t="s">
        <v>2</v>
      </c>
      <c r="F590">
        <v>1</v>
      </c>
      <c r="G590">
        <v>85300</v>
      </c>
      <c r="H590">
        <v>0</v>
      </c>
      <c r="I590" t="s">
        <v>8</v>
      </c>
      <c r="J590">
        <v>12</v>
      </c>
      <c r="K590" t="s">
        <v>14</v>
      </c>
      <c r="L590" t="s">
        <v>49</v>
      </c>
      <c r="M590" t="s">
        <v>39</v>
      </c>
      <c r="N590" s="25">
        <v>42182</v>
      </c>
      <c r="O590">
        <v>2522.953</v>
      </c>
      <c r="P590">
        <v>2522.953</v>
      </c>
    </row>
    <row r="591" spans="1:16" x14ac:dyDescent="0.35">
      <c r="A591">
        <v>591</v>
      </c>
      <c r="B591" t="s">
        <v>63</v>
      </c>
      <c r="C591" t="s">
        <v>61</v>
      </c>
      <c r="D591" t="s">
        <v>66</v>
      </c>
      <c r="E591" t="s">
        <v>70</v>
      </c>
      <c r="F591">
        <v>1</v>
      </c>
      <c r="G591">
        <v>13000</v>
      </c>
      <c r="H591">
        <v>3</v>
      </c>
      <c r="I591" t="s">
        <v>67</v>
      </c>
      <c r="J591">
        <v>6</v>
      </c>
      <c r="K591" t="s">
        <v>12</v>
      </c>
      <c r="L591" t="s">
        <v>47</v>
      </c>
      <c r="M591" t="s">
        <v>18</v>
      </c>
      <c r="N591" s="25">
        <v>41846</v>
      </c>
      <c r="O591">
        <v>43.185000000000002</v>
      </c>
      <c r="P591">
        <v>43.185000000000002</v>
      </c>
    </row>
    <row r="592" spans="1:16" x14ac:dyDescent="0.35">
      <c r="A592">
        <v>592</v>
      </c>
      <c r="B592" t="s">
        <v>63</v>
      </c>
      <c r="C592" t="s">
        <v>62</v>
      </c>
      <c r="D592" t="s">
        <v>66</v>
      </c>
      <c r="E592" t="s">
        <v>70</v>
      </c>
      <c r="F592">
        <v>0</v>
      </c>
      <c r="G592">
        <v>32400</v>
      </c>
      <c r="H592">
        <v>1</v>
      </c>
      <c r="I592" t="s">
        <v>68</v>
      </c>
      <c r="J592">
        <v>24</v>
      </c>
      <c r="K592" t="s">
        <v>14</v>
      </c>
      <c r="L592" t="s">
        <v>50</v>
      </c>
      <c r="M592" t="s">
        <v>35</v>
      </c>
      <c r="N592" s="25">
        <v>40748</v>
      </c>
      <c r="O592">
        <v>919.96500000000003</v>
      </c>
      <c r="P592">
        <v>919.96500000000003</v>
      </c>
    </row>
    <row r="593" spans="1:16" x14ac:dyDescent="0.35">
      <c r="A593">
        <v>593</v>
      </c>
      <c r="B593" t="s">
        <v>63</v>
      </c>
      <c r="C593" t="s">
        <v>61</v>
      </c>
      <c r="D593" t="s">
        <v>66</v>
      </c>
      <c r="E593" t="s">
        <v>2</v>
      </c>
      <c r="F593">
        <v>0</v>
      </c>
      <c r="G593">
        <v>46300</v>
      </c>
      <c r="H593">
        <v>1</v>
      </c>
      <c r="I593" t="s">
        <v>68</v>
      </c>
      <c r="J593">
        <v>18</v>
      </c>
      <c r="K593" t="s">
        <v>14</v>
      </c>
      <c r="L593" t="s">
        <v>50</v>
      </c>
      <c r="M593" t="s">
        <v>34</v>
      </c>
      <c r="N593" s="25">
        <v>40383</v>
      </c>
      <c r="O593">
        <v>1357.421</v>
      </c>
      <c r="P593">
        <v>1357.421</v>
      </c>
    </row>
    <row r="594" spans="1:16" x14ac:dyDescent="0.35">
      <c r="A594">
        <v>594</v>
      </c>
      <c r="B594" t="s">
        <v>64</v>
      </c>
      <c r="C594" t="s">
        <v>62</v>
      </c>
      <c r="D594" t="s">
        <v>66</v>
      </c>
      <c r="E594" t="s">
        <v>2</v>
      </c>
      <c r="F594">
        <v>0</v>
      </c>
      <c r="G594">
        <v>120800</v>
      </c>
      <c r="H594">
        <v>1</v>
      </c>
      <c r="I594" t="s">
        <v>69</v>
      </c>
      <c r="J594">
        <v>24</v>
      </c>
      <c r="K594" t="s">
        <v>14</v>
      </c>
      <c r="L594" t="s">
        <v>50</v>
      </c>
      <c r="M594" t="s">
        <v>35</v>
      </c>
      <c r="N594" s="25">
        <v>41869</v>
      </c>
      <c r="O594">
        <v>5829.6549999999997</v>
      </c>
      <c r="P594">
        <v>3500</v>
      </c>
    </row>
    <row r="595" spans="1:16" x14ac:dyDescent="0.35">
      <c r="A595">
        <v>595</v>
      </c>
      <c r="B595" t="s">
        <v>64</v>
      </c>
      <c r="C595" t="s">
        <v>62</v>
      </c>
      <c r="D595" t="s">
        <v>58</v>
      </c>
      <c r="E595" t="s">
        <v>2</v>
      </c>
      <c r="F595">
        <v>1</v>
      </c>
      <c r="G595">
        <v>92300</v>
      </c>
      <c r="H595">
        <v>3</v>
      </c>
      <c r="I595" t="s">
        <v>67</v>
      </c>
      <c r="J595">
        <v>18</v>
      </c>
      <c r="K595" t="s">
        <v>13</v>
      </c>
      <c r="L595" t="s">
        <v>42</v>
      </c>
      <c r="M595" t="s">
        <v>25</v>
      </c>
      <c r="N595" s="25">
        <v>41973</v>
      </c>
      <c r="O595">
        <v>654.57600000000002</v>
      </c>
      <c r="P595">
        <v>654.57600000000002</v>
      </c>
    </row>
    <row r="596" spans="1:16" x14ac:dyDescent="0.35">
      <c r="A596">
        <v>596</v>
      </c>
      <c r="B596" t="s">
        <v>64</v>
      </c>
      <c r="C596" t="s">
        <v>61</v>
      </c>
      <c r="D596" t="s">
        <v>58</v>
      </c>
      <c r="E596" t="s">
        <v>2</v>
      </c>
      <c r="F596">
        <v>1</v>
      </c>
      <c r="G596">
        <v>102300</v>
      </c>
      <c r="H596">
        <v>0</v>
      </c>
      <c r="I596" t="s">
        <v>69</v>
      </c>
      <c r="J596">
        <v>24</v>
      </c>
      <c r="K596" t="s">
        <v>13</v>
      </c>
      <c r="L596" t="s">
        <v>48</v>
      </c>
      <c r="M596" t="s">
        <v>27</v>
      </c>
      <c r="N596" s="25">
        <v>40764</v>
      </c>
      <c r="O596">
        <v>2437.808</v>
      </c>
      <c r="P596">
        <v>2437.808</v>
      </c>
    </row>
    <row r="597" spans="1:16" x14ac:dyDescent="0.35">
      <c r="A597">
        <v>597</v>
      </c>
      <c r="B597" t="s">
        <v>64</v>
      </c>
      <c r="C597" t="s">
        <v>62</v>
      </c>
      <c r="D597" t="s">
        <v>66</v>
      </c>
      <c r="E597" t="s">
        <v>70</v>
      </c>
      <c r="F597">
        <v>1</v>
      </c>
      <c r="G597">
        <v>41400</v>
      </c>
      <c r="H597">
        <v>3</v>
      </c>
      <c r="I597" t="s">
        <v>67</v>
      </c>
      <c r="J597">
        <v>6</v>
      </c>
      <c r="K597" t="s">
        <v>15</v>
      </c>
      <c r="L597" t="s">
        <v>42</v>
      </c>
      <c r="M597" t="s">
        <v>32</v>
      </c>
      <c r="N597" s="25">
        <v>41882</v>
      </c>
      <c r="O597">
        <v>222.83500000000001</v>
      </c>
      <c r="P597">
        <v>222.83500000000001</v>
      </c>
    </row>
    <row r="598" spans="1:16" x14ac:dyDescent="0.35">
      <c r="A598">
        <v>598</v>
      </c>
      <c r="B598" t="s">
        <v>65</v>
      </c>
      <c r="C598" t="s">
        <v>62</v>
      </c>
      <c r="D598" t="s">
        <v>58</v>
      </c>
      <c r="E598" t="s">
        <v>2</v>
      </c>
      <c r="F598">
        <v>1</v>
      </c>
      <c r="G598">
        <v>22400</v>
      </c>
      <c r="H598">
        <v>0</v>
      </c>
      <c r="I598" t="s">
        <v>8</v>
      </c>
      <c r="J598">
        <v>24</v>
      </c>
      <c r="K598" t="s">
        <v>14</v>
      </c>
      <c r="L598" t="s">
        <v>51</v>
      </c>
      <c r="M598" t="s">
        <v>38</v>
      </c>
      <c r="N598" s="25">
        <v>42113</v>
      </c>
      <c r="O598">
        <v>947.303</v>
      </c>
      <c r="P598">
        <v>947.303</v>
      </c>
    </row>
    <row r="599" spans="1:16" x14ac:dyDescent="0.35">
      <c r="A599">
        <v>599</v>
      </c>
      <c r="B599" t="s">
        <v>64</v>
      </c>
      <c r="C599" t="s">
        <v>61</v>
      </c>
      <c r="D599" t="s">
        <v>58</v>
      </c>
      <c r="E599" t="s">
        <v>2</v>
      </c>
      <c r="F599">
        <v>1</v>
      </c>
      <c r="G599">
        <v>102700</v>
      </c>
      <c r="H599">
        <v>3</v>
      </c>
      <c r="I599" t="s">
        <v>8</v>
      </c>
      <c r="J599">
        <v>12</v>
      </c>
      <c r="K599" t="s">
        <v>12</v>
      </c>
      <c r="L599" t="s">
        <v>54</v>
      </c>
      <c r="M599" t="s">
        <v>21</v>
      </c>
      <c r="N599" s="25">
        <v>42172</v>
      </c>
      <c r="O599">
        <v>1472.7819999999999</v>
      </c>
      <c r="P599">
        <v>1472.7819999999999</v>
      </c>
    </row>
    <row r="600" spans="1:16" x14ac:dyDescent="0.35">
      <c r="A600">
        <v>600</v>
      </c>
      <c r="B600" t="s">
        <v>64</v>
      </c>
      <c r="C600" t="s">
        <v>62</v>
      </c>
      <c r="D600" t="s">
        <v>66</v>
      </c>
      <c r="E600" t="s">
        <v>70</v>
      </c>
      <c r="F600">
        <v>0</v>
      </c>
      <c r="G600">
        <v>44100</v>
      </c>
      <c r="H600">
        <v>1</v>
      </c>
      <c r="I600" t="s">
        <v>68</v>
      </c>
      <c r="J600">
        <v>18</v>
      </c>
      <c r="K600" t="s">
        <v>12</v>
      </c>
      <c r="L600" t="s">
        <v>41</v>
      </c>
      <c r="M600" t="s">
        <v>20</v>
      </c>
      <c r="N600" s="25">
        <v>41617</v>
      </c>
      <c r="O600">
        <v>1659.402</v>
      </c>
      <c r="P600">
        <v>1659.402</v>
      </c>
    </row>
    <row r="601" spans="1:16" x14ac:dyDescent="0.35">
      <c r="A601">
        <v>601</v>
      </c>
      <c r="B601" t="s">
        <v>63</v>
      </c>
      <c r="C601" t="s">
        <v>62</v>
      </c>
      <c r="D601" t="s">
        <v>58</v>
      </c>
      <c r="E601" t="s">
        <v>2</v>
      </c>
      <c r="F601">
        <v>0</v>
      </c>
      <c r="G601">
        <v>33700</v>
      </c>
      <c r="H601">
        <v>0</v>
      </c>
      <c r="I601" t="s">
        <v>8</v>
      </c>
      <c r="J601">
        <v>6</v>
      </c>
      <c r="K601" t="s">
        <v>14</v>
      </c>
      <c r="L601" t="s">
        <v>49</v>
      </c>
      <c r="M601" t="s">
        <v>39</v>
      </c>
      <c r="N601" s="25">
        <v>42060</v>
      </c>
      <c r="O601">
        <v>613.99199999999996</v>
      </c>
      <c r="P601">
        <v>613.99199999999996</v>
      </c>
    </row>
    <row r="602" spans="1:16" x14ac:dyDescent="0.35">
      <c r="A602">
        <v>602</v>
      </c>
      <c r="B602" t="s">
        <v>64</v>
      </c>
      <c r="C602" t="s">
        <v>61</v>
      </c>
      <c r="D602" t="s">
        <v>58</v>
      </c>
      <c r="E602" t="s">
        <v>70</v>
      </c>
      <c r="F602">
        <v>0</v>
      </c>
      <c r="G602">
        <v>39100</v>
      </c>
      <c r="H602">
        <v>1</v>
      </c>
      <c r="I602" t="s">
        <v>68</v>
      </c>
      <c r="J602">
        <v>12</v>
      </c>
      <c r="K602" t="s">
        <v>14</v>
      </c>
      <c r="L602" t="s">
        <v>50</v>
      </c>
      <c r="M602" t="s">
        <v>35</v>
      </c>
      <c r="N602" s="25">
        <v>41299</v>
      </c>
      <c r="O602">
        <v>1001.371</v>
      </c>
      <c r="P602">
        <v>1001.371</v>
      </c>
    </row>
    <row r="603" spans="1:16" x14ac:dyDescent="0.35">
      <c r="A603">
        <v>603</v>
      </c>
      <c r="B603" t="s">
        <v>63</v>
      </c>
      <c r="C603" t="s">
        <v>61</v>
      </c>
      <c r="D603" t="s">
        <v>66</v>
      </c>
      <c r="E603" t="s">
        <v>2</v>
      </c>
      <c r="F603">
        <v>0</v>
      </c>
      <c r="G603">
        <v>41500</v>
      </c>
      <c r="H603">
        <v>3</v>
      </c>
      <c r="I603" t="s">
        <v>8</v>
      </c>
      <c r="J603">
        <v>24</v>
      </c>
      <c r="K603" t="s">
        <v>12</v>
      </c>
      <c r="L603" t="s">
        <v>55</v>
      </c>
      <c r="M603" t="s">
        <v>17</v>
      </c>
      <c r="N603" s="25">
        <v>42103</v>
      </c>
      <c r="O603">
        <v>1314.4559999999999</v>
      </c>
      <c r="P603">
        <v>1314.4559999999999</v>
      </c>
    </row>
    <row r="604" spans="1:16" x14ac:dyDescent="0.35">
      <c r="A604">
        <v>604</v>
      </c>
      <c r="B604" t="s">
        <v>65</v>
      </c>
      <c r="C604" t="s">
        <v>62</v>
      </c>
      <c r="D604" t="s">
        <v>66</v>
      </c>
      <c r="E604" t="s">
        <v>70</v>
      </c>
      <c r="F604">
        <v>0</v>
      </c>
      <c r="G604">
        <v>17900</v>
      </c>
      <c r="H604">
        <v>0</v>
      </c>
      <c r="I604" t="s">
        <v>67</v>
      </c>
      <c r="J604">
        <v>6</v>
      </c>
      <c r="K604" t="s">
        <v>13</v>
      </c>
      <c r="L604" t="s">
        <v>46</v>
      </c>
      <c r="M604" t="s">
        <v>22</v>
      </c>
      <c r="N604" s="25">
        <v>40230</v>
      </c>
      <c r="O604">
        <v>445.98899999999998</v>
      </c>
      <c r="P604">
        <v>445.98899999999998</v>
      </c>
    </row>
    <row r="605" spans="1:16" x14ac:dyDescent="0.35">
      <c r="A605">
        <v>605</v>
      </c>
      <c r="B605" t="s">
        <v>63</v>
      </c>
      <c r="C605" t="s">
        <v>61</v>
      </c>
      <c r="D605" t="s">
        <v>66</v>
      </c>
      <c r="E605" t="s">
        <v>70</v>
      </c>
      <c r="F605">
        <v>1</v>
      </c>
      <c r="G605">
        <v>14600</v>
      </c>
      <c r="H605">
        <v>3</v>
      </c>
      <c r="I605" t="s">
        <v>8</v>
      </c>
      <c r="J605">
        <v>6</v>
      </c>
      <c r="K605" t="s">
        <v>14</v>
      </c>
      <c r="L605" t="s">
        <v>40</v>
      </c>
      <c r="M605" t="s">
        <v>36</v>
      </c>
      <c r="N605" s="25">
        <v>42118</v>
      </c>
      <c r="O605">
        <v>307.28500000000003</v>
      </c>
      <c r="P605">
        <v>307.28500000000003</v>
      </c>
    </row>
    <row r="606" spans="1:16" x14ac:dyDescent="0.35">
      <c r="A606">
        <v>606</v>
      </c>
      <c r="B606" t="s">
        <v>64</v>
      </c>
      <c r="C606" t="s">
        <v>62</v>
      </c>
      <c r="D606" t="s">
        <v>58</v>
      </c>
      <c r="E606" t="s">
        <v>70</v>
      </c>
      <c r="F606">
        <v>1</v>
      </c>
      <c r="G606">
        <v>46300</v>
      </c>
      <c r="H606">
        <v>3</v>
      </c>
      <c r="I606" t="s">
        <v>8</v>
      </c>
      <c r="J606">
        <v>6</v>
      </c>
      <c r="K606" t="s">
        <v>13</v>
      </c>
      <c r="L606" t="s">
        <v>46</v>
      </c>
      <c r="M606" t="s">
        <v>22</v>
      </c>
      <c r="N606" s="25">
        <v>42236</v>
      </c>
      <c r="O606">
        <v>1138.4849999999999</v>
      </c>
      <c r="P606">
        <v>1138.4849999999999</v>
      </c>
    </row>
    <row r="607" spans="1:16" x14ac:dyDescent="0.35">
      <c r="A607">
        <v>607</v>
      </c>
      <c r="B607" t="s">
        <v>65</v>
      </c>
      <c r="C607" t="s">
        <v>61</v>
      </c>
      <c r="D607" t="s">
        <v>66</v>
      </c>
      <c r="E607" t="s">
        <v>70</v>
      </c>
      <c r="F607">
        <v>1</v>
      </c>
      <c r="G607">
        <v>34500</v>
      </c>
      <c r="H607">
        <v>0</v>
      </c>
      <c r="I607" t="s">
        <v>68</v>
      </c>
      <c r="J607">
        <v>24</v>
      </c>
      <c r="K607" t="s">
        <v>12</v>
      </c>
      <c r="L607" t="s">
        <v>54</v>
      </c>
      <c r="M607" t="s">
        <v>21</v>
      </c>
      <c r="N607" s="25">
        <v>40870</v>
      </c>
      <c r="O607">
        <v>639.46100000000001</v>
      </c>
      <c r="P607">
        <v>639.46100000000001</v>
      </c>
    </row>
    <row r="608" spans="1:16" x14ac:dyDescent="0.35">
      <c r="A608">
        <v>608</v>
      </c>
      <c r="B608" t="s">
        <v>64</v>
      </c>
      <c r="C608" t="s">
        <v>62</v>
      </c>
      <c r="D608" t="s">
        <v>58</v>
      </c>
      <c r="E608" t="s">
        <v>2</v>
      </c>
      <c r="F608">
        <v>1</v>
      </c>
      <c r="G608">
        <v>76600</v>
      </c>
      <c r="H608">
        <v>3</v>
      </c>
      <c r="I608" t="s">
        <v>8</v>
      </c>
      <c r="J608">
        <v>24</v>
      </c>
      <c r="K608" t="s">
        <v>15</v>
      </c>
      <c r="L608" t="s">
        <v>42</v>
      </c>
      <c r="M608" t="s">
        <v>32</v>
      </c>
      <c r="N608" s="25">
        <v>42177</v>
      </c>
      <c r="O608">
        <v>2903.7660000000001</v>
      </c>
      <c r="P608">
        <v>2903.7660000000001</v>
      </c>
    </row>
    <row r="609" spans="1:16" x14ac:dyDescent="0.35">
      <c r="A609">
        <v>609</v>
      </c>
      <c r="B609" t="s">
        <v>64</v>
      </c>
      <c r="C609" t="s">
        <v>61</v>
      </c>
      <c r="D609" t="s">
        <v>58</v>
      </c>
      <c r="E609" t="s">
        <v>2</v>
      </c>
      <c r="F609">
        <v>0</v>
      </c>
      <c r="G609">
        <v>100100</v>
      </c>
      <c r="H609">
        <v>1</v>
      </c>
      <c r="I609" t="s">
        <v>69</v>
      </c>
      <c r="J609">
        <v>24</v>
      </c>
      <c r="K609" t="s">
        <v>14</v>
      </c>
      <c r="L609" t="s">
        <v>50</v>
      </c>
      <c r="M609" t="s">
        <v>34</v>
      </c>
      <c r="N609" s="25">
        <v>41218</v>
      </c>
      <c r="O609">
        <v>3490.9940000000001</v>
      </c>
      <c r="P609">
        <v>3490.9940000000001</v>
      </c>
    </row>
    <row r="610" spans="1:16" x14ac:dyDescent="0.35">
      <c r="A610">
        <v>610</v>
      </c>
      <c r="B610" t="s">
        <v>63</v>
      </c>
      <c r="C610" t="s">
        <v>61</v>
      </c>
      <c r="D610" t="s">
        <v>66</v>
      </c>
      <c r="E610" t="s">
        <v>2</v>
      </c>
      <c r="F610">
        <v>1</v>
      </c>
      <c r="G610">
        <v>49300</v>
      </c>
      <c r="H610">
        <v>0</v>
      </c>
      <c r="I610" t="s">
        <v>8</v>
      </c>
      <c r="J610">
        <v>24</v>
      </c>
      <c r="K610" t="s">
        <v>15</v>
      </c>
      <c r="L610" t="s">
        <v>42</v>
      </c>
      <c r="M610" t="s">
        <v>32</v>
      </c>
      <c r="N610" s="25">
        <v>42125</v>
      </c>
      <c r="O610">
        <v>1692.3789999999999</v>
      </c>
      <c r="P610">
        <v>1692.3789999999999</v>
      </c>
    </row>
    <row r="611" spans="1:16" x14ac:dyDescent="0.35">
      <c r="A611">
        <v>611</v>
      </c>
      <c r="B611" t="s">
        <v>65</v>
      </c>
      <c r="C611" t="s">
        <v>61</v>
      </c>
      <c r="D611" t="s">
        <v>58</v>
      </c>
      <c r="E611" t="s">
        <v>70</v>
      </c>
      <c r="F611">
        <v>1</v>
      </c>
      <c r="G611">
        <v>63200</v>
      </c>
      <c r="H611">
        <v>0</v>
      </c>
      <c r="I611" t="s">
        <v>69</v>
      </c>
      <c r="J611">
        <v>24</v>
      </c>
      <c r="K611" t="s">
        <v>15</v>
      </c>
      <c r="L611" t="s">
        <v>52</v>
      </c>
      <c r="M611" t="s">
        <v>31</v>
      </c>
      <c r="N611" s="25">
        <v>41992</v>
      </c>
      <c r="O611">
        <v>1506.5709999999999</v>
      </c>
      <c r="P611">
        <v>1506.5709999999999</v>
      </c>
    </row>
    <row r="612" spans="1:16" x14ac:dyDescent="0.35">
      <c r="A612">
        <v>612</v>
      </c>
      <c r="B612" t="s">
        <v>65</v>
      </c>
      <c r="C612" t="s">
        <v>62</v>
      </c>
      <c r="D612" t="s">
        <v>58</v>
      </c>
      <c r="E612" t="s">
        <v>2</v>
      </c>
      <c r="F612">
        <v>1</v>
      </c>
      <c r="G612">
        <v>42800</v>
      </c>
      <c r="H612">
        <v>0</v>
      </c>
      <c r="I612" t="s">
        <v>68</v>
      </c>
      <c r="J612">
        <v>6</v>
      </c>
      <c r="K612" t="s">
        <v>14</v>
      </c>
      <c r="L612" t="s">
        <v>40</v>
      </c>
      <c r="M612" t="s">
        <v>37</v>
      </c>
      <c r="N612" s="25">
        <v>41489</v>
      </c>
      <c r="O612">
        <v>685.04200000000003</v>
      </c>
      <c r="P612">
        <v>685.04200000000003</v>
      </c>
    </row>
    <row r="613" spans="1:16" x14ac:dyDescent="0.35">
      <c r="A613">
        <v>613</v>
      </c>
      <c r="B613" t="s">
        <v>65</v>
      </c>
      <c r="C613" t="s">
        <v>61</v>
      </c>
      <c r="D613" t="s">
        <v>58</v>
      </c>
      <c r="E613" t="s">
        <v>2</v>
      </c>
      <c r="F613">
        <v>1</v>
      </c>
      <c r="G613">
        <v>106600</v>
      </c>
      <c r="H613">
        <v>0</v>
      </c>
      <c r="I613" t="s">
        <v>69</v>
      </c>
      <c r="J613">
        <v>12</v>
      </c>
      <c r="K613" t="s">
        <v>13</v>
      </c>
      <c r="L613" t="s">
        <v>48</v>
      </c>
      <c r="M613" t="s">
        <v>27</v>
      </c>
      <c r="N613" s="25">
        <v>41416</v>
      </c>
      <c r="O613">
        <v>1876.7570000000001</v>
      </c>
      <c r="P613">
        <v>1876.7570000000001</v>
      </c>
    </row>
    <row r="614" spans="1:16" x14ac:dyDescent="0.35">
      <c r="A614">
        <v>614</v>
      </c>
      <c r="B614" t="s">
        <v>65</v>
      </c>
      <c r="C614" t="s">
        <v>62</v>
      </c>
      <c r="D614" t="s">
        <v>58</v>
      </c>
      <c r="E614" t="s">
        <v>2</v>
      </c>
      <c r="F614">
        <v>0</v>
      </c>
      <c r="G614">
        <v>74900</v>
      </c>
      <c r="H614">
        <v>0</v>
      </c>
      <c r="I614" t="s">
        <v>8</v>
      </c>
      <c r="J614">
        <v>12</v>
      </c>
      <c r="K614" t="s">
        <v>14</v>
      </c>
      <c r="L614" t="s">
        <v>40</v>
      </c>
      <c r="M614" t="s">
        <v>37</v>
      </c>
      <c r="N614" s="25">
        <v>42165</v>
      </c>
      <c r="O614">
        <v>1804.404</v>
      </c>
      <c r="P614">
        <v>1804.404</v>
      </c>
    </row>
    <row r="615" spans="1:16" x14ac:dyDescent="0.35">
      <c r="A615">
        <v>615</v>
      </c>
      <c r="B615" t="s">
        <v>63</v>
      </c>
      <c r="C615" t="s">
        <v>62</v>
      </c>
      <c r="D615" t="s">
        <v>66</v>
      </c>
      <c r="E615" t="s">
        <v>70</v>
      </c>
      <c r="F615">
        <v>1</v>
      </c>
      <c r="G615">
        <v>19100</v>
      </c>
      <c r="H615">
        <v>1</v>
      </c>
      <c r="I615" t="s">
        <v>67</v>
      </c>
      <c r="J615">
        <v>18</v>
      </c>
      <c r="K615" t="s">
        <v>12</v>
      </c>
      <c r="L615" t="s">
        <v>47</v>
      </c>
      <c r="M615" t="s">
        <v>16</v>
      </c>
      <c r="N615" s="25">
        <v>40228</v>
      </c>
      <c r="O615">
        <v>403.47399999999999</v>
      </c>
      <c r="P615">
        <v>403.47399999999999</v>
      </c>
    </row>
    <row r="616" spans="1:16" x14ac:dyDescent="0.35">
      <c r="A616">
        <v>616</v>
      </c>
      <c r="B616" t="s">
        <v>64</v>
      </c>
      <c r="C616" t="s">
        <v>61</v>
      </c>
      <c r="D616" t="s">
        <v>58</v>
      </c>
      <c r="E616" t="s">
        <v>70</v>
      </c>
      <c r="F616">
        <v>1</v>
      </c>
      <c r="G616">
        <v>48800</v>
      </c>
      <c r="H616">
        <v>1</v>
      </c>
      <c r="I616" t="s">
        <v>68</v>
      </c>
      <c r="J616">
        <v>24</v>
      </c>
      <c r="K616" t="s">
        <v>12</v>
      </c>
      <c r="L616" t="s">
        <v>41</v>
      </c>
      <c r="M616" t="s">
        <v>20</v>
      </c>
      <c r="N616" s="25">
        <v>42160</v>
      </c>
      <c r="O616">
        <v>1271.0440000000001</v>
      </c>
      <c r="P616">
        <v>1271.0440000000001</v>
      </c>
    </row>
    <row r="617" spans="1:16" x14ac:dyDescent="0.35">
      <c r="A617">
        <v>617</v>
      </c>
      <c r="B617" t="s">
        <v>64</v>
      </c>
      <c r="C617" t="s">
        <v>62</v>
      </c>
      <c r="D617" t="s">
        <v>58</v>
      </c>
      <c r="E617" t="s">
        <v>2</v>
      </c>
      <c r="F617">
        <v>1</v>
      </c>
      <c r="G617">
        <v>105300</v>
      </c>
      <c r="H617">
        <v>1</v>
      </c>
      <c r="I617" t="s">
        <v>8</v>
      </c>
      <c r="J617">
        <v>24</v>
      </c>
      <c r="K617" t="s">
        <v>15</v>
      </c>
      <c r="L617" t="s">
        <v>44</v>
      </c>
      <c r="M617" t="s">
        <v>29</v>
      </c>
      <c r="N617" s="25">
        <v>42087</v>
      </c>
      <c r="O617">
        <v>3360.4409999999998</v>
      </c>
      <c r="P617">
        <v>3360.4409999999998</v>
      </c>
    </row>
    <row r="618" spans="1:16" x14ac:dyDescent="0.35">
      <c r="A618">
        <v>618</v>
      </c>
      <c r="B618" t="s">
        <v>65</v>
      </c>
      <c r="C618" t="s">
        <v>61</v>
      </c>
      <c r="D618" t="s">
        <v>58</v>
      </c>
      <c r="E618" t="s">
        <v>2</v>
      </c>
      <c r="F618">
        <v>1</v>
      </c>
      <c r="G618">
        <v>90600</v>
      </c>
      <c r="H618">
        <v>0</v>
      </c>
      <c r="I618" t="s">
        <v>69</v>
      </c>
      <c r="J618">
        <v>24</v>
      </c>
      <c r="K618" t="s">
        <v>14</v>
      </c>
      <c r="L618" t="s">
        <v>50</v>
      </c>
      <c r="M618" t="s">
        <v>34</v>
      </c>
      <c r="N618" s="25">
        <v>41211</v>
      </c>
      <c r="O618">
        <v>3167.1709999999998</v>
      </c>
      <c r="P618">
        <v>3167.1709999999998</v>
      </c>
    </row>
    <row r="619" spans="1:16" x14ac:dyDescent="0.35">
      <c r="A619">
        <v>619</v>
      </c>
      <c r="B619" t="s">
        <v>64</v>
      </c>
      <c r="C619" t="s">
        <v>62</v>
      </c>
      <c r="D619" t="s">
        <v>58</v>
      </c>
      <c r="E619" t="s">
        <v>2</v>
      </c>
      <c r="F619">
        <v>1</v>
      </c>
      <c r="G619">
        <v>105500</v>
      </c>
      <c r="H619">
        <v>1</v>
      </c>
      <c r="I619" t="s">
        <v>69</v>
      </c>
      <c r="J619">
        <v>6</v>
      </c>
      <c r="K619" t="s">
        <v>15</v>
      </c>
      <c r="L619" t="s">
        <v>42</v>
      </c>
      <c r="M619" t="s">
        <v>32</v>
      </c>
      <c r="N619" s="25">
        <v>40974</v>
      </c>
      <c r="O619">
        <v>1781.326</v>
      </c>
      <c r="P619">
        <v>1781.326</v>
      </c>
    </row>
    <row r="620" spans="1:16" x14ac:dyDescent="0.35">
      <c r="A620">
        <v>620</v>
      </c>
      <c r="B620" t="s">
        <v>63</v>
      </c>
      <c r="C620" t="s">
        <v>62</v>
      </c>
      <c r="D620" t="s">
        <v>66</v>
      </c>
      <c r="E620" t="s">
        <v>70</v>
      </c>
      <c r="F620">
        <v>1</v>
      </c>
      <c r="G620">
        <v>17900</v>
      </c>
      <c r="H620">
        <v>3</v>
      </c>
      <c r="I620" t="s">
        <v>67</v>
      </c>
      <c r="J620">
        <v>6</v>
      </c>
      <c r="K620" t="s">
        <v>12</v>
      </c>
      <c r="L620" t="s">
        <v>47</v>
      </c>
      <c r="M620" t="s">
        <v>16</v>
      </c>
      <c r="N620" s="25">
        <v>40727</v>
      </c>
      <c r="O620">
        <v>62.119</v>
      </c>
      <c r="P620">
        <v>62.119</v>
      </c>
    </row>
    <row r="621" spans="1:16" x14ac:dyDescent="0.35">
      <c r="A621">
        <v>621</v>
      </c>
      <c r="B621" t="s">
        <v>64</v>
      </c>
      <c r="C621" t="s">
        <v>61</v>
      </c>
      <c r="D621" t="s">
        <v>58</v>
      </c>
      <c r="E621" t="s">
        <v>2</v>
      </c>
      <c r="F621">
        <v>1</v>
      </c>
      <c r="G621">
        <v>99300</v>
      </c>
      <c r="H621">
        <v>1</v>
      </c>
      <c r="I621" t="s">
        <v>69</v>
      </c>
      <c r="J621">
        <v>12</v>
      </c>
      <c r="K621" t="s">
        <v>13</v>
      </c>
      <c r="L621" t="s">
        <v>42</v>
      </c>
      <c r="M621" t="s">
        <v>25</v>
      </c>
      <c r="N621" s="25">
        <v>41581</v>
      </c>
      <c r="O621">
        <v>1503.809</v>
      </c>
      <c r="P621">
        <v>1503.809</v>
      </c>
    </row>
    <row r="622" spans="1:16" x14ac:dyDescent="0.35">
      <c r="A622">
        <v>622</v>
      </c>
      <c r="B622" t="s">
        <v>65</v>
      </c>
      <c r="C622" t="s">
        <v>62</v>
      </c>
      <c r="D622" t="s">
        <v>58</v>
      </c>
      <c r="E622" t="s">
        <v>70</v>
      </c>
      <c r="F622">
        <v>1</v>
      </c>
      <c r="G622">
        <v>17600</v>
      </c>
      <c r="H622">
        <v>0</v>
      </c>
      <c r="I622" t="s">
        <v>67</v>
      </c>
      <c r="J622">
        <v>6</v>
      </c>
      <c r="K622" t="s">
        <v>12</v>
      </c>
      <c r="L622" t="s">
        <v>53</v>
      </c>
      <c r="M622" t="s">
        <v>19</v>
      </c>
      <c r="N622" s="25">
        <v>40097</v>
      </c>
      <c r="O622">
        <v>224.36799999999999</v>
      </c>
      <c r="P622">
        <v>224.36799999999999</v>
      </c>
    </row>
    <row r="623" spans="1:16" x14ac:dyDescent="0.35">
      <c r="A623">
        <v>623</v>
      </c>
      <c r="B623" t="s">
        <v>64</v>
      </c>
      <c r="C623" t="s">
        <v>61</v>
      </c>
      <c r="D623" t="s">
        <v>58</v>
      </c>
      <c r="E623" t="s">
        <v>2</v>
      </c>
      <c r="F623">
        <v>1</v>
      </c>
      <c r="G623">
        <v>76700</v>
      </c>
      <c r="H623">
        <v>1</v>
      </c>
      <c r="I623" t="s">
        <v>68</v>
      </c>
      <c r="J623">
        <v>24</v>
      </c>
      <c r="K623" t="s">
        <v>13</v>
      </c>
      <c r="L623" t="s">
        <v>43</v>
      </c>
      <c r="M623" t="s">
        <v>23</v>
      </c>
      <c r="N623" s="25">
        <v>40524</v>
      </c>
      <c r="O623">
        <v>1430.6679999999999</v>
      </c>
      <c r="P623">
        <v>1430.6679999999999</v>
      </c>
    </row>
    <row r="624" spans="1:16" x14ac:dyDescent="0.35">
      <c r="A624">
        <v>624</v>
      </c>
      <c r="B624" t="s">
        <v>65</v>
      </c>
      <c r="C624" t="s">
        <v>62</v>
      </c>
      <c r="D624" t="s">
        <v>58</v>
      </c>
      <c r="E624" t="s">
        <v>2</v>
      </c>
      <c r="F624">
        <v>1</v>
      </c>
      <c r="G624">
        <v>65900</v>
      </c>
      <c r="H624">
        <v>0</v>
      </c>
      <c r="I624" t="s">
        <v>69</v>
      </c>
      <c r="J624">
        <v>24</v>
      </c>
      <c r="K624" t="s">
        <v>13</v>
      </c>
      <c r="L624" t="s">
        <v>48</v>
      </c>
      <c r="M624" t="s">
        <v>27</v>
      </c>
      <c r="N624" s="25">
        <v>41151</v>
      </c>
      <c r="O624">
        <v>1436.43</v>
      </c>
      <c r="P624">
        <v>1436.43</v>
      </c>
    </row>
    <row r="625" spans="1:16" x14ac:dyDescent="0.35">
      <c r="A625">
        <v>625</v>
      </c>
      <c r="B625" t="s">
        <v>64</v>
      </c>
      <c r="C625" t="s">
        <v>62</v>
      </c>
      <c r="D625" t="s">
        <v>58</v>
      </c>
      <c r="E625" t="s">
        <v>2</v>
      </c>
      <c r="F625">
        <v>1</v>
      </c>
      <c r="G625">
        <v>63700</v>
      </c>
      <c r="H625">
        <v>3</v>
      </c>
      <c r="I625" t="s">
        <v>67</v>
      </c>
      <c r="J625">
        <v>12</v>
      </c>
      <c r="K625" t="s">
        <v>15</v>
      </c>
      <c r="L625" t="s">
        <v>44</v>
      </c>
      <c r="M625" t="s">
        <v>29</v>
      </c>
      <c r="N625" s="25">
        <v>39840</v>
      </c>
      <c r="O625">
        <v>363.58199999999999</v>
      </c>
      <c r="P625">
        <v>363.58199999999999</v>
      </c>
    </row>
    <row r="626" spans="1:16" x14ac:dyDescent="0.35">
      <c r="A626">
        <v>626</v>
      </c>
      <c r="B626" t="s">
        <v>64</v>
      </c>
      <c r="C626" t="s">
        <v>61</v>
      </c>
      <c r="D626" t="s">
        <v>66</v>
      </c>
      <c r="E626" t="s">
        <v>2</v>
      </c>
      <c r="F626">
        <v>1</v>
      </c>
      <c r="G626">
        <v>93000</v>
      </c>
      <c r="H626">
        <v>1</v>
      </c>
      <c r="I626" t="s">
        <v>69</v>
      </c>
      <c r="J626">
        <v>24</v>
      </c>
      <c r="K626" t="s">
        <v>14</v>
      </c>
      <c r="L626" t="s">
        <v>40</v>
      </c>
      <c r="M626" t="s">
        <v>36</v>
      </c>
      <c r="N626" s="25">
        <v>42231</v>
      </c>
      <c r="O626">
        <v>2644.047</v>
      </c>
      <c r="P626">
        <v>2644.047</v>
      </c>
    </row>
    <row r="627" spans="1:16" x14ac:dyDescent="0.35">
      <c r="A627">
        <v>627</v>
      </c>
      <c r="B627" t="s">
        <v>65</v>
      </c>
      <c r="C627" t="s">
        <v>62</v>
      </c>
      <c r="D627" t="s">
        <v>58</v>
      </c>
      <c r="E627" t="s">
        <v>2</v>
      </c>
      <c r="F627">
        <v>0</v>
      </c>
      <c r="G627">
        <v>33600</v>
      </c>
      <c r="H627">
        <v>2</v>
      </c>
      <c r="I627" t="s">
        <v>68</v>
      </c>
      <c r="J627">
        <v>12</v>
      </c>
      <c r="K627" t="s">
        <v>13</v>
      </c>
      <c r="L627" t="s">
        <v>48</v>
      </c>
      <c r="M627" t="s">
        <v>27</v>
      </c>
      <c r="N627" s="25">
        <v>40383</v>
      </c>
      <c r="O627">
        <v>805.24</v>
      </c>
      <c r="P627">
        <v>805.24</v>
      </c>
    </row>
    <row r="628" spans="1:16" x14ac:dyDescent="0.35">
      <c r="A628">
        <v>628</v>
      </c>
      <c r="B628" t="s">
        <v>63</v>
      </c>
      <c r="C628" t="s">
        <v>62</v>
      </c>
      <c r="D628" t="s">
        <v>58</v>
      </c>
      <c r="E628" t="s">
        <v>70</v>
      </c>
      <c r="F628">
        <v>1</v>
      </c>
      <c r="G628">
        <v>27500</v>
      </c>
      <c r="H628">
        <v>3</v>
      </c>
      <c r="I628" t="s">
        <v>8</v>
      </c>
      <c r="J628">
        <v>12</v>
      </c>
      <c r="K628" t="s">
        <v>15</v>
      </c>
      <c r="L628" t="s">
        <v>52</v>
      </c>
      <c r="M628" t="s">
        <v>30</v>
      </c>
      <c r="N628" s="25">
        <v>42020</v>
      </c>
      <c r="O628">
        <v>571.20799999999997</v>
      </c>
      <c r="P628">
        <v>571.20799999999997</v>
      </c>
    </row>
    <row r="629" spans="1:16" x14ac:dyDescent="0.35">
      <c r="A629">
        <v>629</v>
      </c>
      <c r="B629" t="s">
        <v>64</v>
      </c>
      <c r="C629" t="s">
        <v>61</v>
      </c>
      <c r="D629" t="s">
        <v>58</v>
      </c>
      <c r="E629" t="s">
        <v>2</v>
      </c>
      <c r="F629">
        <v>1</v>
      </c>
      <c r="G629">
        <v>84100</v>
      </c>
      <c r="H629">
        <v>3</v>
      </c>
      <c r="I629" t="s">
        <v>8</v>
      </c>
      <c r="J629">
        <v>6</v>
      </c>
      <c r="K629" t="s">
        <v>12</v>
      </c>
      <c r="L629" t="s">
        <v>41</v>
      </c>
      <c r="M629" t="s">
        <v>20</v>
      </c>
      <c r="N629" s="25">
        <v>42037</v>
      </c>
      <c r="O629">
        <v>1351.9480000000001</v>
      </c>
      <c r="P629">
        <v>1351.9480000000001</v>
      </c>
    </row>
    <row r="630" spans="1:16" x14ac:dyDescent="0.35">
      <c r="A630">
        <v>630</v>
      </c>
      <c r="B630" t="s">
        <v>64</v>
      </c>
      <c r="C630" t="s">
        <v>62</v>
      </c>
      <c r="D630" t="s">
        <v>58</v>
      </c>
      <c r="E630" t="s">
        <v>70</v>
      </c>
      <c r="F630">
        <v>1</v>
      </c>
      <c r="G630">
        <v>48700</v>
      </c>
      <c r="H630">
        <v>2</v>
      </c>
      <c r="I630" t="s">
        <v>67</v>
      </c>
      <c r="J630">
        <v>12</v>
      </c>
      <c r="K630" t="s">
        <v>13</v>
      </c>
      <c r="L630" t="s">
        <v>46</v>
      </c>
      <c r="M630" t="s">
        <v>22</v>
      </c>
      <c r="N630" s="25">
        <v>41442</v>
      </c>
      <c r="O630">
        <v>527.53099999999995</v>
      </c>
      <c r="P630">
        <v>527.53099999999995</v>
      </c>
    </row>
    <row r="631" spans="1:16" x14ac:dyDescent="0.35">
      <c r="A631">
        <v>631</v>
      </c>
      <c r="B631" t="s">
        <v>64</v>
      </c>
      <c r="C631" t="s">
        <v>61</v>
      </c>
      <c r="D631" t="s">
        <v>66</v>
      </c>
      <c r="E631" t="s">
        <v>70</v>
      </c>
      <c r="F631">
        <v>1</v>
      </c>
      <c r="G631">
        <v>45900</v>
      </c>
      <c r="H631">
        <v>0</v>
      </c>
      <c r="I631" t="s">
        <v>68</v>
      </c>
      <c r="J631">
        <v>12</v>
      </c>
      <c r="K631" t="s">
        <v>15</v>
      </c>
      <c r="L631" t="s">
        <v>28</v>
      </c>
      <c r="M631" t="s">
        <v>28</v>
      </c>
      <c r="N631" s="25">
        <v>40568</v>
      </c>
      <c r="O631">
        <v>716.31399999999996</v>
      </c>
      <c r="P631">
        <v>716.31399999999996</v>
      </c>
    </row>
    <row r="632" spans="1:16" x14ac:dyDescent="0.35">
      <c r="A632">
        <v>632</v>
      </c>
      <c r="B632" t="s">
        <v>65</v>
      </c>
      <c r="C632" t="s">
        <v>62</v>
      </c>
      <c r="D632" t="s">
        <v>58</v>
      </c>
      <c r="E632" t="s">
        <v>2</v>
      </c>
      <c r="F632">
        <v>1</v>
      </c>
      <c r="G632">
        <v>70700</v>
      </c>
      <c r="H632">
        <v>0</v>
      </c>
      <c r="I632" t="s">
        <v>69</v>
      </c>
      <c r="J632">
        <v>24</v>
      </c>
      <c r="K632" t="s">
        <v>14</v>
      </c>
      <c r="L632" t="s">
        <v>40</v>
      </c>
      <c r="M632" t="s">
        <v>36</v>
      </c>
      <c r="N632" s="25">
        <v>41689</v>
      </c>
      <c r="O632">
        <v>2149.9580000000001</v>
      </c>
      <c r="P632">
        <v>2149.9580000000001</v>
      </c>
    </row>
    <row r="633" spans="1:16" x14ac:dyDescent="0.35">
      <c r="A633">
        <v>633</v>
      </c>
      <c r="B633" t="s">
        <v>63</v>
      </c>
      <c r="C633" t="s">
        <v>61</v>
      </c>
      <c r="D633" t="s">
        <v>66</v>
      </c>
      <c r="E633" t="s">
        <v>70</v>
      </c>
      <c r="F633">
        <v>0</v>
      </c>
      <c r="G633">
        <v>13800</v>
      </c>
      <c r="H633">
        <v>1</v>
      </c>
      <c r="I633" t="s">
        <v>67</v>
      </c>
      <c r="J633">
        <v>12</v>
      </c>
      <c r="K633" t="s">
        <v>12</v>
      </c>
      <c r="L633" t="s">
        <v>53</v>
      </c>
      <c r="M633" t="s">
        <v>19</v>
      </c>
      <c r="N633" s="25">
        <v>40100</v>
      </c>
      <c r="O633">
        <v>367.82400000000001</v>
      </c>
      <c r="P633">
        <v>367.82400000000001</v>
      </c>
    </row>
    <row r="634" spans="1:16" x14ac:dyDescent="0.35">
      <c r="A634">
        <v>634</v>
      </c>
      <c r="B634" t="s">
        <v>64</v>
      </c>
      <c r="C634" t="s">
        <v>62</v>
      </c>
      <c r="D634" t="s">
        <v>58</v>
      </c>
      <c r="E634" t="s">
        <v>2</v>
      </c>
      <c r="F634">
        <v>1</v>
      </c>
      <c r="G634">
        <v>100800</v>
      </c>
      <c r="H634">
        <v>1</v>
      </c>
      <c r="I634" t="s">
        <v>69</v>
      </c>
      <c r="J634">
        <v>24</v>
      </c>
      <c r="K634" t="s">
        <v>12</v>
      </c>
      <c r="L634" t="s">
        <v>41</v>
      </c>
      <c r="M634" t="s">
        <v>20</v>
      </c>
      <c r="N634" s="25">
        <v>40141</v>
      </c>
      <c r="O634">
        <v>1788.6949999999999</v>
      </c>
      <c r="P634">
        <v>1788.6949999999999</v>
      </c>
    </row>
    <row r="635" spans="1:16" x14ac:dyDescent="0.35">
      <c r="A635">
        <v>635</v>
      </c>
      <c r="B635" t="s">
        <v>63</v>
      </c>
      <c r="C635" t="s">
        <v>61</v>
      </c>
      <c r="D635" t="s">
        <v>66</v>
      </c>
      <c r="E635" t="s">
        <v>70</v>
      </c>
      <c r="F635">
        <v>0</v>
      </c>
      <c r="G635">
        <v>25700</v>
      </c>
      <c r="H635">
        <v>0</v>
      </c>
      <c r="I635" t="s">
        <v>68</v>
      </c>
      <c r="J635">
        <v>18</v>
      </c>
      <c r="K635" t="s">
        <v>13</v>
      </c>
      <c r="L635" t="s">
        <v>45</v>
      </c>
      <c r="M635" t="s">
        <v>26</v>
      </c>
      <c r="N635" s="25">
        <v>41527</v>
      </c>
      <c r="O635">
        <v>906.51499999999999</v>
      </c>
      <c r="P635">
        <v>906.51499999999999</v>
      </c>
    </row>
    <row r="636" spans="1:16" x14ac:dyDescent="0.35">
      <c r="A636">
        <v>636</v>
      </c>
      <c r="B636" t="s">
        <v>63</v>
      </c>
      <c r="C636" t="s">
        <v>62</v>
      </c>
      <c r="D636" t="s">
        <v>66</v>
      </c>
      <c r="E636" t="s">
        <v>70</v>
      </c>
      <c r="F636">
        <v>1</v>
      </c>
      <c r="G636">
        <v>27000</v>
      </c>
      <c r="H636">
        <v>1</v>
      </c>
      <c r="I636" t="s">
        <v>8</v>
      </c>
      <c r="J636">
        <v>24</v>
      </c>
      <c r="K636" t="s">
        <v>13</v>
      </c>
      <c r="L636" t="s">
        <v>48</v>
      </c>
      <c r="M636" t="s">
        <v>27</v>
      </c>
      <c r="N636" s="25">
        <v>42212</v>
      </c>
      <c r="O636">
        <v>1011.587</v>
      </c>
      <c r="P636">
        <v>1011.587</v>
      </c>
    </row>
    <row r="637" spans="1:16" x14ac:dyDescent="0.35">
      <c r="A637">
        <v>637</v>
      </c>
      <c r="B637" t="s">
        <v>65</v>
      </c>
      <c r="C637" t="s">
        <v>62</v>
      </c>
      <c r="D637" t="s">
        <v>58</v>
      </c>
      <c r="E637" t="s">
        <v>70</v>
      </c>
      <c r="F637">
        <v>1</v>
      </c>
      <c r="G637">
        <v>51900</v>
      </c>
      <c r="H637">
        <v>0</v>
      </c>
      <c r="I637" t="s">
        <v>68</v>
      </c>
      <c r="J637">
        <v>12</v>
      </c>
      <c r="K637" t="s">
        <v>15</v>
      </c>
      <c r="L637" t="s">
        <v>28</v>
      </c>
      <c r="M637" t="s">
        <v>28</v>
      </c>
      <c r="N637" s="25">
        <v>41690</v>
      </c>
      <c r="O637">
        <v>1147.6400000000001</v>
      </c>
      <c r="P637">
        <v>1147.6400000000001</v>
      </c>
    </row>
    <row r="638" spans="1:16" x14ac:dyDescent="0.35">
      <c r="A638">
        <v>638</v>
      </c>
      <c r="B638" t="s">
        <v>64</v>
      </c>
      <c r="C638" t="s">
        <v>62</v>
      </c>
      <c r="D638" t="s">
        <v>66</v>
      </c>
      <c r="E638" t="s">
        <v>70</v>
      </c>
      <c r="F638">
        <v>0</v>
      </c>
      <c r="G638">
        <v>37800</v>
      </c>
      <c r="H638">
        <v>2</v>
      </c>
      <c r="I638" t="s">
        <v>8</v>
      </c>
      <c r="J638">
        <v>12</v>
      </c>
      <c r="K638" t="s">
        <v>13</v>
      </c>
      <c r="L638" t="s">
        <v>45</v>
      </c>
      <c r="M638" t="s">
        <v>26</v>
      </c>
      <c r="N638" s="25">
        <v>42047</v>
      </c>
      <c r="O638">
        <v>1185.0909999999999</v>
      </c>
      <c r="P638">
        <v>1185.0909999999999</v>
      </c>
    </row>
    <row r="639" spans="1:16" x14ac:dyDescent="0.35">
      <c r="A639">
        <v>639</v>
      </c>
      <c r="B639" t="s">
        <v>64</v>
      </c>
      <c r="C639" t="s">
        <v>62</v>
      </c>
      <c r="D639" t="s">
        <v>58</v>
      </c>
      <c r="E639" t="s">
        <v>2</v>
      </c>
      <c r="F639">
        <v>1</v>
      </c>
      <c r="G639">
        <v>74700</v>
      </c>
      <c r="H639">
        <v>1</v>
      </c>
      <c r="I639" t="s">
        <v>68</v>
      </c>
      <c r="J639">
        <v>6</v>
      </c>
      <c r="K639" t="s">
        <v>14</v>
      </c>
      <c r="L639" t="s">
        <v>51</v>
      </c>
      <c r="M639" t="s">
        <v>38</v>
      </c>
      <c r="N639" s="25">
        <v>41432</v>
      </c>
      <c r="O639">
        <v>703.87900000000002</v>
      </c>
      <c r="P639">
        <v>703.87900000000002</v>
      </c>
    </row>
    <row r="640" spans="1:16" x14ac:dyDescent="0.35">
      <c r="A640">
        <v>640</v>
      </c>
      <c r="B640" t="s">
        <v>63</v>
      </c>
      <c r="C640" t="s">
        <v>61</v>
      </c>
      <c r="D640" t="s">
        <v>66</v>
      </c>
      <c r="E640" t="s">
        <v>70</v>
      </c>
      <c r="F640">
        <v>0</v>
      </c>
      <c r="G640">
        <v>14800</v>
      </c>
      <c r="H640">
        <v>1</v>
      </c>
      <c r="I640" t="s">
        <v>8</v>
      </c>
      <c r="J640">
        <v>12</v>
      </c>
      <c r="K640" t="s">
        <v>13</v>
      </c>
      <c r="L640" t="s">
        <v>45</v>
      </c>
      <c r="M640" t="s">
        <v>26</v>
      </c>
      <c r="N640" s="25">
        <v>42234</v>
      </c>
      <c r="O640">
        <v>375.61399999999998</v>
      </c>
      <c r="P640">
        <v>375.61399999999998</v>
      </c>
    </row>
    <row r="641" spans="1:16" x14ac:dyDescent="0.35">
      <c r="A641">
        <v>641</v>
      </c>
      <c r="B641" t="s">
        <v>63</v>
      </c>
      <c r="C641" t="s">
        <v>61</v>
      </c>
      <c r="D641" t="s">
        <v>66</v>
      </c>
      <c r="E641" t="s">
        <v>70</v>
      </c>
      <c r="F641">
        <v>1</v>
      </c>
      <c r="G641">
        <v>17400</v>
      </c>
      <c r="H641">
        <v>0</v>
      </c>
      <c r="I641" t="s">
        <v>8</v>
      </c>
      <c r="J641">
        <v>12</v>
      </c>
      <c r="K641" t="s">
        <v>15</v>
      </c>
      <c r="L641" t="s">
        <v>52</v>
      </c>
      <c r="M641" t="s">
        <v>31</v>
      </c>
      <c r="N641" s="25">
        <v>42140</v>
      </c>
      <c r="O641">
        <v>332.09699999999998</v>
      </c>
      <c r="P641">
        <v>332.09699999999998</v>
      </c>
    </row>
    <row r="642" spans="1:16" x14ac:dyDescent="0.35">
      <c r="A642">
        <v>642</v>
      </c>
      <c r="B642" t="s">
        <v>64</v>
      </c>
      <c r="C642" t="s">
        <v>62</v>
      </c>
      <c r="D642" t="s">
        <v>58</v>
      </c>
      <c r="E642" t="s">
        <v>2</v>
      </c>
      <c r="F642">
        <v>1</v>
      </c>
      <c r="G642">
        <v>59900</v>
      </c>
      <c r="H642">
        <v>1</v>
      </c>
      <c r="I642" t="s">
        <v>8</v>
      </c>
      <c r="J642">
        <v>6</v>
      </c>
      <c r="K642" t="s">
        <v>13</v>
      </c>
      <c r="L642" t="s">
        <v>42</v>
      </c>
      <c r="M642" t="s">
        <v>25</v>
      </c>
      <c r="N642" s="25">
        <v>42055</v>
      </c>
      <c r="O642">
        <v>613.46299999999997</v>
      </c>
      <c r="P642">
        <v>613.46299999999997</v>
      </c>
    </row>
    <row r="643" spans="1:16" x14ac:dyDescent="0.35">
      <c r="A643">
        <v>643</v>
      </c>
      <c r="B643" t="s">
        <v>64</v>
      </c>
      <c r="C643" t="s">
        <v>62</v>
      </c>
      <c r="D643" t="s">
        <v>58</v>
      </c>
      <c r="E643" t="s">
        <v>70</v>
      </c>
      <c r="F643">
        <v>1</v>
      </c>
      <c r="G643">
        <v>67800</v>
      </c>
      <c r="H643">
        <v>1</v>
      </c>
      <c r="I643" t="s">
        <v>68</v>
      </c>
      <c r="J643">
        <v>6</v>
      </c>
      <c r="K643" t="s">
        <v>12</v>
      </c>
      <c r="L643" t="s">
        <v>47</v>
      </c>
      <c r="M643" t="s">
        <v>18</v>
      </c>
      <c r="N643" s="25">
        <v>40920</v>
      </c>
      <c r="O643">
        <v>680.02800000000002</v>
      </c>
      <c r="P643">
        <v>680.02800000000002</v>
      </c>
    </row>
    <row r="644" spans="1:16" x14ac:dyDescent="0.35">
      <c r="A644">
        <v>644</v>
      </c>
      <c r="B644" t="s">
        <v>64</v>
      </c>
      <c r="C644" t="s">
        <v>62</v>
      </c>
      <c r="D644" t="s">
        <v>66</v>
      </c>
      <c r="E644" t="s">
        <v>2</v>
      </c>
      <c r="F644">
        <v>1</v>
      </c>
      <c r="G644">
        <v>135700</v>
      </c>
      <c r="H644">
        <v>1</v>
      </c>
      <c r="I644" t="s">
        <v>69</v>
      </c>
      <c r="J644">
        <v>24</v>
      </c>
      <c r="K644" t="s">
        <v>13</v>
      </c>
      <c r="L644" t="s">
        <v>46</v>
      </c>
      <c r="M644" t="s">
        <v>22</v>
      </c>
      <c r="N644" s="25">
        <v>41173</v>
      </c>
      <c r="O644">
        <v>2745.7550000000001</v>
      </c>
      <c r="P644">
        <v>2745.7550000000001</v>
      </c>
    </row>
    <row r="645" spans="1:16" x14ac:dyDescent="0.35">
      <c r="A645">
        <v>645</v>
      </c>
      <c r="B645" t="s">
        <v>64</v>
      </c>
      <c r="C645" t="s">
        <v>61</v>
      </c>
      <c r="D645" t="s">
        <v>66</v>
      </c>
      <c r="E645" t="s">
        <v>2</v>
      </c>
      <c r="F645">
        <v>0</v>
      </c>
      <c r="G645">
        <v>63000</v>
      </c>
      <c r="H645">
        <v>0</v>
      </c>
      <c r="I645" t="s">
        <v>69</v>
      </c>
      <c r="J645">
        <v>18</v>
      </c>
      <c r="K645" t="s">
        <v>13</v>
      </c>
      <c r="L645" t="s">
        <v>42</v>
      </c>
      <c r="M645" t="s">
        <v>25</v>
      </c>
      <c r="N645" s="25">
        <v>40390</v>
      </c>
      <c r="O645">
        <v>2106.7869999999998</v>
      </c>
      <c r="P645">
        <v>2106.7869999999998</v>
      </c>
    </row>
    <row r="646" spans="1:16" x14ac:dyDescent="0.35">
      <c r="A646">
        <v>646</v>
      </c>
      <c r="B646" t="s">
        <v>63</v>
      </c>
      <c r="C646" t="s">
        <v>62</v>
      </c>
      <c r="D646" t="s">
        <v>58</v>
      </c>
      <c r="E646" t="s">
        <v>70</v>
      </c>
      <c r="F646">
        <v>0</v>
      </c>
      <c r="G646">
        <v>21900</v>
      </c>
      <c r="H646">
        <v>2</v>
      </c>
      <c r="I646" t="s">
        <v>67</v>
      </c>
      <c r="J646">
        <v>24</v>
      </c>
      <c r="K646" t="s">
        <v>14</v>
      </c>
      <c r="L646" t="s">
        <v>40</v>
      </c>
      <c r="M646" t="s">
        <v>36</v>
      </c>
      <c r="N646" s="25">
        <v>40577</v>
      </c>
      <c r="O646">
        <v>486.495</v>
      </c>
      <c r="P646">
        <v>486.495</v>
      </c>
    </row>
    <row r="647" spans="1:16" x14ac:dyDescent="0.35">
      <c r="A647">
        <v>647</v>
      </c>
      <c r="B647" t="s">
        <v>64</v>
      </c>
      <c r="C647" t="s">
        <v>62</v>
      </c>
      <c r="D647" t="s">
        <v>66</v>
      </c>
      <c r="E647" t="s">
        <v>2</v>
      </c>
      <c r="F647">
        <v>1</v>
      </c>
      <c r="G647">
        <v>114100</v>
      </c>
      <c r="H647">
        <v>1</v>
      </c>
      <c r="I647" t="s">
        <v>8</v>
      </c>
      <c r="J647">
        <v>24</v>
      </c>
      <c r="K647" t="s">
        <v>14</v>
      </c>
      <c r="L647" t="s">
        <v>40</v>
      </c>
      <c r="M647" t="s">
        <v>37</v>
      </c>
      <c r="N647" s="25">
        <v>42044</v>
      </c>
      <c r="O647">
        <v>1975.884</v>
      </c>
      <c r="P647">
        <v>1975.884</v>
      </c>
    </row>
    <row r="648" spans="1:16" x14ac:dyDescent="0.35">
      <c r="A648">
        <v>648</v>
      </c>
      <c r="B648" t="s">
        <v>63</v>
      </c>
      <c r="C648" t="s">
        <v>61</v>
      </c>
      <c r="D648" t="s">
        <v>66</v>
      </c>
      <c r="E648" t="s">
        <v>70</v>
      </c>
      <c r="F648">
        <v>0</v>
      </c>
      <c r="G648">
        <v>22900</v>
      </c>
      <c r="H648">
        <v>1</v>
      </c>
      <c r="I648" t="s">
        <v>8</v>
      </c>
      <c r="J648">
        <v>12</v>
      </c>
      <c r="K648" t="s">
        <v>12</v>
      </c>
      <c r="L648" t="s">
        <v>53</v>
      </c>
      <c r="M648" t="s">
        <v>19</v>
      </c>
      <c r="N648" s="25">
        <v>42067</v>
      </c>
      <c r="O648">
        <v>814.04499999999996</v>
      </c>
      <c r="P648">
        <v>814.04499999999996</v>
      </c>
    </row>
    <row r="649" spans="1:16" x14ac:dyDescent="0.35">
      <c r="A649">
        <v>649</v>
      </c>
      <c r="B649" t="s">
        <v>64</v>
      </c>
      <c r="C649" t="s">
        <v>62</v>
      </c>
      <c r="D649" t="s">
        <v>58</v>
      </c>
      <c r="E649" t="s">
        <v>2</v>
      </c>
      <c r="F649">
        <v>1</v>
      </c>
      <c r="G649">
        <v>82700</v>
      </c>
      <c r="H649">
        <v>1</v>
      </c>
      <c r="I649" t="s">
        <v>69</v>
      </c>
      <c r="J649">
        <v>18</v>
      </c>
      <c r="K649" t="s">
        <v>14</v>
      </c>
      <c r="L649" t="s">
        <v>40</v>
      </c>
      <c r="M649" t="s">
        <v>36</v>
      </c>
      <c r="N649" s="25">
        <v>41515</v>
      </c>
      <c r="O649">
        <v>1753.181</v>
      </c>
      <c r="P649">
        <v>1753.181</v>
      </c>
    </row>
    <row r="650" spans="1:16" x14ac:dyDescent="0.35">
      <c r="A650">
        <v>650</v>
      </c>
      <c r="B650" t="s">
        <v>65</v>
      </c>
      <c r="C650" t="s">
        <v>62</v>
      </c>
      <c r="D650" t="s">
        <v>58</v>
      </c>
      <c r="E650" t="s">
        <v>2</v>
      </c>
      <c r="F650">
        <v>1</v>
      </c>
      <c r="G650">
        <v>103300</v>
      </c>
      <c r="H650">
        <v>0</v>
      </c>
      <c r="I650" t="s">
        <v>69</v>
      </c>
      <c r="J650">
        <v>24</v>
      </c>
      <c r="K650" t="s">
        <v>12</v>
      </c>
      <c r="L650" t="s">
        <v>41</v>
      </c>
      <c r="M650" t="s">
        <v>20</v>
      </c>
      <c r="N650" s="25">
        <v>40493</v>
      </c>
      <c r="O650">
        <v>3378.482</v>
      </c>
      <c r="P650">
        <v>3378.482</v>
      </c>
    </row>
    <row r="651" spans="1:16" x14ac:dyDescent="0.35">
      <c r="A651">
        <v>651</v>
      </c>
      <c r="B651" t="s">
        <v>64</v>
      </c>
      <c r="C651" t="s">
        <v>61</v>
      </c>
      <c r="D651" t="s">
        <v>58</v>
      </c>
      <c r="E651" t="s">
        <v>2</v>
      </c>
      <c r="F651">
        <v>0</v>
      </c>
      <c r="G651">
        <v>113800</v>
      </c>
      <c r="H651">
        <v>0</v>
      </c>
      <c r="I651" t="s">
        <v>8</v>
      </c>
      <c r="J651">
        <v>12</v>
      </c>
      <c r="K651" t="s">
        <v>12</v>
      </c>
      <c r="L651" t="s">
        <v>41</v>
      </c>
      <c r="M651" t="s">
        <v>20</v>
      </c>
      <c r="N651" s="25">
        <v>42042</v>
      </c>
      <c r="O651">
        <v>3272.6529999999998</v>
      </c>
      <c r="P651">
        <v>3272.6529999999998</v>
      </c>
    </row>
    <row r="652" spans="1:16" x14ac:dyDescent="0.35">
      <c r="A652">
        <v>652</v>
      </c>
      <c r="B652" t="s">
        <v>63</v>
      </c>
      <c r="C652" t="s">
        <v>61</v>
      </c>
      <c r="D652" t="s">
        <v>66</v>
      </c>
      <c r="E652" t="s">
        <v>2</v>
      </c>
      <c r="F652">
        <v>1</v>
      </c>
      <c r="G652">
        <v>54500</v>
      </c>
      <c r="H652">
        <v>1</v>
      </c>
      <c r="I652" t="s">
        <v>68</v>
      </c>
      <c r="J652">
        <v>18</v>
      </c>
      <c r="K652" t="s">
        <v>12</v>
      </c>
      <c r="L652" t="s">
        <v>47</v>
      </c>
      <c r="M652" t="s">
        <v>18</v>
      </c>
      <c r="N652" s="25">
        <v>41567</v>
      </c>
      <c r="O652">
        <v>1001.101</v>
      </c>
      <c r="P652">
        <v>1001.101</v>
      </c>
    </row>
    <row r="653" spans="1:16" x14ac:dyDescent="0.35">
      <c r="A653">
        <v>653</v>
      </c>
      <c r="B653" t="s">
        <v>65</v>
      </c>
      <c r="C653" t="s">
        <v>61</v>
      </c>
      <c r="D653" t="s">
        <v>58</v>
      </c>
      <c r="E653" t="s">
        <v>2</v>
      </c>
      <c r="F653">
        <v>1</v>
      </c>
      <c r="G653">
        <v>54600</v>
      </c>
      <c r="H653">
        <v>0</v>
      </c>
      <c r="I653" t="s">
        <v>68</v>
      </c>
      <c r="J653">
        <v>24</v>
      </c>
      <c r="K653" t="s">
        <v>12</v>
      </c>
      <c r="L653" t="s">
        <v>53</v>
      </c>
      <c r="M653" t="s">
        <v>19</v>
      </c>
      <c r="N653" s="25">
        <v>40849</v>
      </c>
      <c r="O653">
        <v>1245.7329999999999</v>
      </c>
      <c r="P653">
        <v>1245.7329999999999</v>
      </c>
    </row>
    <row r="654" spans="1:16" x14ac:dyDescent="0.35">
      <c r="A654">
        <v>654</v>
      </c>
      <c r="B654" t="s">
        <v>63</v>
      </c>
      <c r="C654" t="s">
        <v>62</v>
      </c>
      <c r="D654" t="s">
        <v>66</v>
      </c>
      <c r="E654" t="s">
        <v>70</v>
      </c>
      <c r="F654">
        <v>1</v>
      </c>
      <c r="G654">
        <v>18900</v>
      </c>
      <c r="H654">
        <v>1</v>
      </c>
      <c r="I654" t="s">
        <v>67</v>
      </c>
      <c r="J654">
        <v>6</v>
      </c>
      <c r="K654" t="s">
        <v>12</v>
      </c>
      <c r="L654" t="s">
        <v>41</v>
      </c>
      <c r="M654" t="s">
        <v>20</v>
      </c>
      <c r="N654" s="25">
        <v>41593</v>
      </c>
      <c r="O654">
        <v>183.68899999999999</v>
      </c>
      <c r="P654">
        <v>183.68899999999999</v>
      </c>
    </row>
    <row r="655" spans="1:16" x14ac:dyDescent="0.35">
      <c r="A655">
        <v>655</v>
      </c>
      <c r="B655" t="s">
        <v>64</v>
      </c>
      <c r="C655" t="s">
        <v>62</v>
      </c>
      <c r="D655" t="s">
        <v>58</v>
      </c>
      <c r="E655" t="s">
        <v>2</v>
      </c>
      <c r="F655">
        <v>1</v>
      </c>
      <c r="G655">
        <v>83300</v>
      </c>
      <c r="H655">
        <v>1</v>
      </c>
      <c r="I655" t="s">
        <v>69</v>
      </c>
      <c r="J655">
        <v>24</v>
      </c>
      <c r="K655" t="s">
        <v>15</v>
      </c>
      <c r="L655" t="s">
        <v>52</v>
      </c>
      <c r="M655" t="s">
        <v>31</v>
      </c>
      <c r="N655" s="25">
        <v>40532</v>
      </c>
      <c r="O655">
        <v>2573.799</v>
      </c>
      <c r="P655">
        <v>2573.799</v>
      </c>
    </row>
    <row r="656" spans="1:16" x14ac:dyDescent="0.35">
      <c r="A656">
        <v>656</v>
      </c>
      <c r="B656" t="s">
        <v>64</v>
      </c>
      <c r="C656" t="s">
        <v>61</v>
      </c>
      <c r="D656" t="s">
        <v>66</v>
      </c>
      <c r="E656" t="s">
        <v>70</v>
      </c>
      <c r="F656">
        <v>0</v>
      </c>
      <c r="G656">
        <v>60200</v>
      </c>
      <c r="H656">
        <v>0</v>
      </c>
      <c r="I656" t="s">
        <v>69</v>
      </c>
      <c r="J656">
        <v>24</v>
      </c>
      <c r="K656" t="s">
        <v>12</v>
      </c>
      <c r="L656" t="s">
        <v>55</v>
      </c>
      <c r="M656" t="s">
        <v>17</v>
      </c>
      <c r="N656" s="25">
        <v>40415</v>
      </c>
      <c r="O656">
        <v>2304.0790000000002</v>
      </c>
      <c r="P656">
        <v>2304.0790000000002</v>
      </c>
    </row>
    <row r="657" spans="1:16" x14ac:dyDescent="0.35">
      <c r="A657">
        <v>657</v>
      </c>
      <c r="B657" t="s">
        <v>64</v>
      </c>
      <c r="C657" t="s">
        <v>62</v>
      </c>
      <c r="D657" t="s">
        <v>66</v>
      </c>
      <c r="E657" t="s">
        <v>70</v>
      </c>
      <c r="F657">
        <v>1</v>
      </c>
      <c r="G657">
        <v>53700</v>
      </c>
      <c r="H657">
        <v>2</v>
      </c>
      <c r="I657" t="s">
        <v>8</v>
      </c>
      <c r="J657">
        <v>12</v>
      </c>
      <c r="K657" t="s">
        <v>15</v>
      </c>
      <c r="L657" t="s">
        <v>28</v>
      </c>
      <c r="M657" t="s">
        <v>33</v>
      </c>
      <c r="N657" s="25">
        <v>42106</v>
      </c>
      <c r="O657">
        <v>1193.799</v>
      </c>
      <c r="P657">
        <v>1193.799</v>
      </c>
    </row>
    <row r="658" spans="1:16" x14ac:dyDescent="0.35">
      <c r="A658">
        <v>658</v>
      </c>
      <c r="B658" t="s">
        <v>65</v>
      </c>
      <c r="C658" t="s">
        <v>62</v>
      </c>
      <c r="D658" t="s">
        <v>58</v>
      </c>
      <c r="E658" t="s">
        <v>2</v>
      </c>
      <c r="F658">
        <v>1</v>
      </c>
      <c r="G658">
        <v>89000</v>
      </c>
      <c r="H658">
        <v>0</v>
      </c>
      <c r="I658" t="s">
        <v>69</v>
      </c>
      <c r="J658">
        <v>12</v>
      </c>
      <c r="K658" t="s">
        <v>12</v>
      </c>
      <c r="L658" t="s">
        <v>53</v>
      </c>
      <c r="M658" t="s">
        <v>19</v>
      </c>
      <c r="N658" s="25">
        <v>41281</v>
      </c>
      <c r="O658">
        <v>1486.5350000000001</v>
      </c>
      <c r="P658">
        <v>1486.5350000000001</v>
      </c>
    </row>
    <row r="659" spans="1:16" x14ac:dyDescent="0.35">
      <c r="A659">
        <v>659</v>
      </c>
      <c r="B659" t="s">
        <v>63</v>
      </c>
      <c r="C659" t="s">
        <v>62</v>
      </c>
      <c r="D659" t="s">
        <v>66</v>
      </c>
      <c r="E659" t="s">
        <v>70</v>
      </c>
      <c r="F659">
        <v>1</v>
      </c>
      <c r="G659">
        <v>12500</v>
      </c>
      <c r="H659">
        <v>3</v>
      </c>
      <c r="I659" t="s">
        <v>8</v>
      </c>
      <c r="J659">
        <v>12</v>
      </c>
      <c r="K659" t="s">
        <v>14</v>
      </c>
      <c r="L659" t="s">
        <v>49</v>
      </c>
      <c r="M659" t="s">
        <v>39</v>
      </c>
      <c r="N659" s="25">
        <v>42208</v>
      </c>
      <c r="O659">
        <v>206.36600000000001</v>
      </c>
      <c r="P659">
        <v>206.36600000000001</v>
      </c>
    </row>
    <row r="660" spans="1:16" x14ac:dyDescent="0.35">
      <c r="A660">
        <v>660</v>
      </c>
      <c r="B660" t="s">
        <v>64</v>
      </c>
      <c r="C660" t="s">
        <v>61</v>
      </c>
      <c r="D660" t="s">
        <v>58</v>
      </c>
      <c r="E660" t="s">
        <v>70</v>
      </c>
      <c r="F660">
        <v>1</v>
      </c>
      <c r="G660">
        <v>50600</v>
      </c>
      <c r="H660">
        <v>3</v>
      </c>
      <c r="I660" t="s">
        <v>8</v>
      </c>
      <c r="J660">
        <v>6</v>
      </c>
      <c r="K660" t="s">
        <v>14</v>
      </c>
      <c r="L660" t="s">
        <v>51</v>
      </c>
      <c r="M660" t="s">
        <v>38</v>
      </c>
      <c r="N660" s="25">
        <v>42194</v>
      </c>
      <c r="O660">
        <v>713.01700000000005</v>
      </c>
      <c r="P660">
        <v>713.01700000000005</v>
      </c>
    </row>
    <row r="661" spans="1:16" x14ac:dyDescent="0.35">
      <c r="A661">
        <v>661</v>
      </c>
      <c r="B661" t="s">
        <v>64</v>
      </c>
      <c r="C661" t="s">
        <v>62</v>
      </c>
      <c r="D661" t="s">
        <v>58</v>
      </c>
      <c r="E661" t="s">
        <v>2</v>
      </c>
      <c r="F661">
        <v>1</v>
      </c>
      <c r="G661">
        <v>67900</v>
      </c>
      <c r="H661">
        <v>3</v>
      </c>
      <c r="I661" t="s">
        <v>67</v>
      </c>
      <c r="J661">
        <v>12</v>
      </c>
      <c r="K661" t="s">
        <v>15</v>
      </c>
      <c r="L661" t="s">
        <v>28</v>
      </c>
      <c r="M661" t="s">
        <v>28</v>
      </c>
      <c r="N661" s="25">
        <v>41874</v>
      </c>
      <c r="O661">
        <v>355.95</v>
      </c>
      <c r="P661">
        <v>355.95</v>
      </c>
    </row>
    <row r="662" spans="1:16" x14ac:dyDescent="0.35">
      <c r="A662">
        <v>662</v>
      </c>
      <c r="B662" t="s">
        <v>64</v>
      </c>
      <c r="C662" t="s">
        <v>61</v>
      </c>
      <c r="D662" t="s">
        <v>66</v>
      </c>
      <c r="E662" t="s">
        <v>2</v>
      </c>
      <c r="F662">
        <v>1</v>
      </c>
      <c r="G662">
        <v>62800</v>
      </c>
      <c r="H662">
        <v>3</v>
      </c>
      <c r="I662" t="s">
        <v>67</v>
      </c>
      <c r="J662">
        <v>6</v>
      </c>
      <c r="K662" t="s">
        <v>15</v>
      </c>
      <c r="L662" t="s">
        <v>42</v>
      </c>
      <c r="M662" t="s">
        <v>32</v>
      </c>
      <c r="N662" s="25">
        <v>40709</v>
      </c>
      <c r="O662">
        <v>176.84299999999999</v>
      </c>
      <c r="P662">
        <v>176.84299999999999</v>
      </c>
    </row>
    <row r="663" spans="1:16" x14ac:dyDescent="0.35">
      <c r="A663">
        <v>663</v>
      </c>
      <c r="B663" t="s">
        <v>64</v>
      </c>
      <c r="C663" t="s">
        <v>62</v>
      </c>
      <c r="D663" t="s">
        <v>58</v>
      </c>
      <c r="E663" t="s">
        <v>70</v>
      </c>
      <c r="F663">
        <v>0</v>
      </c>
      <c r="G663">
        <v>34600</v>
      </c>
      <c r="H663">
        <v>2</v>
      </c>
      <c r="I663" t="s">
        <v>68</v>
      </c>
      <c r="J663">
        <v>18</v>
      </c>
      <c r="K663" t="s">
        <v>12</v>
      </c>
      <c r="L663" t="s">
        <v>53</v>
      </c>
      <c r="M663" t="s">
        <v>19</v>
      </c>
      <c r="N663" s="25">
        <v>42010</v>
      </c>
      <c r="O663">
        <v>748.25400000000002</v>
      </c>
      <c r="P663">
        <v>748.25400000000002</v>
      </c>
    </row>
    <row r="664" spans="1:16" x14ac:dyDescent="0.35">
      <c r="A664">
        <v>664</v>
      </c>
      <c r="B664" t="s">
        <v>64</v>
      </c>
      <c r="C664" t="s">
        <v>62</v>
      </c>
      <c r="D664" t="s">
        <v>58</v>
      </c>
      <c r="E664" t="s">
        <v>70</v>
      </c>
      <c r="F664">
        <v>1</v>
      </c>
      <c r="G664">
        <v>43500</v>
      </c>
      <c r="H664">
        <v>1</v>
      </c>
      <c r="I664" t="s">
        <v>68</v>
      </c>
      <c r="J664">
        <v>12</v>
      </c>
      <c r="K664" t="s">
        <v>12</v>
      </c>
      <c r="L664" t="s">
        <v>53</v>
      </c>
      <c r="M664" t="s">
        <v>19</v>
      </c>
      <c r="N664" s="25">
        <v>40599</v>
      </c>
      <c r="O664">
        <v>500.44799999999998</v>
      </c>
      <c r="P664">
        <v>500.44799999999998</v>
      </c>
    </row>
    <row r="665" spans="1:16" x14ac:dyDescent="0.35">
      <c r="A665">
        <v>665</v>
      </c>
      <c r="B665" t="s">
        <v>65</v>
      </c>
      <c r="C665" t="s">
        <v>61</v>
      </c>
      <c r="D665" t="s">
        <v>58</v>
      </c>
      <c r="E665" t="s">
        <v>2</v>
      </c>
      <c r="F665">
        <v>0</v>
      </c>
      <c r="G665">
        <v>80700</v>
      </c>
      <c r="H665">
        <v>0</v>
      </c>
      <c r="I665" t="s">
        <v>8</v>
      </c>
      <c r="J665">
        <v>18</v>
      </c>
      <c r="K665" t="s">
        <v>15</v>
      </c>
      <c r="L665" t="s">
        <v>44</v>
      </c>
      <c r="M665" t="s">
        <v>29</v>
      </c>
      <c r="N665" s="25">
        <v>42143</v>
      </c>
      <c r="O665">
        <v>3034.1869999999999</v>
      </c>
      <c r="P665">
        <v>3034.1869999999999</v>
      </c>
    </row>
    <row r="666" spans="1:16" x14ac:dyDescent="0.35">
      <c r="A666">
        <v>666</v>
      </c>
      <c r="B666" t="s">
        <v>65</v>
      </c>
      <c r="C666" t="s">
        <v>61</v>
      </c>
      <c r="D666" t="s">
        <v>66</v>
      </c>
      <c r="E666" t="s">
        <v>70</v>
      </c>
      <c r="F666">
        <v>1</v>
      </c>
      <c r="G666">
        <v>29000</v>
      </c>
      <c r="H666">
        <v>0</v>
      </c>
      <c r="I666" t="s">
        <v>67</v>
      </c>
      <c r="J666">
        <v>6</v>
      </c>
      <c r="K666" t="s">
        <v>14</v>
      </c>
      <c r="L666" t="s">
        <v>40</v>
      </c>
      <c r="M666" t="s">
        <v>36</v>
      </c>
      <c r="N666" s="25">
        <v>40779</v>
      </c>
      <c r="O666">
        <v>481.5</v>
      </c>
      <c r="P666">
        <v>481.5</v>
      </c>
    </row>
    <row r="667" spans="1:16" x14ac:dyDescent="0.35">
      <c r="A667">
        <v>667</v>
      </c>
      <c r="B667" t="s">
        <v>63</v>
      </c>
      <c r="C667" t="s">
        <v>62</v>
      </c>
      <c r="D667" t="s">
        <v>66</v>
      </c>
      <c r="E667" t="s">
        <v>70</v>
      </c>
      <c r="F667">
        <v>0</v>
      </c>
      <c r="G667">
        <v>27600</v>
      </c>
      <c r="H667">
        <v>1</v>
      </c>
      <c r="I667" t="s">
        <v>68</v>
      </c>
      <c r="J667">
        <v>24</v>
      </c>
      <c r="K667" t="s">
        <v>13</v>
      </c>
      <c r="L667" t="s">
        <v>42</v>
      </c>
      <c r="M667" t="s">
        <v>25</v>
      </c>
      <c r="N667" s="25">
        <v>41263</v>
      </c>
      <c r="O667">
        <v>893.37400000000002</v>
      </c>
      <c r="P667">
        <v>893.37400000000002</v>
      </c>
    </row>
    <row r="668" spans="1:16" x14ac:dyDescent="0.35">
      <c r="A668">
        <v>668</v>
      </c>
      <c r="B668" t="s">
        <v>65</v>
      </c>
      <c r="C668" t="s">
        <v>62</v>
      </c>
      <c r="D668" t="s">
        <v>58</v>
      </c>
      <c r="E668" t="s">
        <v>2</v>
      </c>
      <c r="F668">
        <v>0</v>
      </c>
      <c r="G668">
        <v>12600</v>
      </c>
      <c r="H668">
        <v>2</v>
      </c>
      <c r="I668" t="s">
        <v>67</v>
      </c>
      <c r="J668">
        <v>12</v>
      </c>
      <c r="K668" t="s">
        <v>12</v>
      </c>
      <c r="L668" t="s">
        <v>54</v>
      </c>
      <c r="M668" t="s">
        <v>21</v>
      </c>
      <c r="N668" s="25">
        <v>39942</v>
      </c>
      <c r="O668">
        <v>164.49</v>
      </c>
      <c r="P668">
        <v>164.49</v>
      </c>
    </row>
    <row r="669" spans="1:16" x14ac:dyDescent="0.35">
      <c r="A669">
        <v>669</v>
      </c>
      <c r="B669" t="s">
        <v>64</v>
      </c>
      <c r="C669" t="s">
        <v>62</v>
      </c>
      <c r="D669" t="s">
        <v>58</v>
      </c>
      <c r="E669" t="s">
        <v>2</v>
      </c>
      <c r="F669">
        <v>0</v>
      </c>
      <c r="G669">
        <v>88600</v>
      </c>
      <c r="H669">
        <v>1</v>
      </c>
      <c r="I669" t="s">
        <v>69</v>
      </c>
      <c r="J669">
        <v>18</v>
      </c>
      <c r="K669" t="s">
        <v>15</v>
      </c>
      <c r="L669" t="s">
        <v>28</v>
      </c>
      <c r="M669" t="s">
        <v>33</v>
      </c>
      <c r="N669" s="25">
        <v>42196</v>
      </c>
      <c r="O669">
        <v>2563.027</v>
      </c>
      <c r="P669">
        <v>2563.027</v>
      </c>
    </row>
    <row r="670" spans="1:16" x14ac:dyDescent="0.35">
      <c r="A670">
        <v>670</v>
      </c>
      <c r="B670" t="s">
        <v>64</v>
      </c>
      <c r="C670" t="s">
        <v>61</v>
      </c>
      <c r="D670" t="s">
        <v>58</v>
      </c>
      <c r="E670" t="s">
        <v>2</v>
      </c>
      <c r="F670">
        <v>0</v>
      </c>
      <c r="G670">
        <v>61400</v>
      </c>
      <c r="H670">
        <v>1</v>
      </c>
      <c r="I670" t="s">
        <v>69</v>
      </c>
      <c r="J670">
        <v>24</v>
      </c>
      <c r="K670" t="s">
        <v>15</v>
      </c>
      <c r="L670" t="s">
        <v>42</v>
      </c>
      <c r="M670" t="s">
        <v>32</v>
      </c>
      <c r="N670" s="25">
        <v>40567</v>
      </c>
      <c r="O670">
        <v>1574.5139999999999</v>
      </c>
      <c r="P670">
        <v>1574.5139999999999</v>
      </c>
    </row>
    <row r="671" spans="1:16" x14ac:dyDescent="0.35">
      <c r="A671">
        <v>671</v>
      </c>
      <c r="B671" t="s">
        <v>64</v>
      </c>
      <c r="C671" t="s">
        <v>62</v>
      </c>
      <c r="D671" t="s">
        <v>66</v>
      </c>
      <c r="E671" t="s">
        <v>70</v>
      </c>
      <c r="F671">
        <v>1</v>
      </c>
      <c r="G671">
        <v>40200</v>
      </c>
      <c r="H671">
        <v>1</v>
      </c>
      <c r="I671" t="s">
        <v>8</v>
      </c>
      <c r="J671">
        <v>12</v>
      </c>
      <c r="K671" t="s">
        <v>13</v>
      </c>
      <c r="L671" t="s">
        <v>48</v>
      </c>
      <c r="M671" t="s">
        <v>27</v>
      </c>
      <c r="N671" s="25">
        <v>42208</v>
      </c>
      <c r="O671">
        <v>880.59500000000003</v>
      </c>
      <c r="P671">
        <v>880.59500000000003</v>
      </c>
    </row>
    <row r="672" spans="1:16" x14ac:dyDescent="0.35">
      <c r="A672">
        <v>672</v>
      </c>
      <c r="B672" t="s">
        <v>63</v>
      </c>
      <c r="C672" t="s">
        <v>62</v>
      </c>
      <c r="D672" t="s">
        <v>66</v>
      </c>
      <c r="E672" t="s">
        <v>2</v>
      </c>
      <c r="F672">
        <v>1</v>
      </c>
      <c r="G672">
        <v>69700</v>
      </c>
      <c r="H672">
        <v>2</v>
      </c>
      <c r="I672" t="s">
        <v>68</v>
      </c>
      <c r="J672">
        <v>6</v>
      </c>
      <c r="K672" t="s">
        <v>12</v>
      </c>
      <c r="L672" t="s">
        <v>47</v>
      </c>
      <c r="M672" t="s">
        <v>16</v>
      </c>
      <c r="N672" s="25">
        <v>40367</v>
      </c>
      <c r="O672">
        <v>584.11900000000003</v>
      </c>
      <c r="P672">
        <v>584.11900000000003</v>
      </c>
    </row>
    <row r="673" spans="1:16" x14ac:dyDescent="0.35">
      <c r="A673">
        <v>673</v>
      </c>
      <c r="B673" t="s">
        <v>64</v>
      </c>
      <c r="C673" t="s">
        <v>61</v>
      </c>
      <c r="D673" t="s">
        <v>66</v>
      </c>
      <c r="E673" t="s">
        <v>70</v>
      </c>
      <c r="F673">
        <v>1</v>
      </c>
      <c r="G673">
        <v>53300</v>
      </c>
      <c r="H673">
        <v>0</v>
      </c>
      <c r="I673" t="s">
        <v>68</v>
      </c>
      <c r="J673">
        <v>18</v>
      </c>
      <c r="K673" t="s">
        <v>14</v>
      </c>
      <c r="L673" t="s">
        <v>49</v>
      </c>
      <c r="M673" t="s">
        <v>39</v>
      </c>
      <c r="N673" s="25">
        <v>40406</v>
      </c>
      <c r="O673">
        <v>1720.018</v>
      </c>
      <c r="P673">
        <v>1720.018</v>
      </c>
    </row>
    <row r="674" spans="1:16" x14ac:dyDescent="0.35">
      <c r="A674">
        <v>674</v>
      </c>
      <c r="B674" t="s">
        <v>65</v>
      </c>
      <c r="C674" t="s">
        <v>61</v>
      </c>
      <c r="D674" t="s">
        <v>66</v>
      </c>
      <c r="E674" t="s">
        <v>2</v>
      </c>
      <c r="F674">
        <v>0</v>
      </c>
      <c r="G674">
        <v>66200</v>
      </c>
      <c r="H674">
        <v>0</v>
      </c>
      <c r="I674" t="s">
        <v>8</v>
      </c>
      <c r="J674">
        <v>6</v>
      </c>
      <c r="K674" t="s">
        <v>15</v>
      </c>
      <c r="L674" t="s">
        <v>52</v>
      </c>
      <c r="M674" t="s">
        <v>31</v>
      </c>
      <c r="N674" s="25">
        <v>42043</v>
      </c>
      <c r="O674">
        <v>1024.3050000000001</v>
      </c>
      <c r="P674">
        <v>1024.3050000000001</v>
      </c>
    </row>
    <row r="675" spans="1:16" x14ac:dyDescent="0.35">
      <c r="A675">
        <v>675</v>
      </c>
      <c r="B675" t="s">
        <v>64</v>
      </c>
      <c r="C675" t="s">
        <v>61</v>
      </c>
      <c r="D675" t="s">
        <v>66</v>
      </c>
      <c r="E675" t="s">
        <v>70</v>
      </c>
      <c r="F675">
        <v>1</v>
      </c>
      <c r="G675">
        <v>54400</v>
      </c>
      <c r="H675">
        <v>0</v>
      </c>
      <c r="I675" t="s">
        <v>68</v>
      </c>
      <c r="J675">
        <v>6</v>
      </c>
      <c r="K675" t="s">
        <v>15</v>
      </c>
      <c r="L675" t="s">
        <v>52</v>
      </c>
      <c r="M675" t="s">
        <v>31</v>
      </c>
      <c r="N675" s="25">
        <v>42016</v>
      </c>
      <c r="O675">
        <v>1150.405</v>
      </c>
      <c r="P675">
        <v>1150.405</v>
      </c>
    </row>
    <row r="676" spans="1:16" x14ac:dyDescent="0.35">
      <c r="A676">
        <v>676</v>
      </c>
      <c r="B676" t="s">
        <v>64</v>
      </c>
      <c r="C676" t="s">
        <v>61</v>
      </c>
      <c r="D676" t="s">
        <v>66</v>
      </c>
      <c r="E676" t="s">
        <v>2</v>
      </c>
      <c r="F676">
        <v>1</v>
      </c>
      <c r="G676">
        <v>68700</v>
      </c>
      <c r="H676">
        <v>0</v>
      </c>
      <c r="I676" t="s">
        <v>69</v>
      </c>
      <c r="J676">
        <v>24</v>
      </c>
      <c r="K676" t="s">
        <v>12</v>
      </c>
      <c r="L676" t="s">
        <v>47</v>
      </c>
      <c r="M676" t="s">
        <v>18</v>
      </c>
      <c r="N676" s="25">
        <v>41682</v>
      </c>
      <c r="O676">
        <v>2763.4639999999999</v>
      </c>
      <c r="P676">
        <v>2763.4639999999999</v>
      </c>
    </row>
    <row r="677" spans="1:16" x14ac:dyDescent="0.35">
      <c r="A677">
        <v>677</v>
      </c>
      <c r="B677" t="s">
        <v>63</v>
      </c>
      <c r="C677" t="s">
        <v>62</v>
      </c>
      <c r="D677" t="s">
        <v>66</v>
      </c>
      <c r="E677" t="s">
        <v>70</v>
      </c>
      <c r="F677">
        <v>1</v>
      </c>
      <c r="G677">
        <v>25100</v>
      </c>
      <c r="H677">
        <v>1</v>
      </c>
      <c r="I677" t="s">
        <v>8</v>
      </c>
      <c r="J677">
        <v>6</v>
      </c>
      <c r="K677" t="s">
        <v>13</v>
      </c>
      <c r="L677" t="s">
        <v>43</v>
      </c>
      <c r="M677" t="s">
        <v>23</v>
      </c>
      <c r="N677" s="25">
        <v>42009</v>
      </c>
      <c r="O677">
        <v>421.02699999999999</v>
      </c>
      <c r="P677">
        <v>421.02699999999999</v>
      </c>
    </row>
    <row r="678" spans="1:16" x14ac:dyDescent="0.35">
      <c r="A678">
        <v>678</v>
      </c>
      <c r="B678" t="s">
        <v>63</v>
      </c>
      <c r="C678" t="s">
        <v>62</v>
      </c>
      <c r="D678" t="s">
        <v>66</v>
      </c>
      <c r="E678" t="s">
        <v>70</v>
      </c>
      <c r="F678">
        <v>1</v>
      </c>
      <c r="G678">
        <v>20300</v>
      </c>
      <c r="H678">
        <v>2</v>
      </c>
      <c r="I678" t="s">
        <v>67</v>
      </c>
      <c r="J678">
        <v>12</v>
      </c>
      <c r="K678" t="s">
        <v>14</v>
      </c>
      <c r="L678" t="s">
        <v>50</v>
      </c>
      <c r="M678" t="s">
        <v>34</v>
      </c>
      <c r="N678" s="25">
        <v>41282</v>
      </c>
      <c r="O678">
        <v>180.47200000000001</v>
      </c>
      <c r="P678">
        <v>180.47200000000001</v>
      </c>
    </row>
    <row r="679" spans="1:16" x14ac:dyDescent="0.35">
      <c r="A679">
        <v>679</v>
      </c>
      <c r="B679" t="s">
        <v>65</v>
      </c>
      <c r="C679" t="s">
        <v>62</v>
      </c>
      <c r="D679" t="s">
        <v>58</v>
      </c>
      <c r="E679" t="s">
        <v>2</v>
      </c>
      <c r="F679">
        <v>1</v>
      </c>
      <c r="G679">
        <v>118800</v>
      </c>
      <c r="H679">
        <v>0</v>
      </c>
      <c r="I679" t="s">
        <v>69</v>
      </c>
      <c r="J679">
        <v>18</v>
      </c>
      <c r="K679" t="s">
        <v>12</v>
      </c>
      <c r="L679" t="s">
        <v>41</v>
      </c>
      <c r="M679" t="s">
        <v>20</v>
      </c>
      <c r="N679" s="25">
        <v>42145</v>
      </c>
      <c r="O679">
        <v>2175.9690000000001</v>
      </c>
      <c r="P679">
        <v>2175.9690000000001</v>
      </c>
    </row>
    <row r="680" spans="1:16" x14ac:dyDescent="0.35">
      <c r="A680">
        <v>680</v>
      </c>
      <c r="B680" t="s">
        <v>63</v>
      </c>
      <c r="C680" t="s">
        <v>61</v>
      </c>
      <c r="D680" t="s">
        <v>66</v>
      </c>
      <c r="E680" t="s">
        <v>70</v>
      </c>
      <c r="F680">
        <v>1</v>
      </c>
      <c r="G680">
        <v>17600</v>
      </c>
      <c r="H680">
        <v>0</v>
      </c>
      <c r="I680" t="s">
        <v>8</v>
      </c>
      <c r="J680">
        <v>6</v>
      </c>
      <c r="K680" t="s">
        <v>12</v>
      </c>
      <c r="L680" t="s">
        <v>47</v>
      </c>
      <c r="M680" t="s">
        <v>16</v>
      </c>
      <c r="N680" s="25">
        <v>42134</v>
      </c>
      <c r="O680">
        <v>273.072</v>
      </c>
      <c r="P680">
        <v>273.072</v>
      </c>
    </row>
    <row r="681" spans="1:16" x14ac:dyDescent="0.35">
      <c r="A681">
        <v>681</v>
      </c>
      <c r="B681" t="s">
        <v>64</v>
      </c>
      <c r="C681" t="s">
        <v>61</v>
      </c>
      <c r="D681" t="s">
        <v>58</v>
      </c>
      <c r="E681" t="s">
        <v>2</v>
      </c>
      <c r="F681">
        <v>0</v>
      </c>
      <c r="G681">
        <v>88700</v>
      </c>
      <c r="H681">
        <v>2</v>
      </c>
      <c r="I681" t="s">
        <v>69</v>
      </c>
      <c r="J681">
        <v>24</v>
      </c>
      <c r="K681" t="s">
        <v>14</v>
      </c>
      <c r="L681" t="s">
        <v>40</v>
      </c>
      <c r="M681" t="s">
        <v>37</v>
      </c>
      <c r="N681" s="25">
        <v>40717</v>
      </c>
      <c r="O681">
        <v>2693.4409999999998</v>
      </c>
      <c r="P681">
        <v>2693.4409999999998</v>
      </c>
    </row>
    <row r="682" spans="1:16" x14ac:dyDescent="0.35">
      <c r="A682">
        <v>682</v>
      </c>
      <c r="B682" t="s">
        <v>64</v>
      </c>
      <c r="C682" t="s">
        <v>62</v>
      </c>
      <c r="D682" t="s">
        <v>58</v>
      </c>
      <c r="E682" t="s">
        <v>2</v>
      </c>
      <c r="F682">
        <v>0</v>
      </c>
      <c r="G682">
        <v>84900</v>
      </c>
      <c r="H682">
        <v>1</v>
      </c>
      <c r="I682" t="s">
        <v>69</v>
      </c>
      <c r="J682">
        <v>24</v>
      </c>
      <c r="K682" t="s">
        <v>12</v>
      </c>
      <c r="L682" t="s">
        <v>47</v>
      </c>
      <c r="M682" t="s">
        <v>18</v>
      </c>
      <c r="N682" s="25">
        <v>41511</v>
      </c>
      <c r="O682">
        <v>3072.076</v>
      </c>
      <c r="P682">
        <v>3072.076</v>
      </c>
    </row>
    <row r="683" spans="1:16" x14ac:dyDescent="0.35">
      <c r="A683">
        <v>683</v>
      </c>
      <c r="B683" t="s">
        <v>64</v>
      </c>
      <c r="C683" t="s">
        <v>61</v>
      </c>
      <c r="D683" t="s">
        <v>58</v>
      </c>
      <c r="E683" t="s">
        <v>2</v>
      </c>
      <c r="F683">
        <v>0</v>
      </c>
      <c r="G683">
        <v>89500</v>
      </c>
      <c r="H683">
        <v>0</v>
      </c>
      <c r="I683" t="s">
        <v>69</v>
      </c>
      <c r="J683">
        <v>24</v>
      </c>
      <c r="K683" t="s">
        <v>14</v>
      </c>
      <c r="L683" t="s">
        <v>50</v>
      </c>
      <c r="M683" t="s">
        <v>34</v>
      </c>
      <c r="N683" s="25">
        <v>42174</v>
      </c>
      <c r="O683">
        <v>5208.7179999999998</v>
      </c>
      <c r="P683">
        <v>3500</v>
      </c>
    </row>
    <row r="684" spans="1:16" x14ac:dyDescent="0.35">
      <c r="A684">
        <v>684</v>
      </c>
      <c r="B684" t="s">
        <v>63</v>
      </c>
      <c r="C684" t="s">
        <v>62</v>
      </c>
      <c r="D684" t="s">
        <v>66</v>
      </c>
      <c r="E684" t="s">
        <v>70</v>
      </c>
      <c r="F684">
        <v>1</v>
      </c>
      <c r="G684">
        <v>11900</v>
      </c>
      <c r="H684">
        <v>1</v>
      </c>
      <c r="I684" t="s">
        <v>67</v>
      </c>
      <c r="J684">
        <v>6</v>
      </c>
      <c r="K684" t="s">
        <v>12</v>
      </c>
      <c r="L684" t="s">
        <v>54</v>
      </c>
      <c r="M684" t="s">
        <v>21</v>
      </c>
      <c r="N684" s="25">
        <v>41103</v>
      </c>
      <c r="O684">
        <v>143.46700000000001</v>
      </c>
      <c r="P684">
        <v>143.46700000000001</v>
      </c>
    </row>
    <row r="685" spans="1:16" x14ac:dyDescent="0.35">
      <c r="A685">
        <v>685</v>
      </c>
      <c r="B685" t="s">
        <v>65</v>
      </c>
      <c r="C685" t="s">
        <v>61</v>
      </c>
      <c r="D685" t="s">
        <v>58</v>
      </c>
      <c r="E685" t="s">
        <v>2</v>
      </c>
      <c r="F685">
        <v>0</v>
      </c>
      <c r="G685">
        <v>65500</v>
      </c>
      <c r="H685">
        <v>0</v>
      </c>
      <c r="I685" t="s">
        <v>69</v>
      </c>
      <c r="J685">
        <v>24</v>
      </c>
      <c r="K685" t="s">
        <v>15</v>
      </c>
      <c r="L685" t="s">
        <v>44</v>
      </c>
      <c r="M685" t="s">
        <v>29</v>
      </c>
      <c r="N685" s="25">
        <v>40146</v>
      </c>
      <c r="O685">
        <v>1931.347</v>
      </c>
      <c r="P685">
        <v>1931.347</v>
      </c>
    </row>
    <row r="686" spans="1:16" x14ac:dyDescent="0.35">
      <c r="A686">
        <v>686</v>
      </c>
      <c r="B686" t="s">
        <v>63</v>
      </c>
      <c r="C686" t="s">
        <v>62</v>
      </c>
      <c r="D686" t="s">
        <v>66</v>
      </c>
      <c r="E686" t="s">
        <v>70</v>
      </c>
      <c r="F686">
        <v>1</v>
      </c>
      <c r="G686">
        <v>17600</v>
      </c>
      <c r="H686">
        <v>2</v>
      </c>
      <c r="I686" t="s">
        <v>67</v>
      </c>
      <c r="J686">
        <v>18</v>
      </c>
      <c r="K686" t="s">
        <v>14</v>
      </c>
      <c r="L686" t="s">
        <v>49</v>
      </c>
      <c r="M686" t="s">
        <v>39</v>
      </c>
      <c r="N686" s="25">
        <v>41693</v>
      </c>
      <c r="O686">
        <v>163.084</v>
      </c>
      <c r="P686">
        <v>163.084</v>
      </c>
    </row>
    <row r="687" spans="1:16" x14ac:dyDescent="0.35">
      <c r="A687">
        <v>687</v>
      </c>
      <c r="B687" t="s">
        <v>64</v>
      </c>
      <c r="C687" t="s">
        <v>62</v>
      </c>
      <c r="D687" t="s">
        <v>58</v>
      </c>
      <c r="E687" t="s">
        <v>2</v>
      </c>
      <c r="F687">
        <v>1</v>
      </c>
      <c r="G687">
        <v>82400</v>
      </c>
      <c r="H687">
        <v>2</v>
      </c>
      <c r="I687" t="s">
        <v>68</v>
      </c>
      <c r="J687">
        <v>18</v>
      </c>
      <c r="K687" t="s">
        <v>12</v>
      </c>
      <c r="L687" t="s">
        <v>53</v>
      </c>
      <c r="M687" t="s">
        <v>19</v>
      </c>
      <c r="N687" s="25">
        <v>41069</v>
      </c>
      <c r="O687">
        <v>657.46</v>
      </c>
      <c r="P687">
        <v>657.46</v>
      </c>
    </row>
    <row r="688" spans="1:16" x14ac:dyDescent="0.35">
      <c r="A688">
        <v>688</v>
      </c>
      <c r="B688" t="s">
        <v>64</v>
      </c>
      <c r="C688" t="s">
        <v>62</v>
      </c>
      <c r="D688" t="s">
        <v>66</v>
      </c>
      <c r="E688" t="s">
        <v>70</v>
      </c>
      <c r="F688">
        <v>1</v>
      </c>
      <c r="G688">
        <v>40400</v>
      </c>
      <c r="H688">
        <v>1</v>
      </c>
      <c r="I688" t="s">
        <v>67</v>
      </c>
      <c r="J688">
        <v>24</v>
      </c>
      <c r="K688" t="s">
        <v>15</v>
      </c>
      <c r="L688" t="s">
        <v>52</v>
      </c>
      <c r="M688" t="s">
        <v>30</v>
      </c>
      <c r="N688" s="25">
        <v>40035</v>
      </c>
      <c r="O688">
        <v>630.09100000000001</v>
      </c>
      <c r="P688">
        <v>630.09100000000001</v>
      </c>
    </row>
    <row r="689" spans="1:16" x14ac:dyDescent="0.35">
      <c r="A689">
        <v>689</v>
      </c>
      <c r="B689" t="s">
        <v>64</v>
      </c>
      <c r="C689" t="s">
        <v>61</v>
      </c>
      <c r="D689" t="s">
        <v>58</v>
      </c>
      <c r="E689" t="s">
        <v>2</v>
      </c>
      <c r="F689">
        <v>1</v>
      </c>
      <c r="G689">
        <v>70000</v>
      </c>
      <c r="H689">
        <v>0</v>
      </c>
      <c r="I689" t="s">
        <v>69</v>
      </c>
      <c r="J689">
        <v>24</v>
      </c>
      <c r="K689" t="s">
        <v>15</v>
      </c>
      <c r="L689" t="s">
        <v>52</v>
      </c>
      <c r="M689" t="s">
        <v>31</v>
      </c>
      <c r="N689" s="25">
        <v>41736</v>
      </c>
      <c r="O689">
        <v>1974.242</v>
      </c>
      <c r="P689">
        <v>1974.242</v>
      </c>
    </row>
    <row r="690" spans="1:16" x14ac:dyDescent="0.35">
      <c r="A690">
        <v>690</v>
      </c>
      <c r="B690" t="s">
        <v>63</v>
      </c>
      <c r="C690" t="s">
        <v>62</v>
      </c>
      <c r="D690" t="s">
        <v>58</v>
      </c>
      <c r="E690" t="s">
        <v>70</v>
      </c>
      <c r="F690">
        <v>1</v>
      </c>
      <c r="G690">
        <v>44700</v>
      </c>
      <c r="H690">
        <v>1</v>
      </c>
      <c r="I690" t="s">
        <v>68</v>
      </c>
      <c r="J690">
        <v>6</v>
      </c>
      <c r="K690" t="s">
        <v>13</v>
      </c>
      <c r="L690" t="s">
        <v>48</v>
      </c>
      <c r="M690" t="s">
        <v>27</v>
      </c>
      <c r="N690" s="25">
        <v>41669</v>
      </c>
      <c r="O690">
        <v>501.66</v>
      </c>
      <c r="P690">
        <v>501.66</v>
      </c>
    </row>
    <row r="691" spans="1:16" x14ac:dyDescent="0.35">
      <c r="A691">
        <v>691</v>
      </c>
      <c r="B691" t="s">
        <v>64</v>
      </c>
      <c r="C691" t="s">
        <v>62</v>
      </c>
      <c r="D691" t="s">
        <v>58</v>
      </c>
      <c r="E691" t="s">
        <v>70</v>
      </c>
      <c r="F691">
        <v>1</v>
      </c>
      <c r="G691">
        <v>47900</v>
      </c>
      <c r="H691">
        <v>1</v>
      </c>
      <c r="I691" t="s">
        <v>68</v>
      </c>
      <c r="J691">
        <v>24</v>
      </c>
      <c r="K691" t="s">
        <v>13</v>
      </c>
      <c r="L691" t="s">
        <v>43</v>
      </c>
      <c r="M691" t="s">
        <v>23</v>
      </c>
      <c r="N691" s="25">
        <v>40218</v>
      </c>
      <c r="O691">
        <v>661.80499999999995</v>
      </c>
      <c r="P691">
        <v>661.80499999999995</v>
      </c>
    </row>
    <row r="692" spans="1:16" x14ac:dyDescent="0.35">
      <c r="A692">
        <v>692</v>
      </c>
      <c r="B692" t="s">
        <v>63</v>
      </c>
      <c r="C692" t="s">
        <v>62</v>
      </c>
      <c r="D692" t="s">
        <v>66</v>
      </c>
      <c r="E692" t="s">
        <v>2</v>
      </c>
      <c r="F692">
        <v>1</v>
      </c>
      <c r="G692">
        <v>63200</v>
      </c>
      <c r="H692">
        <v>0</v>
      </c>
      <c r="I692" t="s">
        <v>69</v>
      </c>
      <c r="J692">
        <v>24</v>
      </c>
      <c r="K692" t="s">
        <v>14</v>
      </c>
      <c r="L692" t="s">
        <v>49</v>
      </c>
      <c r="M692" t="s">
        <v>39</v>
      </c>
      <c r="N692" s="25">
        <v>41869</v>
      </c>
      <c r="O692">
        <v>1511.777</v>
      </c>
      <c r="P692">
        <v>1511.777</v>
      </c>
    </row>
    <row r="693" spans="1:16" x14ac:dyDescent="0.35">
      <c r="A693">
        <v>693</v>
      </c>
      <c r="B693" t="s">
        <v>64</v>
      </c>
      <c r="C693" t="s">
        <v>61</v>
      </c>
      <c r="D693" t="s">
        <v>58</v>
      </c>
      <c r="E693" t="s">
        <v>2</v>
      </c>
      <c r="F693">
        <v>0</v>
      </c>
      <c r="G693">
        <v>86100</v>
      </c>
      <c r="H693">
        <v>1</v>
      </c>
      <c r="I693" t="s">
        <v>8</v>
      </c>
      <c r="J693">
        <v>12</v>
      </c>
      <c r="K693" t="s">
        <v>13</v>
      </c>
      <c r="L693" t="s">
        <v>45</v>
      </c>
      <c r="M693" t="s">
        <v>26</v>
      </c>
      <c r="N693" s="25">
        <v>42144</v>
      </c>
      <c r="O693">
        <v>1255.373</v>
      </c>
      <c r="P693">
        <v>1255.373</v>
      </c>
    </row>
    <row r="694" spans="1:16" x14ac:dyDescent="0.35">
      <c r="A694">
        <v>694</v>
      </c>
      <c r="B694" t="s">
        <v>65</v>
      </c>
      <c r="C694" t="s">
        <v>62</v>
      </c>
      <c r="D694" t="s">
        <v>58</v>
      </c>
      <c r="E694" t="s">
        <v>70</v>
      </c>
      <c r="F694">
        <v>1</v>
      </c>
      <c r="G694">
        <v>14600</v>
      </c>
      <c r="H694">
        <v>0</v>
      </c>
      <c r="I694" t="s">
        <v>67</v>
      </c>
      <c r="J694">
        <v>24</v>
      </c>
      <c r="K694" t="s">
        <v>13</v>
      </c>
      <c r="L694" t="s">
        <v>42</v>
      </c>
      <c r="M694" t="s">
        <v>25</v>
      </c>
      <c r="N694" s="25">
        <v>40491</v>
      </c>
      <c r="O694">
        <v>467.68099999999998</v>
      </c>
      <c r="P694">
        <v>467.68099999999998</v>
      </c>
    </row>
    <row r="695" spans="1:16" x14ac:dyDescent="0.35">
      <c r="A695">
        <v>695</v>
      </c>
      <c r="B695" t="s">
        <v>64</v>
      </c>
      <c r="C695" t="s">
        <v>61</v>
      </c>
      <c r="D695" t="s">
        <v>58</v>
      </c>
      <c r="E695" t="s">
        <v>70</v>
      </c>
      <c r="F695">
        <v>1</v>
      </c>
      <c r="G695">
        <v>62900</v>
      </c>
      <c r="H695">
        <v>0</v>
      </c>
      <c r="I695" t="s">
        <v>8</v>
      </c>
      <c r="J695">
        <v>24</v>
      </c>
      <c r="K695" t="s">
        <v>12</v>
      </c>
      <c r="L695" t="s">
        <v>41</v>
      </c>
      <c r="M695" t="s">
        <v>20</v>
      </c>
      <c r="N695" s="25">
        <v>42161</v>
      </c>
      <c r="O695">
        <v>2561.114</v>
      </c>
      <c r="P695">
        <v>2561.114</v>
      </c>
    </row>
    <row r="696" spans="1:16" x14ac:dyDescent="0.35">
      <c r="A696">
        <v>696</v>
      </c>
      <c r="B696" t="s">
        <v>63</v>
      </c>
      <c r="C696" t="s">
        <v>61</v>
      </c>
      <c r="D696" t="s">
        <v>58</v>
      </c>
      <c r="E696" t="s">
        <v>70</v>
      </c>
      <c r="F696">
        <v>1</v>
      </c>
      <c r="G696">
        <v>23200</v>
      </c>
      <c r="H696">
        <v>0</v>
      </c>
      <c r="I696" t="s">
        <v>8</v>
      </c>
      <c r="J696">
        <v>24</v>
      </c>
      <c r="K696" t="s">
        <v>15</v>
      </c>
      <c r="L696" t="s">
        <v>42</v>
      </c>
      <c r="M696" t="s">
        <v>32</v>
      </c>
      <c r="N696" s="25">
        <v>42136</v>
      </c>
      <c r="O696">
        <v>533.78499999999997</v>
      </c>
      <c r="P696">
        <v>533.78499999999997</v>
      </c>
    </row>
    <row r="697" spans="1:16" x14ac:dyDescent="0.35">
      <c r="A697">
        <v>697</v>
      </c>
      <c r="B697" t="s">
        <v>64</v>
      </c>
      <c r="C697" t="s">
        <v>62</v>
      </c>
      <c r="D697" t="s">
        <v>58</v>
      </c>
      <c r="E697" t="s">
        <v>70</v>
      </c>
      <c r="F697">
        <v>0</v>
      </c>
      <c r="G697">
        <v>52600</v>
      </c>
      <c r="H697">
        <v>2</v>
      </c>
      <c r="I697" t="s">
        <v>68</v>
      </c>
      <c r="J697">
        <v>12</v>
      </c>
      <c r="K697" t="s">
        <v>15</v>
      </c>
      <c r="L697" t="s">
        <v>28</v>
      </c>
      <c r="M697" t="s">
        <v>28</v>
      </c>
      <c r="N697" s="25">
        <v>40665</v>
      </c>
      <c r="O697">
        <v>1307.0039999999999</v>
      </c>
      <c r="P697">
        <v>1307.0039999999999</v>
      </c>
    </row>
    <row r="698" spans="1:16" x14ac:dyDescent="0.35">
      <c r="A698">
        <v>698</v>
      </c>
      <c r="B698" t="s">
        <v>64</v>
      </c>
      <c r="C698" t="s">
        <v>61</v>
      </c>
      <c r="D698" t="s">
        <v>66</v>
      </c>
      <c r="E698" t="s">
        <v>70</v>
      </c>
      <c r="F698">
        <v>1</v>
      </c>
      <c r="G698">
        <v>53900</v>
      </c>
      <c r="H698">
        <v>1</v>
      </c>
      <c r="I698" t="s">
        <v>68</v>
      </c>
      <c r="J698">
        <v>6</v>
      </c>
      <c r="K698" t="s">
        <v>15</v>
      </c>
      <c r="L698" t="s">
        <v>44</v>
      </c>
      <c r="M698" t="s">
        <v>29</v>
      </c>
      <c r="N698" s="25">
        <v>41906</v>
      </c>
      <c r="O698">
        <v>735.06799999999998</v>
      </c>
      <c r="P698">
        <v>735.06799999999998</v>
      </c>
    </row>
    <row r="699" spans="1:16" x14ac:dyDescent="0.35">
      <c r="A699">
        <v>699</v>
      </c>
      <c r="B699" t="s">
        <v>64</v>
      </c>
      <c r="C699" t="s">
        <v>61</v>
      </c>
      <c r="D699" t="s">
        <v>58</v>
      </c>
      <c r="E699" t="s">
        <v>2</v>
      </c>
      <c r="F699">
        <v>1</v>
      </c>
      <c r="G699">
        <v>100100</v>
      </c>
      <c r="H699">
        <v>2</v>
      </c>
      <c r="I699" t="s">
        <v>8</v>
      </c>
      <c r="J699">
        <v>6</v>
      </c>
      <c r="K699" t="s">
        <v>12</v>
      </c>
      <c r="L699" t="s">
        <v>47</v>
      </c>
      <c r="M699" t="s">
        <v>18</v>
      </c>
      <c r="N699" s="25">
        <v>42206</v>
      </c>
      <c r="O699">
        <v>1596.9090000000001</v>
      </c>
      <c r="P699">
        <v>1596.9090000000001</v>
      </c>
    </row>
    <row r="700" spans="1:16" x14ac:dyDescent="0.35">
      <c r="A700">
        <v>700</v>
      </c>
      <c r="B700" t="s">
        <v>64</v>
      </c>
      <c r="C700" t="s">
        <v>61</v>
      </c>
      <c r="D700" t="s">
        <v>66</v>
      </c>
      <c r="E700" t="s">
        <v>70</v>
      </c>
      <c r="F700">
        <v>0</v>
      </c>
      <c r="G700">
        <v>50000</v>
      </c>
      <c r="H700">
        <v>1</v>
      </c>
      <c r="I700" t="s">
        <v>8</v>
      </c>
      <c r="J700">
        <v>6</v>
      </c>
      <c r="K700" t="s">
        <v>15</v>
      </c>
      <c r="L700" t="s">
        <v>52</v>
      </c>
      <c r="M700" t="s">
        <v>31</v>
      </c>
      <c r="N700" s="25">
        <v>42188</v>
      </c>
      <c r="O700">
        <v>1079.4970000000001</v>
      </c>
      <c r="P700">
        <v>1079.4970000000001</v>
      </c>
    </row>
    <row r="701" spans="1:16" x14ac:dyDescent="0.35">
      <c r="A701">
        <v>701</v>
      </c>
      <c r="B701" t="s">
        <v>65</v>
      </c>
      <c r="C701" t="s">
        <v>62</v>
      </c>
      <c r="D701" t="s">
        <v>66</v>
      </c>
      <c r="E701" t="s">
        <v>2</v>
      </c>
      <c r="F701">
        <v>1</v>
      </c>
      <c r="G701">
        <v>97000</v>
      </c>
      <c r="H701">
        <v>0</v>
      </c>
      <c r="I701" t="s">
        <v>8</v>
      </c>
      <c r="J701">
        <v>24</v>
      </c>
      <c r="K701" t="s">
        <v>13</v>
      </c>
      <c r="L701" t="s">
        <v>43</v>
      </c>
      <c r="M701" t="s">
        <v>23</v>
      </c>
      <c r="N701" s="25">
        <v>42245</v>
      </c>
      <c r="O701">
        <v>2599.1129999999998</v>
      </c>
      <c r="P701">
        <v>2599.1129999999998</v>
      </c>
    </row>
    <row r="702" spans="1:16" x14ac:dyDescent="0.35">
      <c r="A702">
        <v>702</v>
      </c>
      <c r="B702" t="s">
        <v>65</v>
      </c>
      <c r="C702" t="s">
        <v>62</v>
      </c>
      <c r="D702" t="s">
        <v>58</v>
      </c>
      <c r="E702" t="s">
        <v>2</v>
      </c>
      <c r="F702">
        <v>1</v>
      </c>
      <c r="G702">
        <v>35000</v>
      </c>
      <c r="H702">
        <v>0</v>
      </c>
      <c r="I702" t="s">
        <v>68</v>
      </c>
      <c r="J702">
        <v>6</v>
      </c>
      <c r="K702" t="s">
        <v>13</v>
      </c>
      <c r="L702" t="s">
        <v>43</v>
      </c>
      <c r="M702" t="s">
        <v>23</v>
      </c>
      <c r="N702" s="25">
        <v>39839</v>
      </c>
      <c r="O702">
        <v>473.17599999999999</v>
      </c>
      <c r="P702">
        <v>473.17599999999999</v>
      </c>
    </row>
    <row r="703" spans="1:16" x14ac:dyDescent="0.35">
      <c r="A703">
        <v>703</v>
      </c>
      <c r="B703" t="s">
        <v>63</v>
      </c>
      <c r="C703" t="s">
        <v>61</v>
      </c>
      <c r="D703" t="s">
        <v>58</v>
      </c>
      <c r="E703" t="s">
        <v>70</v>
      </c>
      <c r="F703">
        <v>0</v>
      </c>
      <c r="G703">
        <v>39600</v>
      </c>
      <c r="H703">
        <v>0</v>
      </c>
      <c r="I703" t="s">
        <v>8</v>
      </c>
      <c r="J703">
        <v>12</v>
      </c>
      <c r="K703" t="s">
        <v>14</v>
      </c>
      <c r="L703" t="s">
        <v>40</v>
      </c>
      <c r="M703" t="s">
        <v>36</v>
      </c>
      <c r="N703" s="25">
        <v>42242</v>
      </c>
      <c r="O703">
        <v>1085.203</v>
      </c>
      <c r="P703">
        <v>1085.203</v>
      </c>
    </row>
    <row r="704" spans="1:16" x14ac:dyDescent="0.35">
      <c r="A704">
        <v>704</v>
      </c>
      <c r="B704" t="s">
        <v>65</v>
      </c>
      <c r="C704" t="s">
        <v>62</v>
      </c>
      <c r="D704" t="s">
        <v>66</v>
      </c>
      <c r="E704" t="s">
        <v>2</v>
      </c>
      <c r="F704">
        <v>1</v>
      </c>
      <c r="G704">
        <v>46900</v>
      </c>
      <c r="H704">
        <v>0</v>
      </c>
      <c r="I704" t="s">
        <v>68</v>
      </c>
      <c r="J704">
        <v>6</v>
      </c>
      <c r="K704" t="s">
        <v>15</v>
      </c>
      <c r="L704" t="s">
        <v>52</v>
      </c>
      <c r="M704" t="s">
        <v>30</v>
      </c>
      <c r="N704" s="25">
        <v>41251</v>
      </c>
      <c r="O704">
        <v>702.63199999999995</v>
      </c>
      <c r="P704">
        <v>702.63199999999995</v>
      </c>
    </row>
    <row r="705" spans="1:16" x14ac:dyDescent="0.35">
      <c r="A705">
        <v>705</v>
      </c>
      <c r="B705" t="s">
        <v>65</v>
      </c>
      <c r="C705" t="s">
        <v>61</v>
      </c>
      <c r="D705" t="s">
        <v>66</v>
      </c>
      <c r="E705" t="s">
        <v>2</v>
      </c>
      <c r="F705">
        <v>1</v>
      </c>
      <c r="G705">
        <v>81800</v>
      </c>
      <c r="H705">
        <v>0</v>
      </c>
      <c r="I705" t="s">
        <v>69</v>
      </c>
      <c r="J705">
        <v>6</v>
      </c>
      <c r="K705" t="s">
        <v>15</v>
      </c>
      <c r="L705" t="s">
        <v>44</v>
      </c>
      <c r="M705" t="s">
        <v>29</v>
      </c>
      <c r="N705" s="25">
        <v>41485</v>
      </c>
      <c r="O705">
        <v>918.78300000000002</v>
      </c>
      <c r="P705">
        <v>918.78300000000002</v>
      </c>
    </row>
    <row r="706" spans="1:16" x14ac:dyDescent="0.35">
      <c r="A706">
        <v>706</v>
      </c>
      <c r="B706" t="s">
        <v>64</v>
      </c>
      <c r="C706" t="s">
        <v>61</v>
      </c>
      <c r="D706" t="s">
        <v>58</v>
      </c>
      <c r="E706" t="s">
        <v>2</v>
      </c>
      <c r="F706">
        <v>1</v>
      </c>
      <c r="G706">
        <v>99200</v>
      </c>
      <c r="H706">
        <v>3</v>
      </c>
      <c r="I706" t="s">
        <v>8</v>
      </c>
      <c r="J706">
        <v>12</v>
      </c>
      <c r="K706" t="s">
        <v>12</v>
      </c>
      <c r="L706" t="s">
        <v>54</v>
      </c>
      <c r="M706" t="s">
        <v>21</v>
      </c>
      <c r="N706" s="25">
        <v>42206</v>
      </c>
      <c r="O706">
        <v>2796.33</v>
      </c>
      <c r="P706">
        <v>2796.33</v>
      </c>
    </row>
    <row r="707" spans="1:16" x14ac:dyDescent="0.35">
      <c r="A707">
        <v>707</v>
      </c>
      <c r="B707" t="s">
        <v>64</v>
      </c>
      <c r="C707" t="s">
        <v>62</v>
      </c>
      <c r="D707" t="s">
        <v>66</v>
      </c>
      <c r="E707" t="s">
        <v>2</v>
      </c>
      <c r="F707">
        <v>0</v>
      </c>
      <c r="G707">
        <v>75800</v>
      </c>
      <c r="H707">
        <v>1</v>
      </c>
      <c r="I707" t="s">
        <v>69</v>
      </c>
      <c r="J707">
        <v>12</v>
      </c>
      <c r="K707" t="s">
        <v>15</v>
      </c>
      <c r="L707" t="s">
        <v>52</v>
      </c>
      <c r="M707" t="s">
        <v>31</v>
      </c>
      <c r="N707" s="25">
        <v>41173</v>
      </c>
      <c r="O707">
        <v>1829.99</v>
      </c>
      <c r="P707">
        <v>1829.99</v>
      </c>
    </row>
    <row r="708" spans="1:16" x14ac:dyDescent="0.35">
      <c r="A708">
        <v>708</v>
      </c>
      <c r="B708" t="s">
        <v>63</v>
      </c>
      <c r="C708" t="s">
        <v>62</v>
      </c>
      <c r="D708" t="s">
        <v>66</v>
      </c>
      <c r="E708" t="s">
        <v>70</v>
      </c>
      <c r="F708">
        <v>1</v>
      </c>
      <c r="G708">
        <v>14500</v>
      </c>
      <c r="H708">
        <v>1</v>
      </c>
      <c r="I708" t="s">
        <v>67</v>
      </c>
      <c r="J708">
        <v>6</v>
      </c>
      <c r="K708" t="s">
        <v>12</v>
      </c>
      <c r="L708" t="s">
        <v>41</v>
      </c>
      <c r="M708" t="s">
        <v>20</v>
      </c>
      <c r="N708" s="25">
        <v>40629</v>
      </c>
      <c r="O708">
        <v>182.62799999999999</v>
      </c>
      <c r="P708">
        <v>182.62799999999999</v>
      </c>
    </row>
    <row r="709" spans="1:16" x14ac:dyDescent="0.35">
      <c r="A709">
        <v>709</v>
      </c>
      <c r="B709" t="s">
        <v>63</v>
      </c>
      <c r="C709" t="s">
        <v>62</v>
      </c>
      <c r="D709" t="s">
        <v>66</v>
      </c>
      <c r="E709" t="s">
        <v>70</v>
      </c>
      <c r="F709">
        <v>0</v>
      </c>
      <c r="G709">
        <v>19700</v>
      </c>
      <c r="H709">
        <v>2</v>
      </c>
      <c r="I709" t="s">
        <v>67</v>
      </c>
      <c r="J709">
        <v>6</v>
      </c>
      <c r="K709" t="s">
        <v>14</v>
      </c>
      <c r="L709" t="s">
        <v>50</v>
      </c>
      <c r="M709" t="s">
        <v>34</v>
      </c>
      <c r="N709" s="25">
        <v>40402</v>
      </c>
      <c r="O709">
        <v>330.21800000000002</v>
      </c>
      <c r="P709">
        <v>330.21800000000002</v>
      </c>
    </row>
    <row r="710" spans="1:16" x14ac:dyDescent="0.35">
      <c r="A710">
        <v>710</v>
      </c>
      <c r="B710" t="s">
        <v>64</v>
      </c>
      <c r="C710" t="s">
        <v>61</v>
      </c>
      <c r="D710" t="s">
        <v>66</v>
      </c>
      <c r="E710" t="s">
        <v>70</v>
      </c>
      <c r="F710">
        <v>1</v>
      </c>
      <c r="G710">
        <v>43200</v>
      </c>
      <c r="H710">
        <v>0</v>
      </c>
      <c r="I710" t="s">
        <v>8</v>
      </c>
      <c r="J710">
        <v>24</v>
      </c>
      <c r="K710" t="s">
        <v>13</v>
      </c>
      <c r="L710" t="s">
        <v>56</v>
      </c>
      <c r="M710" t="s">
        <v>24</v>
      </c>
      <c r="N710" s="25">
        <v>42054</v>
      </c>
      <c r="O710">
        <v>916.71199999999999</v>
      </c>
      <c r="P710">
        <v>916.71199999999999</v>
      </c>
    </row>
    <row r="711" spans="1:16" x14ac:dyDescent="0.35">
      <c r="A711">
        <v>711</v>
      </c>
      <c r="B711" t="s">
        <v>63</v>
      </c>
      <c r="C711" t="s">
        <v>61</v>
      </c>
      <c r="D711" t="s">
        <v>66</v>
      </c>
      <c r="E711" t="s">
        <v>70</v>
      </c>
      <c r="F711">
        <v>1</v>
      </c>
      <c r="G711">
        <v>14400</v>
      </c>
      <c r="H711">
        <v>0</v>
      </c>
      <c r="I711" t="s">
        <v>8</v>
      </c>
      <c r="J711">
        <v>24</v>
      </c>
      <c r="K711" t="s">
        <v>13</v>
      </c>
      <c r="L711" t="s">
        <v>56</v>
      </c>
      <c r="M711" t="s">
        <v>24</v>
      </c>
      <c r="N711" s="25">
        <v>42096</v>
      </c>
      <c r="O711">
        <v>615.16099999999994</v>
      </c>
      <c r="P711">
        <v>615.16099999999994</v>
      </c>
    </row>
    <row r="712" spans="1:16" x14ac:dyDescent="0.35">
      <c r="A712">
        <v>712</v>
      </c>
      <c r="B712" t="s">
        <v>63</v>
      </c>
      <c r="C712" t="s">
        <v>61</v>
      </c>
      <c r="D712" t="s">
        <v>66</v>
      </c>
      <c r="E712" t="s">
        <v>2</v>
      </c>
      <c r="F712">
        <v>0</v>
      </c>
      <c r="G712">
        <v>43500</v>
      </c>
      <c r="H712">
        <v>1</v>
      </c>
      <c r="I712" t="s">
        <v>68</v>
      </c>
      <c r="J712">
        <v>12</v>
      </c>
      <c r="K712" t="s">
        <v>13</v>
      </c>
      <c r="L712" t="s">
        <v>42</v>
      </c>
      <c r="M712" t="s">
        <v>25</v>
      </c>
      <c r="N712" s="25">
        <v>41578</v>
      </c>
      <c r="O712">
        <v>807.70699999999999</v>
      </c>
      <c r="P712">
        <v>807.70699999999999</v>
      </c>
    </row>
    <row r="713" spans="1:16" x14ac:dyDescent="0.35">
      <c r="A713">
        <v>713</v>
      </c>
      <c r="B713" t="s">
        <v>64</v>
      </c>
      <c r="C713" t="s">
        <v>61</v>
      </c>
      <c r="D713" t="s">
        <v>58</v>
      </c>
      <c r="E713" t="s">
        <v>70</v>
      </c>
      <c r="F713">
        <v>1</v>
      </c>
      <c r="G713">
        <v>55500</v>
      </c>
      <c r="H713">
        <v>3</v>
      </c>
      <c r="I713" t="s">
        <v>67</v>
      </c>
      <c r="J713">
        <v>18</v>
      </c>
      <c r="K713" t="s">
        <v>13</v>
      </c>
      <c r="L713" t="s">
        <v>56</v>
      </c>
      <c r="M713" t="s">
        <v>24</v>
      </c>
      <c r="N713" s="25">
        <v>42204</v>
      </c>
      <c r="O713">
        <v>427.17599999999999</v>
      </c>
      <c r="P713">
        <v>427.17599999999999</v>
      </c>
    </row>
    <row r="714" spans="1:16" x14ac:dyDescent="0.35">
      <c r="A714">
        <v>714</v>
      </c>
      <c r="B714" t="s">
        <v>64</v>
      </c>
      <c r="C714" t="s">
        <v>62</v>
      </c>
      <c r="D714" t="s">
        <v>58</v>
      </c>
      <c r="E714" t="s">
        <v>2</v>
      </c>
      <c r="F714">
        <v>1</v>
      </c>
      <c r="G714">
        <v>108100</v>
      </c>
      <c r="H714">
        <v>1</v>
      </c>
      <c r="I714" t="s">
        <v>69</v>
      </c>
      <c r="J714">
        <v>12</v>
      </c>
      <c r="K714" t="s">
        <v>13</v>
      </c>
      <c r="L714" t="s">
        <v>43</v>
      </c>
      <c r="M714" t="s">
        <v>23</v>
      </c>
      <c r="N714" s="25">
        <v>40215</v>
      </c>
      <c r="O714">
        <v>1133.433</v>
      </c>
      <c r="P714">
        <v>1133.433</v>
      </c>
    </row>
    <row r="715" spans="1:16" x14ac:dyDescent="0.35">
      <c r="A715">
        <v>715</v>
      </c>
      <c r="B715" t="s">
        <v>64</v>
      </c>
      <c r="C715" t="s">
        <v>62</v>
      </c>
      <c r="D715" t="s">
        <v>66</v>
      </c>
      <c r="E715" t="s">
        <v>70</v>
      </c>
      <c r="F715">
        <v>1</v>
      </c>
      <c r="G715">
        <v>33200</v>
      </c>
      <c r="H715">
        <v>1</v>
      </c>
      <c r="I715" t="s">
        <v>8</v>
      </c>
      <c r="J715">
        <v>6</v>
      </c>
      <c r="K715" t="s">
        <v>12</v>
      </c>
      <c r="L715" t="s">
        <v>55</v>
      </c>
      <c r="M715" t="s">
        <v>17</v>
      </c>
      <c r="N715" s="25">
        <v>42204</v>
      </c>
      <c r="O715">
        <v>320.34399999999999</v>
      </c>
      <c r="P715">
        <v>320.34399999999999</v>
      </c>
    </row>
    <row r="716" spans="1:16" x14ac:dyDescent="0.35">
      <c r="A716">
        <v>716</v>
      </c>
      <c r="B716" t="s">
        <v>64</v>
      </c>
      <c r="C716" t="s">
        <v>61</v>
      </c>
      <c r="D716" t="s">
        <v>58</v>
      </c>
      <c r="E716" t="s">
        <v>2</v>
      </c>
      <c r="F716">
        <v>0</v>
      </c>
      <c r="G716">
        <v>98900</v>
      </c>
      <c r="H716">
        <v>0</v>
      </c>
      <c r="I716" t="s">
        <v>8</v>
      </c>
      <c r="J716">
        <v>18</v>
      </c>
      <c r="K716" t="s">
        <v>15</v>
      </c>
      <c r="L716" t="s">
        <v>52</v>
      </c>
      <c r="M716" t="s">
        <v>30</v>
      </c>
      <c r="N716" s="25">
        <v>42074</v>
      </c>
      <c r="O716">
        <v>3126.18</v>
      </c>
      <c r="P716">
        <v>3126.18</v>
      </c>
    </row>
    <row r="717" spans="1:16" x14ac:dyDescent="0.35">
      <c r="A717">
        <v>717</v>
      </c>
      <c r="B717" t="s">
        <v>65</v>
      </c>
      <c r="C717" t="s">
        <v>62</v>
      </c>
      <c r="D717" t="s">
        <v>58</v>
      </c>
      <c r="E717" t="s">
        <v>2</v>
      </c>
      <c r="F717">
        <v>0</v>
      </c>
      <c r="G717">
        <v>81400</v>
      </c>
      <c r="H717">
        <v>0</v>
      </c>
      <c r="I717" t="s">
        <v>69</v>
      </c>
      <c r="J717">
        <v>24</v>
      </c>
      <c r="K717" t="s">
        <v>14</v>
      </c>
      <c r="L717" t="s">
        <v>40</v>
      </c>
      <c r="M717" t="s">
        <v>37</v>
      </c>
      <c r="N717" s="25">
        <v>41153</v>
      </c>
      <c r="O717">
        <v>3000.6179999999999</v>
      </c>
      <c r="P717">
        <v>3000.6179999999999</v>
      </c>
    </row>
    <row r="718" spans="1:16" x14ac:dyDescent="0.35">
      <c r="A718">
        <v>718</v>
      </c>
      <c r="B718" t="s">
        <v>63</v>
      </c>
      <c r="C718" t="s">
        <v>62</v>
      </c>
      <c r="D718" t="s">
        <v>66</v>
      </c>
      <c r="E718" t="s">
        <v>70</v>
      </c>
      <c r="F718">
        <v>1</v>
      </c>
      <c r="G718">
        <v>20100</v>
      </c>
      <c r="H718">
        <v>1</v>
      </c>
      <c r="I718" t="s">
        <v>67</v>
      </c>
      <c r="J718">
        <v>12</v>
      </c>
      <c r="K718" t="s">
        <v>12</v>
      </c>
      <c r="L718" t="s">
        <v>54</v>
      </c>
      <c r="M718" t="s">
        <v>21</v>
      </c>
      <c r="N718" s="25">
        <v>40136</v>
      </c>
      <c r="O718">
        <v>270.50599999999997</v>
      </c>
      <c r="P718">
        <v>270.50599999999997</v>
      </c>
    </row>
    <row r="719" spans="1:16" x14ac:dyDescent="0.35">
      <c r="A719">
        <v>719</v>
      </c>
      <c r="B719" t="s">
        <v>63</v>
      </c>
      <c r="C719" t="s">
        <v>62</v>
      </c>
      <c r="D719" t="s">
        <v>66</v>
      </c>
      <c r="E719" t="s">
        <v>70</v>
      </c>
      <c r="F719">
        <v>1</v>
      </c>
      <c r="G719">
        <v>12000</v>
      </c>
      <c r="H719">
        <v>0</v>
      </c>
      <c r="I719" t="s">
        <v>67</v>
      </c>
      <c r="J719">
        <v>6</v>
      </c>
      <c r="K719" t="s">
        <v>14</v>
      </c>
      <c r="L719" t="s">
        <v>50</v>
      </c>
      <c r="M719" t="s">
        <v>34</v>
      </c>
      <c r="N719" s="25">
        <v>41035</v>
      </c>
      <c r="O719">
        <v>140.29900000000001</v>
      </c>
      <c r="P719">
        <v>140.29900000000001</v>
      </c>
    </row>
    <row r="720" spans="1:16" x14ac:dyDescent="0.35">
      <c r="A720">
        <v>720</v>
      </c>
      <c r="B720" t="s">
        <v>64</v>
      </c>
      <c r="C720" t="s">
        <v>61</v>
      </c>
      <c r="D720" t="s">
        <v>66</v>
      </c>
      <c r="E720" t="s">
        <v>2</v>
      </c>
      <c r="F720">
        <v>1</v>
      </c>
      <c r="G720">
        <v>79500</v>
      </c>
      <c r="H720">
        <v>0</v>
      </c>
      <c r="I720" t="s">
        <v>69</v>
      </c>
      <c r="J720">
        <v>18</v>
      </c>
      <c r="K720" t="s">
        <v>14</v>
      </c>
      <c r="L720" t="s">
        <v>50</v>
      </c>
      <c r="M720" t="s">
        <v>34</v>
      </c>
      <c r="N720" s="25">
        <v>41539</v>
      </c>
      <c r="O720">
        <v>1763.296</v>
      </c>
      <c r="P720">
        <v>1763.296</v>
      </c>
    </row>
    <row r="721" spans="1:16" x14ac:dyDescent="0.35">
      <c r="A721">
        <v>721</v>
      </c>
      <c r="B721" t="s">
        <v>63</v>
      </c>
      <c r="C721" t="s">
        <v>62</v>
      </c>
      <c r="D721" t="s">
        <v>58</v>
      </c>
      <c r="E721" t="s">
        <v>70</v>
      </c>
      <c r="F721">
        <v>0</v>
      </c>
      <c r="G721">
        <v>27900</v>
      </c>
      <c r="H721">
        <v>1</v>
      </c>
      <c r="I721" t="s">
        <v>8</v>
      </c>
      <c r="J721">
        <v>12</v>
      </c>
      <c r="K721" t="s">
        <v>13</v>
      </c>
      <c r="L721" t="s">
        <v>42</v>
      </c>
      <c r="M721" t="s">
        <v>25</v>
      </c>
      <c r="N721" s="25">
        <v>42225</v>
      </c>
      <c r="O721">
        <v>575.98</v>
      </c>
      <c r="P721">
        <v>575.98</v>
      </c>
    </row>
    <row r="722" spans="1:16" x14ac:dyDescent="0.35">
      <c r="A722">
        <v>722</v>
      </c>
      <c r="B722" t="s">
        <v>64</v>
      </c>
      <c r="C722" t="s">
        <v>61</v>
      </c>
      <c r="D722" t="s">
        <v>66</v>
      </c>
      <c r="E722" t="s">
        <v>2</v>
      </c>
      <c r="F722">
        <v>0</v>
      </c>
      <c r="G722">
        <v>70500</v>
      </c>
      <c r="H722">
        <v>1</v>
      </c>
      <c r="I722" t="s">
        <v>8</v>
      </c>
      <c r="J722">
        <v>24</v>
      </c>
      <c r="K722" t="s">
        <v>15</v>
      </c>
      <c r="L722" t="s">
        <v>52</v>
      </c>
      <c r="M722" t="s">
        <v>30</v>
      </c>
      <c r="N722" s="25">
        <v>42071</v>
      </c>
      <c r="O722">
        <v>2145.096</v>
      </c>
      <c r="P722">
        <v>2145.096</v>
      </c>
    </row>
    <row r="723" spans="1:16" x14ac:dyDescent="0.35">
      <c r="A723">
        <v>723</v>
      </c>
      <c r="B723" t="s">
        <v>63</v>
      </c>
      <c r="C723" t="s">
        <v>61</v>
      </c>
      <c r="D723" t="s">
        <v>66</v>
      </c>
      <c r="E723" t="s">
        <v>70</v>
      </c>
      <c r="F723">
        <v>1</v>
      </c>
      <c r="G723">
        <v>21200</v>
      </c>
      <c r="H723">
        <v>0</v>
      </c>
      <c r="I723" t="s">
        <v>8</v>
      </c>
      <c r="J723">
        <v>12</v>
      </c>
      <c r="K723" t="s">
        <v>13</v>
      </c>
      <c r="L723" t="s">
        <v>45</v>
      </c>
      <c r="M723" t="s">
        <v>26</v>
      </c>
      <c r="N723" s="25">
        <v>42138</v>
      </c>
      <c r="O723">
        <v>416.51100000000002</v>
      </c>
      <c r="P723">
        <v>416.51100000000002</v>
      </c>
    </row>
    <row r="724" spans="1:16" x14ac:dyDescent="0.35">
      <c r="A724">
        <v>724</v>
      </c>
      <c r="B724" t="s">
        <v>65</v>
      </c>
      <c r="C724" t="s">
        <v>62</v>
      </c>
      <c r="D724" t="s">
        <v>58</v>
      </c>
      <c r="E724" t="s">
        <v>70</v>
      </c>
      <c r="F724">
        <v>0</v>
      </c>
      <c r="G724">
        <v>42600</v>
      </c>
      <c r="H724">
        <v>0</v>
      </c>
      <c r="I724" t="s">
        <v>69</v>
      </c>
      <c r="J724">
        <v>24</v>
      </c>
      <c r="K724" t="s">
        <v>12</v>
      </c>
      <c r="L724" t="s">
        <v>54</v>
      </c>
      <c r="M724" t="s">
        <v>21</v>
      </c>
      <c r="N724" s="25">
        <v>41212</v>
      </c>
      <c r="O724">
        <v>1789.884</v>
      </c>
      <c r="P724">
        <v>1789.884</v>
      </c>
    </row>
    <row r="725" spans="1:16" x14ac:dyDescent="0.35">
      <c r="A725">
        <v>725</v>
      </c>
      <c r="B725" t="s">
        <v>64</v>
      </c>
      <c r="C725" t="s">
        <v>61</v>
      </c>
      <c r="D725" t="s">
        <v>58</v>
      </c>
      <c r="E725" t="s">
        <v>2</v>
      </c>
      <c r="F725">
        <v>1</v>
      </c>
      <c r="G725">
        <v>118500</v>
      </c>
      <c r="H725">
        <v>1</v>
      </c>
      <c r="I725" t="s">
        <v>69</v>
      </c>
      <c r="J725">
        <v>24</v>
      </c>
      <c r="K725" t="s">
        <v>12</v>
      </c>
      <c r="L725" t="s">
        <v>54</v>
      </c>
      <c r="M725" t="s">
        <v>21</v>
      </c>
      <c r="N725" s="25">
        <v>40596</v>
      </c>
      <c r="O725">
        <v>3063.491</v>
      </c>
      <c r="P725">
        <v>3063.491</v>
      </c>
    </row>
    <row r="726" spans="1:16" x14ac:dyDescent="0.35">
      <c r="A726">
        <v>726</v>
      </c>
      <c r="B726" t="s">
        <v>63</v>
      </c>
      <c r="C726" t="s">
        <v>62</v>
      </c>
      <c r="D726" t="s">
        <v>58</v>
      </c>
      <c r="E726" t="s">
        <v>70</v>
      </c>
      <c r="F726">
        <v>1</v>
      </c>
      <c r="G726">
        <v>15600</v>
      </c>
      <c r="H726">
        <v>1</v>
      </c>
      <c r="I726" t="s">
        <v>67</v>
      </c>
      <c r="J726">
        <v>6</v>
      </c>
      <c r="K726" t="s">
        <v>12</v>
      </c>
      <c r="L726" t="s">
        <v>54</v>
      </c>
      <c r="M726" t="s">
        <v>21</v>
      </c>
      <c r="N726" s="25">
        <v>41977</v>
      </c>
      <c r="O726">
        <v>136.34800000000001</v>
      </c>
      <c r="P726">
        <v>136.34800000000001</v>
      </c>
    </row>
    <row r="727" spans="1:16" x14ac:dyDescent="0.35">
      <c r="A727">
        <v>727</v>
      </c>
      <c r="B727" t="s">
        <v>63</v>
      </c>
      <c r="C727" t="s">
        <v>62</v>
      </c>
      <c r="D727" t="s">
        <v>58</v>
      </c>
      <c r="E727" t="s">
        <v>70</v>
      </c>
      <c r="F727">
        <v>1</v>
      </c>
      <c r="G727">
        <v>27200</v>
      </c>
      <c r="H727">
        <v>2</v>
      </c>
      <c r="I727" t="s">
        <v>67</v>
      </c>
      <c r="J727">
        <v>18</v>
      </c>
      <c r="K727" t="s">
        <v>15</v>
      </c>
      <c r="L727" t="s">
        <v>52</v>
      </c>
      <c r="M727" t="s">
        <v>31</v>
      </c>
      <c r="N727" s="25">
        <v>40549</v>
      </c>
      <c r="O727">
        <v>445.74</v>
      </c>
      <c r="P727">
        <v>445.74</v>
      </c>
    </row>
    <row r="728" spans="1:16" x14ac:dyDescent="0.35">
      <c r="A728">
        <v>728</v>
      </c>
      <c r="B728" t="s">
        <v>63</v>
      </c>
      <c r="C728" t="s">
        <v>61</v>
      </c>
      <c r="D728" t="s">
        <v>66</v>
      </c>
      <c r="E728" t="s">
        <v>70</v>
      </c>
      <c r="F728">
        <v>1</v>
      </c>
      <c r="G728">
        <v>26100</v>
      </c>
      <c r="H728">
        <v>1</v>
      </c>
      <c r="I728" t="s">
        <v>8</v>
      </c>
      <c r="J728">
        <v>6</v>
      </c>
      <c r="K728" t="s">
        <v>13</v>
      </c>
      <c r="L728" t="s">
        <v>46</v>
      </c>
      <c r="M728" t="s">
        <v>22</v>
      </c>
      <c r="N728" s="25">
        <v>42068</v>
      </c>
      <c r="O728">
        <v>494.38499999999999</v>
      </c>
      <c r="P728">
        <v>494.38499999999999</v>
      </c>
    </row>
    <row r="729" spans="1:16" x14ac:dyDescent="0.35">
      <c r="A729">
        <v>729</v>
      </c>
      <c r="B729" t="s">
        <v>64</v>
      </c>
      <c r="C729" t="s">
        <v>61</v>
      </c>
      <c r="D729" t="s">
        <v>58</v>
      </c>
      <c r="E729" t="s">
        <v>70</v>
      </c>
      <c r="F729">
        <v>1</v>
      </c>
      <c r="G729">
        <v>55900</v>
      </c>
      <c r="H729">
        <v>0</v>
      </c>
      <c r="I729" t="s">
        <v>68</v>
      </c>
      <c r="J729">
        <v>12</v>
      </c>
      <c r="K729" t="s">
        <v>13</v>
      </c>
      <c r="L729" t="s">
        <v>43</v>
      </c>
      <c r="M729" t="s">
        <v>23</v>
      </c>
      <c r="N729" s="25">
        <v>40576</v>
      </c>
      <c r="O729">
        <v>963.50300000000004</v>
      </c>
      <c r="P729">
        <v>963.50300000000004</v>
      </c>
    </row>
    <row r="730" spans="1:16" x14ac:dyDescent="0.35">
      <c r="A730">
        <v>730</v>
      </c>
      <c r="B730" t="s">
        <v>63</v>
      </c>
      <c r="C730" t="s">
        <v>61</v>
      </c>
      <c r="D730" t="s">
        <v>66</v>
      </c>
      <c r="E730" t="s">
        <v>2</v>
      </c>
      <c r="F730">
        <v>1</v>
      </c>
      <c r="G730">
        <v>27400</v>
      </c>
      <c r="H730">
        <v>1</v>
      </c>
      <c r="I730" t="s">
        <v>67</v>
      </c>
      <c r="J730">
        <v>6</v>
      </c>
      <c r="K730" t="s">
        <v>15</v>
      </c>
      <c r="L730" t="s">
        <v>42</v>
      </c>
      <c r="M730" t="s">
        <v>32</v>
      </c>
      <c r="N730" s="25">
        <v>40719</v>
      </c>
      <c r="O730">
        <v>277.85399999999998</v>
      </c>
      <c r="P730">
        <v>277.85399999999998</v>
      </c>
    </row>
    <row r="731" spans="1:16" x14ac:dyDescent="0.35">
      <c r="A731">
        <v>731</v>
      </c>
      <c r="B731" t="s">
        <v>64</v>
      </c>
      <c r="C731" t="s">
        <v>61</v>
      </c>
      <c r="D731" t="s">
        <v>66</v>
      </c>
      <c r="E731" t="s">
        <v>70</v>
      </c>
      <c r="F731">
        <v>0</v>
      </c>
      <c r="G731">
        <v>59000</v>
      </c>
      <c r="H731">
        <v>0</v>
      </c>
      <c r="I731" t="s">
        <v>69</v>
      </c>
      <c r="J731">
        <v>24</v>
      </c>
      <c r="K731" t="s">
        <v>15</v>
      </c>
      <c r="L731" t="s">
        <v>44</v>
      </c>
      <c r="M731" t="s">
        <v>29</v>
      </c>
      <c r="N731" s="25">
        <v>41123</v>
      </c>
      <c r="O731">
        <v>3043.7649999999999</v>
      </c>
      <c r="P731">
        <v>3043.7649999999999</v>
      </c>
    </row>
    <row r="732" spans="1:16" x14ac:dyDescent="0.35">
      <c r="A732">
        <v>732</v>
      </c>
      <c r="B732" t="s">
        <v>63</v>
      </c>
      <c r="C732" t="s">
        <v>62</v>
      </c>
      <c r="D732" t="s">
        <v>66</v>
      </c>
      <c r="E732" t="s">
        <v>2</v>
      </c>
      <c r="F732">
        <v>1</v>
      </c>
      <c r="G732">
        <v>37100</v>
      </c>
      <c r="H732">
        <v>2</v>
      </c>
      <c r="I732" t="s">
        <v>67</v>
      </c>
      <c r="J732">
        <v>24</v>
      </c>
      <c r="K732" t="s">
        <v>13</v>
      </c>
      <c r="L732" t="s">
        <v>45</v>
      </c>
      <c r="M732" t="s">
        <v>26</v>
      </c>
      <c r="N732" s="25">
        <v>40153</v>
      </c>
      <c r="O732">
        <v>652.57500000000005</v>
      </c>
      <c r="P732">
        <v>652.57500000000005</v>
      </c>
    </row>
    <row r="733" spans="1:16" x14ac:dyDescent="0.35">
      <c r="A733">
        <v>733</v>
      </c>
      <c r="B733" t="s">
        <v>65</v>
      </c>
      <c r="C733" t="s">
        <v>61</v>
      </c>
      <c r="D733" t="s">
        <v>58</v>
      </c>
      <c r="E733" t="s">
        <v>70</v>
      </c>
      <c r="F733">
        <v>0</v>
      </c>
      <c r="G733">
        <v>62000</v>
      </c>
      <c r="H733">
        <v>0</v>
      </c>
      <c r="I733" t="s">
        <v>69</v>
      </c>
      <c r="J733">
        <v>24</v>
      </c>
      <c r="K733" t="s">
        <v>12</v>
      </c>
      <c r="L733" t="s">
        <v>53</v>
      </c>
      <c r="M733" t="s">
        <v>19</v>
      </c>
      <c r="N733" s="25">
        <v>40586</v>
      </c>
      <c r="O733">
        <v>3293.1570000000002</v>
      </c>
      <c r="P733">
        <v>3293.1570000000002</v>
      </c>
    </row>
    <row r="734" spans="1:16" x14ac:dyDescent="0.35">
      <c r="A734">
        <v>734</v>
      </c>
      <c r="B734" t="s">
        <v>63</v>
      </c>
      <c r="C734" t="s">
        <v>62</v>
      </c>
      <c r="D734" t="s">
        <v>58</v>
      </c>
      <c r="E734" t="s">
        <v>2</v>
      </c>
      <c r="F734">
        <v>0</v>
      </c>
      <c r="G734">
        <v>68000</v>
      </c>
      <c r="H734">
        <v>0</v>
      </c>
      <c r="I734" t="s">
        <v>69</v>
      </c>
      <c r="J734">
        <v>24</v>
      </c>
      <c r="K734" t="s">
        <v>14</v>
      </c>
      <c r="L734" t="s">
        <v>50</v>
      </c>
      <c r="M734" t="s">
        <v>35</v>
      </c>
      <c r="N734" s="25">
        <v>40361</v>
      </c>
      <c r="O734">
        <v>3688.4450000000002</v>
      </c>
      <c r="P734">
        <v>3500</v>
      </c>
    </row>
    <row r="735" spans="1:16" x14ac:dyDescent="0.35">
      <c r="A735">
        <v>735</v>
      </c>
      <c r="B735" t="s">
        <v>63</v>
      </c>
      <c r="C735" t="s">
        <v>61</v>
      </c>
      <c r="D735" t="s">
        <v>66</v>
      </c>
      <c r="E735" t="s">
        <v>70</v>
      </c>
      <c r="F735">
        <v>1</v>
      </c>
      <c r="G735">
        <v>15000</v>
      </c>
      <c r="H735">
        <v>3</v>
      </c>
      <c r="I735" t="s">
        <v>67</v>
      </c>
      <c r="J735">
        <v>6</v>
      </c>
      <c r="K735" t="s">
        <v>14</v>
      </c>
      <c r="L735" t="s">
        <v>40</v>
      </c>
      <c r="M735" t="s">
        <v>36</v>
      </c>
      <c r="N735" s="25">
        <v>41094</v>
      </c>
      <c r="O735">
        <v>37.807000000000002</v>
      </c>
      <c r="P735">
        <v>37.807000000000002</v>
      </c>
    </row>
    <row r="736" spans="1:16" x14ac:dyDescent="0.35">
      <c r="A736">
        <v>736</v>
      </c>
      <c r="B736" t="s">
        <v>64</v>
      </c>
      <c r="C736" t="s">
        <v>62</v>
      </c>
      <c r="D736" t="s">
        <v>66</v>
      </c>
      <c r="E736" t="s">
        <v>2</v>
      </c>
      <c r="F736">
        <v>0</v>
      </c>
      <c r="G736">
        <v>45400</v>
      </c>
      <c r="H736">
        <v>3</v>
      </c>
      <c r="I736" t="s">
        <v>68</v>
      </c>
      <c r="J736">
        <v>24</v>
      </c>
      <c r="K736" t="s">
        <v>15</v>
      </c>
      <c r="L736" t="s">
        <v>28</v>
      </c>
      <c r="M736" t="s">
        <v>33</v>
      </c>
      <c r="N736" s="25">
        <v>40770</v>
      </c>
      <c r="O736">
        <v>1202.643</v>
      </c>
      <c r="P736">
        <v>1202.643</v>
      </c>
    </row>
    <row r="737" spans="1:16" x14ac:dyDescent="0.35">
      <c r="A737">
        <v>737</v>
      </c>
      <c r="B737" t="s">
        <v>65</v>
      </c>
      <c r="C737" t="s">
        <v>61</v>
      </c>
      <c r="D737" t="s">
        <v>58</v>
      </c>
      <c r="E737" t="s">
        <v>2</v>
      </c>
      <c r="F737">
        <v>1</v>
      </c>
      <c r="G737">
        <v>56600</v>
      </c>
      <c r="H737">
        <v>0</v>
      </c>
      <c r="I737" t="s">
        <v>8</v>
      </c>
      <c r="J737">
        <v>24</v>
      </c>
      <c r="K737" t="s">
        <v>13</v>
      </c>
      <c r="L737" t="s">
        <v>42</v>
      </c>
      <c r="M737" t="s">
        <v>25</v>
      </c>
      <c r="N737" s="25">
        <v>42109</v>
      </c>
      <c r="O737">
        <v>1607.4649999999999</v>
      </c>
      <c r="P737">
        <v>1607.4649999999999</v>
      </c>
    </row>
    <row r="738" spans="1:16" x14ac:dyDescent="0.35">
      <c r="A738">
        <v>738</v>
      </c>
      <c r="B738" t="s">
        <v>65</v>
      </c>
      <c r="C738" t="s">
        <v>62</v>
      </c>
      <c r="D738" t="s">
        <v>58</v>
      </c>
      <c r="E738" t="s">
        <v>70</v>
      </c>
      <c r="F738">
        <v>0</v>
      </c>
      <c r="G738">
        <v>16300</v>
      </c>
      <c r="H738">
        <v>0</v>
      </c>
      <c r="I738" t="s">
        <v>67</v>
      </c>
      <c r="J738">
        <v>6</v>
      </c>
      <c r="K738" t="s">
        <v>12</v>
      </c>
      <c r="L738" t="s">
        <v>47</v>
      </c>
      <c r="M738" t="s">
        <v>16</v>
      </c>
      <c r="N738" s="25">
        <v>40805</v>
      </c>
      <c r="O738">
        <v>316.86</v>
      </c>
      <c r="P738">
        <v>316.86</v>
      </c>
    </row>
    <row r="739" spans="1:16" x14ac:dyDescent="0.35">
      <c r="A739">
        <v>739</v>
      </c>
      <c r="B739" t="s">
        <v>64</v>
      </c>
      <c r="C739" t="s">
        <v>62</v>
      </c>
      <c r="D739" t="s">
        <v>66</v>
      </c>
      <c r="E739" t="s">
        <v>70</v>
      </c>
      <c r="F739">
        <v>0</v>
      </c>
      <c r="G739">
        <v>45600</v>
      </c>
      <c r="H739">
        <v>0</v>
      </c>
      <c r="I739" t="s">
        <v>69</v>
      </c>
      <c r="J739">
        <v>12</v>
      </c>
      <c r="K739" t="s">
        <v>12</v>
      </c>
      <c r="L739" t="s">
        <v>47</v>
      </c>
      <c r="M739" t="s">
        <v>16</v>
      </c>
      <c r="N739" s="25">
        <v>41175</v>
      </c>
      <c r="O739">
        <v>1321.529</v>
      </c>
      <c r="P739">
        <v>1321.529</v>
      </c>
    </row>
    <row r="740" spans="1:16" x14ac:dyDescent="0.35">
      <c r="A740">
        <v>740</v>
      </c>
      <c r="B740" t="s">
        <v>63</v>
      </c>
      <c r="C740" t="s">
        <v>61</v>
      </c>
      <c r="D740" t="s">
        <v>66</v>
      </c>
      <c r="E740" t="s">
        <v>70</v>
      </c>
      <c r="F740">
        <v>1</v>
      </c>
      <c r="G740">
        <v>14200</v>
      </c>
      <c r="H740">
        <v>0</v>
      </c>
      <c r="I740" t="s">
        <v>67</v>
      </c>
      <c r="J740">
        <v>6</v>
      </c>
      <c r="K740" t="s">
        <v>13</v>
      </c>
      <c r="L740" t="s">
        <v>43</v>
      </c>
      <c r="M740" t="s">
        <v>23</v>
      </c>
      <c r="N740" s="25">
        <v>40261</v>
      </c>
      <c r="O740">
        <v>250.249</v>
      </c>
      <c r="P740">
        <v>250.249</v>
      </c>
    </row>
    <row r="741" spans="1:16" x14ac:dyDescent="0.35">
      <c r="A741">
        <v>741</v>
      </c>
      <c r="B741" t="s">
        <v>64</v>
      </c>
      <c r="C741" t="s">
        <v>61</v>
      </c>
      <c r="D741" t="s">
        <v>58</v>
      </c>
      <c r="E741" t="s">
        <v>70</v>
      </c>
      <c r="F741">
        <v>1</v>
      </c>
      <c r="G741">
        <v>61500</v>
      </c>
      <c r="H741">
        <v>2</v>
      </c>
      <c r="I741" t="s">
        <v>68</v>
      </c>
      <c r="J741">
        <v>24</v>
      </c>
      <c r="K741" t="s">
        <v>13</v>
      </c>
      <c r="L741" t="s">
        <v>45</v>
      </c>
      <c r="M741" t="s">
        <v>26</v>
      </c>
      <c r="N741" s="25">
        <v>40817</v>
      </c>
      <c r="O741">
        <v>967.80499999999995</v>
      </c>
      <c r="P741">
        <v>967.80499999999995</v>
      </c>
    </row>
    <row r="742" spans="1:16" x14ac:dyDescent="0.35">
      <c r="A742">
        <v>742</v>
      </c>
      <c r="B742" t="s">
        <v>64</v>
      </c>
      <c r="C742" t="s">
        <v>61</v>
      </c>
      <c r="D742" t="s">
        <v>58</v>
      </c>
      <c r="E742" t="s">
        <v>2</v>
      </c>
      <c r="F742">
        <v>1</v>
      </c>
      <c r="G742">
        <v>126500</v>
      </c>
      <c r="H742">
        <v>2</v>
      </c>
      <c r="I742" t="s">
        <v>69</v>
      </c>
      <c r="J742">
        <v>18</v>
      </c>
      <c r="K742" t="s">
        <v>12</v>
      </c>
      <c r="L742" t="s">
        <v>47</v>
      </c>
      <c r="M742" t="s">
        <v>18</v>
      </c>
      <c r="N742" s="25">
        <v>41059</v>
      </c>
      <c r="O742">
        <v>1999.546</v>
      </c>
      <c r="P742">
        <v>1999.546</v>
      </c>
    </row>
    <row r="743" spans="1:16" x14ac:dyDescent="0.35">
      <c r="A743">
        <v>743</v>
      </c>
      <c r="B743" t="s">
        <v>64</v>
      </c>
      <c r="C743" t="s">
        <v>61</v>
      </c>
      <c r="D743" t="s">
        <v>58</v>
      </c>
      <c r="E743" t="s">
        <v>70</v>
      </c>
      <c r="F743">
        <v>0</v>
      </c>
      <c r="G743">
        <v>70200</v>
      </c>
      <c r="H743">
        <v>0</v>
      </c>
      <c r="I743" t="s">
        <v>69</v>
      </c>
      <c r="J743">
        <v>12</v>
      </c>
      <c r="K743" t="s">
        <v>13</v>
      </c>
      <c r="L743" t="s">
        <v>46</v>
      </c>
      <c r="M743" t="s">
        <v>22</v>
      </c>
      <c r="N743" s="25">
        <v>40226</v>
      </c>
      <c r="O743">
        <v>1702.4380000000001</v>
      </c>
      <c r="P743">
        <v>1702.4380000000001</v>
      </c>
    </row>
    <row r="744" spans="1:16" x14ac:dyDescent="0.35">
      <c r="A744">
        <v>744</v>
      </c>
      <c r="B744" t="s">
        <v>63</v>
      </c>
      <c r="C744" t="s">
        <v>62</v>
      </c>
      <c r="D744" t="s">
        <v>66</v>
      </c>
      <c r="E744" t="s">
        <v>70</v>
      </c>
      <c r="F744">
        <v>1</v>
      </c>
      <c r="G744">
        <v>13500</v>
      </c>
      <c r="H744">
        <v>0</v>
      </c>
      <c r="I744" t="s">
        <v>67</v>
      </c>
      <c r="J744">
        <v>18</v>
      </c>
      <c r="K744" t="s">
        <v>15</v>
      </c>
      <c r="L744" t="s">
        <v>28</v>
      </c>
      <c r="M744" t="s">
        <v>28</v>
      </c>
      <c r="N744" s="25">
        <v>42208</v>
      </c>
      <c r="O744">
        <v>295.70800000000003</v>
      </c>
      <c r="P744">
        <v>295.70800000000003</v>
      </c>
    </row>
    <row r="745" spans="1:16" x14ac:dyDescent="0.35">
      <c r="A745">
        <v>745</v>
      </c>
      <c r="B745" t="s">
        <v>64</v>
      </c>
      <c r="C745" t="s">
        <v>61</v>
      </c>
      <c r="D745" t="s">
        <v>66</v>
      </c>
      <c r="E745" t="s">
        <v>2</v>
      </c>
      <c r="F745">
        <v>1</v>
      </c>
      <c r="G745">
        <v>118800</v>
      </c>
      <c r="H745">
        <v>0</v>
      </c>
      <c r="I745" t="s">
        <v>69</v>
      </c>
      <c r="J745">
        <v>12</v>
      </c>
      <c r="K745" t="s">
        <v>12</v>
      </c>
      <c r="L745" t="s">
        <v>47</v>
      </c>
      <c r="M745" t="s">
        <v>16</v>
      </c>
      <c r="N745" s="25">
        <v>42125</v>
      </c>
      <c r="O745">
        <v>2630.9369999999999</v>
      </c>
      <c r="P745">
        <v>2630.9369999999999</v>
      </c>
    </row>
    <row r="746" spans="1:16" x14ac:dyDescent="0.35">
      <c r="A746">
        <v>746</v>
      </c>
      <c r="B746" t="s">
        <v>64</v>
      </c>
      <c r="C746" t="s">
        <v>62</v>
      </c>
      <c r="D746" t="s">
        <v>66</v>
      </c>
      <c r="E746" t="s">
        <v>70</v>
      </c>
      <c r="F746">
        <v>0</v>
      </c>
      <c r="G746">
        <v>39000</v>
      </c>
      <c r="H746">
        <v>3</v>
      </c>
      <c r="I746" t="s">
        <v>67</v>
      </c>
      <c r="J746">
        <v>6</v>
      </c>
      <c r="K746" t="s">
        <v>15</v>
      </c>
      <c r="L746" t="s">
        <v>28</v>
      </c>
      <c r="M746" t="s">
        <v>28</v>
      </c>
      <c r="N746" s="25">
        <v>41201</v>
      </c>
      <c r="O746">
        <v>291.73899999999998</v>
      </c>
      <c r="P746">
        <v>291.73899999999998</v>
      </c>
    </row>
    <row r="747" spans="1:16" x14ac:dyDescent="0.35">
      <c r="A747">
        <v>747</v>
      </c>
      <c r="B747" t="s">
        <v>64</v>
      </c>
      <c r="C747" t="s">
        <v>61</v>
      </c>
      <c r="D747" t="s">
        <v>58</v>
      </c>
      <c r="E747" t="s">
        <v>2</v>
      </c>
      <c r="F747">
        <v>1</v>
      </c>
      <c r="G747">
        <v>140700</v>
      </c>
      <c r="H747">
        <v>3</v>
      </c>
      <c r="I747" t="s">
        <v>68</v>
      </c>
      <c r="J747">
        <v>12</v>
      </c>
      <c r="K747" t="s">
        <v>14</v>
      </c>
      <c r="L747" t="s">
        <v>49</v>
      </c>
      <c r="M747" t="s">
        <v>39</v>
      </c>
      <c r="N747" s="25">
        <v>41815</v>
      </c>
      <c r="O747">
        <v>1001.207</v>
      </c>
      <c r="P747">
        <v>1001.207</v>
      </c>
    </row>
    <row r="748" spans="1:16" x14ac:dyDescent="0.35">
      <c r="A748">
        <v>748</v>
      </c>
      <c r="B748" t="s">
        <v>63</v>
      </c>
      <c r="C748" t="s">
        <v>61</v>
      </c>
      <c r="D748" t="s">
        <v>66</v>
      </c>
      <c r="E748" t="s">
        <v>2</v>
      </c>
      <c r="F748">
        <v>0</v>
      </c>
      <c r="G748">
        <v>51600</v>
      </c>
      <c r="H748">
        <v>0</v>
      </c>
      <c r="I748" t="s">
        <v>8</v>
      </c>
      <c r="J748">
        <v>12</v>
      </c>
      <c r="K748" t="s">
        <v>15</v>
      </c>
      <c r="L748" t="s">
        <v>28</v>
      </c>
      <c r="M748" t="s">
        <v>33</v>
      </c>
      <c r="N748" s="25">
        <v>42183</v>
      </c>
      <c r="O748">
        <v>1081.867</v>
      </c>
      <c r="P748">
        <v>1081.867</v>
      </c>
    </row>
    <row r="749" spans="1:16" x14ac:dyDescent="0.35">
      <c r="A749">
        <v>749</v>
      </c>
      <c r="B749" t="s">
        <v>65</v>
      </c>
      <c r="C749" t="s">
        <v>62</v>
      </c>
      <c r="D749" t="s">
        <v>66</v>
      </c>
      <c r="E749" t="s">
        <v>2</v>
      </c>
      <c r="F749">
        <v>1</v>
      </c>
      <c r="G749">
        <v>39700</v>
      </c>
      <c r="H749">
        <v>0</v>
      </c>
      <c r="I749" t="s">
        <v>68</v>
      </c>
      <c r="J749">
        <v>12</v>
      </c>
      <c r="K749" t="s">
        <v>13</v>
      </c>
      <c r="L749" t="s">
        <v>56</v>
      </c>
      <c r="M749" t="s">
        <v>24</v>
      </c>
      <c r="N749" s="25">
        <v>41584</v>
      </c>
      <c r="O749">
        <v>572.76499999999999</v>
      </c>
      <c r="P749">
        <v>572.76499999999999</v>
      </c>
    </row>
    <row r="750" spans="1:16" x14ac:dyDescent="0.35">
      <c r="A750">
        <v>750</v>
      </c>
      <c r="B750" t="s">
        <v>65</v>
      </c>
      <c r="C750" t="s">
        <v>62</v>
      </c>
      <c r="D750" t="s">
        <v>58</v>
      </c>
      <c r="E750" t="s">
        <v>2</v>
      </c>
      <c r="F750">
        <v>1</v>
      </c>
      <c r="G750">
        <v>90500</v>
      </c>
      <c r="H750">
        <v>0</v>
      </c>
      <c r="I750" t="s">
        <v>69</v>
      </c>
      <c r="J750">
        <v>6</v>
      </c>
      <c r="K750" t="s">
        <v>12</v>
      </c>
      <c r="L750" t="s">
        <v>47</v>
      </c>
      <c r="M750" t="s">
        <v>18</v>
      </c>
      <c r="N750" s="25">
        <v>40833</v>
      </c>
      <c r="O750">
        <v>862.88300000000004</v>
      </c>
      <c r="P750">
        <v>862.88300000000004</v>
      </c>
    </row>
    <row r="751" spans="1:16" x14ac:dyDescent="0.35">
      <c r="A751">
        <v>751</v>
      </c>
      <c r="B751" t="s">
        <v>65</v>
      </c>
      <c r="C751" t="s">
        <v>61</v>
      </c>
      <c r="D751" t="s">
        <v>66</v>
      </c>
      <c r="E751" t="s">
        <v>2</v>
      </c>
      <c r="F751">
        <v>1</v>
      </c>
      <c r="G751">
        <v>90200</v>
      </c>
      <c r="H751">
        <v>0</v>
      </c>
      <c r="I751" t="s">
        <v>69</v>
      </c>
      <c r="J751">
        <v>18</v>
      </c>
      <c r="K751" t="s">
        <v>14</v>
      </c>
      <c r="L751" t="s">
        <v>51</v>
      </c>
      <c r="M751" t="s">
        <v>38</v>
      </c>
      <c r="N751" s="25">
        <v>39817</v>
      </c>
      <c r="O751">
        <v>2183.422</v>
      </c>
      <c r="P751">
        <v>2183.422</v>
      </c>
    </row>
    <row r="752" spans="1:16" x14ac:dyDescent="0.35">
      <c r="A752">
        <v>752</v>
      </c>
      <c r="B752" t="s">
        <v>64</v>
      </c>
      <c r="C752" t="s">
        <v>62</v>
      </c>
      <c r="D752" t="s">
        <v>58</v>
      </c>
      <c r="E752" t="s">
        <v>2</v>
      </c>
      <c r="F752">
        <v>0</v>
      </c>
      <c r="G752">
        <v>101700</v>
      </c>
      <c r="H752">
        <v>1</v>
      </c>
      <c r="I752" t="s">
        <v>8</v>
      </c>
      <c r="J752">
        <v>24</v>
      </c>
      <c r="K752" t="s">
        <v>12</v>
      </c>
      <c r="L752" t="s">
        <v>53</v>
      </c>
      <c r="M752" t="s">
        <v>19</v>
      </c>
      <c r="N752" s="25">
        <v>42185</v>
      </c>
      <c r="O752">
        <v>2551.12</v>
      </c>
      <c r="P752">
        <v>2551.12</v>
      </c>
    </row>
    <row r="753" spans="1:16" x14ac:dyDescent="0.35">
      <c r="A753">
        <v>753</v>
      </c>
      <c r="B753" t="s">
        <v>63</v>
      </c>
      <c r="C753" t="s">
        <v>62</v>
      </c>
      <c r="D753" t="s">
        <v>58</v>
      </c>
      <c r="E753" t="s">
        <v>70</v>
      </c>
      <c r="F753">
        <v>1</v>
      </c>
      <c r="G753">
        <v>24400</v>
      </c>
      <c r="H753">
        <v>1</v>
      </c>
      <c r="I753" t="s">
        <v>67</v>
      </c>
      <c r="J753">
        <v>6</v>
      </c>
      <c r="K753" t="s">
        <v>15</v>
      </c>
      <c r="L753" t="s">
        <v>52</v>
      </c>
      <c r="M753" t="s">
        <v>31</v>
      </c>
      <c r="N753" s="25">
        <v>41121</v>
      </c>
      <c r="O753">
        <v>219.80799999999999</v>
      </c>
      <c r="P753">
        <v>219.80799999999999</v>
      </c>
    </row>
    <row r="754" spans="1:16" x14ac:dyDescent="0.35">
      <c r="A754">
        <v>754</v>
      </c>
      <c r="B754" t="s">
        <v>64</v>
      </c>
      <c r="C754" t="s">
        <v>62</v>
      </c>
      <c r="D754" t="s">
        <v>66</v>
      </c>
      <c r="E754" t="s">
        <v>70</v>
      </c>
      <c r="F754">
        <v>0</v>
      </c>
      <c r="G754">
        <v>45500</v>
      </c>
      <c r="H754">
        <v>1</v>
      </c>
      <c r="I754" t="s">
        <v>8</v>
      </c>
      <c r="J754">
        <v>18</v>
      </c>
      <c r="K754" t="s">
        <v>14</v>
      </c>
      <c r="L754" t="s">
        <v>40</v>
      </c>
      <c r="M754" t="s">
        <v>37</v>
      </c>
      <c r="N754" s="25">
        <v>42122</v>
      </c>
      <c r="O754">
        <v>1623.712</v>
      </c>
      <c r="P754">
        <v>1623.712</v>
      </c>
    </row>
    <row r="755" spans="1:16" x14ac:dyDescent="0.35">
      <c r="A755">
        <v>755</v>
      </c>
      <c r="B755" t="s">
        <v>64</v>
      </c>
      <c r="C755" t="s">
        <v>61</v>
      </c>
      <c r="D755" t="s">
        <v>58</v>
      </c>
      <c r="E755" t="s">
        <v>2</v>
      </c>
      <c r="F755">
        <v>1</v>
      </c>
      <c r="G755">
        <v>42700</v>
      </c>
      <c r="H755">
        <v>0</v>
      </c>
      <c r="I755" t="s">
        <v>68</v>
      </c>
      <c r="J755">
        <v>6</v>
      </c>
      <c r="K755" t="s">
        <v>15</v>
      </c>
      <c r="L755" t="s">
        <v>28</v>
      </c>
      <c r="M755" t="s">
        <v>33</v>
      </c>
      <c r="N755" s="25">
        <v>41280</v>
      </c>
      <c r="O755">
        <v>541.34400000000005</v>
      </c>
      <c r="P755">
        <v>541.34400000000005</v>
      </c>
    </row>
    <row r="756" spans="1:16" x14ac:dyDescent="0.35">
      <c r="A756">
        <v>756</v>
      </c>
      <c r="B756" t="s">
        <v>64</v>
      </c>
      <c r="C756" t="s">
        <v>62</v>
      </c>
      <c r="D756" t="s">
        <v>66</v>
      </c>
      <c r="E756" t="s">
        <v>2</v>
      </c>
      <c r="F756">
        <v>1</v>
      </c>
      <c r="G756">
        <v>82300</v>
      </c>
      <c r="H756">
        <v>2</v>
      </c>
      <c r="I756" t="s">
        <v>68</v>
      </c>
      <c r="J756">
        <v>12</v>
      </c>
      <c r="K756" t="s">
        <v>14</v>
      </c>
      <c r="L756" t="s">
        <v>51</v>
      </c>
      <c r="M756" t="s">
        <v>38</v>
      </c>
      <c r="N756" s="25">
        <v>40454</v>
      </c>
      <c r="O756">
        <v>580.42999999999995</v>
      </c>
      <c r="P756">
        <v>580.42999999999995</v>
      </c>
    </row>
    <row r="757" spans="1:16" x14ac:dyDescent="0.35">
      <c r="A757">
        <v>757</v>
      </c>
      <c r="B757" t="s">
        <v>63</v>
      </c>
      <c r="C757" t="s">
        <v>62</v>
      </c>
      <c r="D757" t="s">
        <v>58</v>
      </c>
      <c r="E757" t="s">
        <v>70</v>
      </c>
      <c r="F757">
        <v>0</v>
      </c>
      <c r="G757">
        <v>31900</v>
      </c>
      <c r="H757">
        <v>0</v>
      </c>
      <c r="I757" t="s">
        <v>8</v>
      </c>
      <c r="J757">
        <v>12</v>
      </c>
      <c r="K757" t="s">
        <v>12</v>
      </c>
      <c r="L757" t="s">
        <v>53</v>
      </c>
      <c r="M757" t="s">
        <v>19</v>
      </c>
      <c r="N757" s="25">
        <v>42045</v>
      </c>
      <c r="O757">
        <v>859.60500000000002</v>
      </c>
      <c r="P757">
        <v>859.60500000000002</v>
      </c>
    </row>
    <row r="758" spans="1:16" x14ac:dyDescent="0.35">
      <c r="A758">
        <v>758</v>
      </c>
      <c r="B758" t="s">
        <v>64</v>
      </c>
      <c r="C758" t="s">
        <v>62</v>
      </c>
      <c r="D758" t="s">
        <v>58</v>
      </c>
      <c r="E758" t="s">
        <v>70</v>
      </c>
      <c r="F758">
        <v>0</v>
      </c>
      <c r="G758">
        <v>25300</v>
      </c>
      <c r="H758">
        <v>1</v>
      </c>
      <c r="I758" t="s">
        <v>8</v>
      </c>
      <c r="J758">
        <v>6</v>
      </c>
      <c r="K758" t="s">
        <v>14</v>
      </c>
      <c r="L758" t="s">
        <v>50</v>
      </c>
      <c r="M758" t="s">
        <v>34</v>
      </c>
      <c r="N758" s="25">
        <v>42108</v>
      </c>
      <c r="O758">
        <v>450.91500000000002</v>
      </c>
      <c r="P758">
        <v>450.91500000000002</v>
      </c>
    </row>
    <row r="759" spans="1:16" x14ac:dyDescent="0.35">
      <c r="A759">
        <v>759</v>
      </c>
      <c r="B759" t="s">
        <v>63</v>
      </c>
      <c r="C759" t="s">
        <v>62</v>
      </c>
      <c r="D759" t="s">
        <v>58</v>
      </c>
      <c r="E759" t="s">
        <v>2</v>
      </c>
      <c r="F759">
        <v>0</v>
      </c>
      <c r="G759">
        <v>55900</v>
      </c>
      <c r="H759">
        <v>1</v>
      </c>
      <c r="I759" t="s">
        <v>8</v>
      </c>
      <c r="J759">
        <v>6</v>
      </c>
      <c r="K759" t="s">
        <v>15</v>
      </c>
      <c r="L759" t="s">
        <v>42</v>
      </c>
      <c r="M759" t="s">
        <v>32</v>
      </c>
      <c r="N759" s="25">
        <v>42182</v>
      </c>
      <c r="O759">
        <v>788.19500000000005</v>
      </c>
      <c r="P759">
        <v>788.19500000000005</v>
      </c>
    </row>
    <row r="760" spans="1:16" x14ac:dyDescent="0.35">
      <c r="A760">
        <v>760</v>
      </c>
      <c r="B760" t="s">
        <v>64</v>
      </c>
      <c r="C760" t="s">
        <v>62</v>
      </c>
      <c r="D760" t="s">
        <v>58</v>
      </c>
      <c r="E760" t="s">
        <v>70</v>
      </c>
      <c r="F760">
        <v>1</v>
      </c>
      <c r="G760">
        <v>47900</v>
      </c>
      <c r="H760">
        <v>0</v>
      </c>
      <c r="I760" t="s">
        <v>8</v>
      </c>
      <c r="J760">
        <v>12</v>
      </c>
      <c r="K760" t="s">
        <v>13</v>
      </c>
      <c r="L760" t="s">
        <v>45</v>
      </c>
      <c r="M760" t="s">
        <v>26</v>
      </c>
      <c r="N760" s="25">
        <v>42047</v>
      </c>
      <c r="O760">
        <v>1090.085</v>
      </c>
      <c r="P760">
        <v>1090.085</v>
      </c>
    </row>
    <row r="761" spans="1:16" x14ac:dyDescent="0.35">
      <c r="A761">
        <v>761</v>
      </c>
      <c r="B761" t="s">
        <v>64</v>
      </c>
      <c r="C761" t="s">
        <v>62</v>
      </c>
      <c r="D761" t="s">
        <v>66</v>
      </c>
      <c r="E761" t="s">
        <v>2</v>
      </c>
      <c r="F761">
        <v>1</v>
      </c>
      <c r="G761">
        <v>66300</v>
      </c>
      <c r="H761">
        <v>2</v>
      </c>
      <c r="I761" t="s">
        <v>68</v>
      </c>
      <c r="J761">
        <v>12</v>
      </c>
      <c r="K761" t="s">
        <v>12</v>
      </c>
      <c r="L761" t="s">
        <v>47</v>
      </c>
      <c r="M761" t="s">
        <v>18</v>
      </c>
      <c r="N761" s="25">
        <v>40563</v>
      </c>
      <c r="O761">
        <v>544.16</v>
      </c>
      <c r="P761">
        <v>544.16</v>
      </c>
    </row>
    <row r="762" spans="1:16" x14ac:dyDescent="0.35">
      <c r="A762">
        <v>762</v>
      </c>
      <c r="B762" t="s">
        <v>64</v>
      </c>
      <c r="C762" t="s">
        <v>62</v>
      </c>
      <c r="D762" t="s">
        <v>58</v>
      </c>
      <c r="E762" t="s">
        <v>2</v>
      </c>
      <c r="F762">
        <v>0</v>
      </c>
      <c r="G762">
        <v>118300</v>
      </c>
      <c r="H762">
        <v>1</v>
      </c>
      <c r="I762" t="s">
        <v>69</v>
      </c>
      <c r="J762">
        <v>12</v>
      </c>
      <c r="K762" t="s">
        <v>14</v>
      </c>
      <c r="L762" t="s">
        <v>49</v>
      </c>
      <c r="M762" t="s">
        <v>39</v>
      </c>
      <c r="N762" s="25">
        <v>40308</v>
      </c>
      <c r="O762">
        <v>2502.3490000000002</v>
      </c>
      <c r="P762">
        <v>2502.3490000000002</v>
      </c>
    </row>
    <row r="763" spans="1:16" x14ac:dyDescent="0.35">
      <c r="A763">
        <v>763</v>
      </c>
      <c r="B763" t="s">
        <v>64</v>
      </c>
      <c r="C763" t="s">
        <v>62</v>
      </c>
      <c r="D763" t="s">
        <v>58</v>
      </c>
      <c r="E763" t="s">
        <v>2</v>
      </c>
      <c r="F763">
        <v>1</v>
      </c>
      <c r="G763">
        <v>85500</v>
      </c>
      <c r="H763">
        <v>2</v>
      </c>
      <c r="I763" t="s">
        <v>68</v>
      </c>
      <c r="J763">
        <v>18</v>
      </c>
      <c r="K763" t="s">
        <v>13</v>
      </c>
      <c r="L763" t="s">
        <v>48</v>
      </c>
      <c r="M763" t="s">
        <v>27</v>
      </c>
      <c r="N763" s="25">
        <v>41823</v>
      </c>
      <c r="O763">
        <v>894.66800000000001</v>
      </c>
      <c r="P763">
        <v>894.66800000000001</v>
      </c>
    </row>
    <row r="764" spans="1:16" x14ac:dyDescent="0.35">
      <c r="A764">
        <v>764</v>
      </c>
      <c r="B764" t="s">
        <v>63</v>
      </c>
      <c r="C764" t="s">
        <v>61</v>
      </c>
      <c r="D764" t="s">
        <v>66</v>
      </c>
      <c r="E764" t="s">
        <v>70</v>
      </c>
      <c r="F764">
        <v>1</v>
      </c>
      <c r="G764">
        <v>28400</v>
      </c>
      <c r="H764">
        <v>3</v>
      </c>
      <c r="I764" t="s">
        <v>67</v>
      </c>
      <c r="J764">
        <v>18</v>
      </c>
      <c r="K764" t="s">
        <v>14</v>
      </c>
      <c r="L764" t="s">
        <v>50</v>
      </c>
      <c r="M764" t="s">
        <v>35</v>
      </c>
      <c r="N764" s="25">
        <v>40481</v>
      </c>
      <c r="O764">
        <v>181.75299999999999</v>
      </c>
      <c r="P764">
        <v>181.75299999999999</v>
      </c>
    </row>
    <row r="765" spans="1:16" x14ac:dyDescent="0.35">
      <c r="A765">
        <v>765</v>
      </c>
      <c r="B765" t="s">
        <v>64</v>
      </c>
      <c r="C765" t="s">
        <v>62</v>
      </c>
      <c r="D765" t="s">
        <v>66</v>
      </c>
      <c r="E765" t="s">
        <v>70</v>
      </c>
      <c r="F765">
        <v>1</v>
      </c>
      <c r="G765">
        <v>42200</v>
      </c>
      <c r="H765">
        <v>0</v>
      </c>
      <c r="I765" t="s">
        <v>8</v>
      </c>
      <c r="J765">
        <v>18</v>
      </c>
      <c r="K765" t="s">
        <v>13</v>
      </c>
      <c r="L765" t="s">
        <v>43</v>
      </c>
      <c r="M765" t="s">
        <v>23</v>
      </c>
      <c r="N765" s="25">
        <v>42137</v>
      </c>
      <c r="O765">
        <v>1753.394</v>
      </c>
      <c r="P765">
        <v>1753.394</v>
      </c>
    </row>
    <row r="766" spans="1:16" x14ac:dyDescent="0.35">
      <c r="A766">
        <v>766</v>
      </c>
      <c r="B766" t="s">
        <v>63</v>
      </c>
      <c r="C766" t="s">
        <v>61</v>
      </c>
      <c r="D766" t="s">
        <v>58</v>
      </c>
      <c r="E766" t="s">
        <v>70</v>
      </c>
      <c r="F766">
        <v>1</v>
      </c>
      <c r="G766">
        <v>31900</v>
      </c>
      <c r="H766">
        <v>0</v>
      </c>
      <c r="I766" t="s">
        <v>68</v>
      </c>
      <c r="J766">
        <v>6</v>
      </c>
      <c r="K766" t="s">
        <v>14</v>
      </c>
      <c r="L766" t="s">
        <v>40</v>
      </c>
      <c r="M766" t="s">
        <v>36</v>
      </c>
      <c r="N766" s="25">
        <v>41923</v>
      </c>
      <c r="O766">
        <v>615.70699999999999</v>
      </c>
      <c r="P766">
        <v>615.70699999999999</v>
      </c>
    </row>
    <row r="767" spans="1:16" x14ac:dyDescent="0.35">
      <c r="A767">
        <v>767</v>
      </c>
      <c r="B767" t="s">
        <v>64</v>
      </c>
      <c r="C767" t="s">
        <v>62</v>
      </c>
      <c r="D767" t="s">
        <v>58</v>
      </c>
      <c r="E767" t="s">
        <v>2</v>
      </c>
      <c r="F767">
        <v>1</v>
      </c>
      <c r="G767">
        <v>59100</v>
      </c>
      <c r="H767">
        <v>1</v>
      </c>
      <c r="I767" t="s">
        <v>8</v>
      </c>
      <c r="J767">
        <v>6</v>
      </c>
      <c r="K767" t="s">
        <v>14</v>
      </c>
      <c r="L767" t="s">
        <v>40</v>
      </c>
      <c r="M767" t="s">
        <v>37</v>
      </c>
      <c r="N767" s="25">
        <v>42059</v>
      </c>
      <c r="O767">
        <v>1425.7809999999999</v>
      </c>
      <c r="P767">
        <v>1425.7809999999999</v>
      </c>
    </row>
    <row r="768" spans="1:16" x14ac:dyDescent="0.35">
      <c r="A768">
        <v>768</v>
      </c>
      <c r="B768" t="s">
        <v>64</v>
      </c>
      <c r="C768" t="s">
        <v>61</v>
      </c>
      <c r="D768" t="s">
        <v>66</v>
      </c>
      <c r="E768" t="s">
        <v>2</v>
      </c>
      <c r="F768">
        <v>0</v>
      </c>
      <c r="G768">
        <v>72200</v>
      </c>
      <c r="H768">
        <v>3</v>
      </c>
      <c r="I768" t="s">
        <v>68</v>
      </c>
      <c r="J768">
        <v>18</v>
      </c>
      <c r="K768" t="s">
        <v>13</v>
      </c>
      <c r="L768" t="s">
        <v>43</v>
      </c>
      <c r="M768" t="s">
        <v>23</v>
      </c>
      <c r="N768" s="25">
        <v>40284</v>
      </c>
      <c r="O768">
        <v>1041.5039999999999</v>
      </c>
      <c r="P768">
        <v>1041.5039999999999</v>
      </c>
    </row>
    <row r="769" spans="1:16" x14ac:dyDescent="0.35">
      <c r="A769">
        <v>769</v>
      </c>
      <c r="B769" t="s">
        <v>64</v>
      </c>
      <c r="C769" t="s">
        <v>62</v>
      </c>
      <c r="D769" t="s">
        <v>66</v>
      </c>
      <c r="E769" t="s">
        <v>2</v>
      </c>
      <c r="F769">
        <v>1</v>
      </c>
      <c r="G769">
        <v>60500</v>
      </c>
      <c r="H769">
        <v>2</v>
      </c>
      <c r="I769" t="s">
        <v>67</v>
      </c>
      <c r="J769">
        <v>6</v>
      </c>
      <c r="K769" t="s">
        <v>12</v>
      </c>
      <c r="L769" t="s">
        <v>53</v>
      </c>
      <c r="M769" t="s">
        <v>19</v>
      </c>
      <c r="N769" s="25">
        <v>41923</v>
      </c>
      <c r="O769">
        <v>408.63799999999998</v>
      </c>
      <c r="P769">
        <v>408.63799999999998</v>
      </c>
    </row>
    <row r="770" spans="1:16" x14ac:dyDescent="0.35">
      <c r="A770">
        <v>770</v>
      </c>
      <c r="B770" t="s">
        <v>63</v>
      </c>
      <c r="C770" t="s">
        <v>61</v>
      </c>
      <c r="D770" t="s">
        <v>66</v>
      </c>
      <c r="E770" t="s">
        <v>2</v>
      </c>
      <c r="F770">
        <v>1</v>
      </c>
      <c r="G770">
        <v>36700</v>
      </c>
      <c r="H770">
        <v>0</v>
      </c>
      <c r="I770" t="s">
        <v>68</v>
      </c>
      <c r="J770">
        <v>12</v>
      </c>
      <c r="K770" t="s">
        <v>12</v>
      </c>
      <c r="L770" t="s">
        <v>47</v>
      </c>
      <c r="M770" t="s">
        <v>18</v>
      </c>
      <c r="N770" s="25">
        <v>42225</v>
      </c>
      <c r="O770">
        <v>730.67</v>
      </c>
      <c r="P770">
        <v>730.67</v>
      </c>
    </row>
    <row r="771" spans="1:16" x14ac:dyDescent="0.35">
      <c r="A771">
        <v>771</v>
      </c>
      <c r="B771" t="s">
        <v>64</v>
      </c>
      <c r="C771" t="s">
        <v>61</v>
      </c>
      <c r="D771" t="s">
        <v>58</v>
      </c>
      <c r="E771" t="s">
        <v>2</v>
      </c>
      <c r="F771">
        <v>1</v>
      </c>
      <c r="G771">
        <v>88700</v>
      </c>
      <c r="H771">
        <v>1</v>
      </c>
      <c r="I771" t="s">
        <v>8</v>
      </c>
      <c r="J771">
        <v>18</v>
      </c>
      <c r="K771" t="s">
        <v>15</v>
      </c>
      <c r="L771" t="s">
        <v>44</v>
      </c>
      <c r="M771" t="s">
        <v>29</v>
      </c>
      <c r="N771" s="25">
        <v>42091</v>
      </c>
      <c r="O771">
        <v>2448.2089999999998</v>
      </c>
      <c r="P771">
        <v>2448.2089999999998</v>
      </c>
    </row>
    <row r="772" spans="1:16" x14ac:dyDescent="0.35">
      <c r="A772">
        <v>772</v>
      </c>
      <c r="B772" t="s">
        <v>64</v>
      </c>
      <c r="C772" t="s">
        <v>62</v>
      </c>
      <c r="D772" t="s">
        <v>58</v>
      </c>
      <c r="E772" t="s">
        <v>70</v>
      </c>
      <c r="F772">
        <v>1</v>
      </c>
      <c r="G772">
        <v>51200</v>
      </c>
      <c r="H772">
        <v>0</v>
      </c>
      <c r="I772" t="s">
        <v>68</v>
      </c>
      <c r="J772">
        <v>18</v>
      </c>
      <c r="K772" t="s">
        <v>12</v>
      </c>
      <c r="L772" t="s">
        <v>53</v>
      </c>
      <c r="M772" t="s">
        <v>19</v>
      </c>
      <c r="N772" s="25">
        <v>40994</v>
      </c>
      <c r="O772">
        <v>1257.383</v>
      </c>
      <c r="P772">
        <v>1257.383</v>
      </c>
    </row>
    <row r="773" spans="1:16" x14ac:dyDescent="0.35">
      <c r="A773">
        <v>773</v>
      </c>
      <c r="B773" t="s">
        <v>64</v>
      </c>
      <c r="C773" t="s">
        <v>61</v>
      </c>
      <c r="D773" t="s">
        <v>66</v>
      </c>
      <c r="E773" t="s">
        <v>70</v>
      </c>
      <c r="F773">
        <v>1</v>
      </c>
      <c r="G773">
        <v>60300</v>
      </c>
      <c r="H773">
        <v>0</v>
      </c>
      <c r="I773" t="s">
        <v>69</v>
      </c>
      <c r="J773">
        <v>6</v>
      </c>
      <c r="K773" t="s">
        <v>12</v>
      </c>
      <c r="L773" t="s">
        <v>54</v>
      </c>
      <c r="M773" t="s">
        <v>21</v>
      </c>
      <c r="N773" s="25">
        <v>39973</v>
      </c>
      <c r="O773">
        <v>700.50199999999995</v>
      </c>
      <c r="P773">
        <v>700.50199999999995</v>
      </c>
    </row>
    <row r="774" spans="1:16" x14ac:dyDescent="0.35">
      <c r="A774">
        <v>774</v>
      </c>
      <c r="B774" t="s">
        <v>65</v>
      </c>
      <c r="C774" t="s">
        <v>62</v>
      </c>
      <c r="D774" t="s">
        <v>66</v>
      </c>
      <c r="E774" t="s">
        <v>70</v>
      </c>
      <c r="F774">
        <v>1</v>
      </c>
      <c r="G774">
        <v>29200</v>
      </c>
      <c r="H774">
        <v>0</v>
      </c>
      <c r="I774" t="s">
        <v>67</v>
      </c>
      <c r="J774">
        <v>12</v>
      </c>
      <c r="K774" t="s">
        <v>12</v>
      </c>
      <c r="L774" t="s">
        <v>53</v>
      </c>
      <c r="M774" t="s">
        <v>19</v>
      </c>
      <c r="N774" s="25">
        <v>41938</v>
      </c>
      <c r="O774">
        <v>556.24</v>
      </c>
      <c r="P774">
        <v>556.24</v>
      </c>
    </row>
    <row r="775" spans="1:16" x14ac:dyDescent="0.35">
      <c r="A775">
        <v>775</v>
      </c>
      <c r="B775" t="s">
        <v>64</v>
      </c>
      <c r="C775" t="s">
        <v>61</v>
      </c>
      <c r="D775" t="s">
        <v>58</v>
      </c>
      <c r="E775" t="s">
        <v>2</v>
      </c>
      <c r="F775">
        <v>1</v>
      </c>
      <c r="G775">
        <v>79600</v>
      </c>
      <c r="H775">
        <v>2</v>
      </c>
      <c r="I775" t="s">
        <v>8</v>
      </c>
      <c r="J775">
        <v>6</v>
      </c>
      <c r="K775" t="s">
        <v>12</v>
      </c>
      <c r="L775" t="s">
        <v>54</v>
      </c>
      <c r="M775" t="s">
        <v>21</v>
      </c>
      <c r="N775" s="25">
        <v>42119</v>
      </c>
      <c r="O775">
        <v>1575.424</v>
      </c>
      <c r="P775">
        <v>1575.424</v>
      </c>
    </row>
    <row r="776" spans="1:16" x14ac:dyDescent="0.35">
      <c r="A776">
        <v>776</v>
      </c>
      <c r="B776" t="s">
        <v>64</v>
      </c>
      <c r="C776" t="s">
        <v>61</v>
      </c>
      <c r="D776" t="s">
        <v>58</v>
      </c>
      <c r="E776" t="s">
        <v>2</v>
      </c>
      <c r="F776">
        <v>1</v>
      </c>
      <c r="G776">
        <v>79000</v>
      </c>
      <c r="H776">
        <v>2</v>
      </c>
      <c r="I776" t="s">
        <v>68</v>
      </c>
      <c r="J776">
        <v>18</v>
      </c>
      <c r="K776" t="s">
        <v>14</v>
      </c>
      <c r="L776" t="s">
        <v>50</v>
      </c>
      <c r="M776" t="s">
        <v>35</v>
      </c>
      <c r="N776" s="25">
        <v>41836</v>
      </c>
      <c r="O776">
        <v>670.50800000000004</v>
      </c>
      <c r="P776">
        <v>670.50800000000004</v>
      </c>
    </row>
    <row r="777" spans="1:16" x14ac:dyDescent="0.35">
      <c r="A777">
        <v>777</v>
      </c>
      <c r="B777" t="s">
        <v>63</v>
      </c>
      <c r="C777" t="s">
        <v>61</v>
      </c>
      <c r="D777" t="s">
        <v>66</v>
      </c>
      <c r="E777" t="s">
        <v>2</v>
      </c>
      <c r="F777">
        <v>1</v>
      </c>
      <c r="G777">
        <v>36600</v>
      </c>
      <c r="H777">
        <v>0</v>
      </c>
      <c r="I777" t="s">
        <v>8</v>
      </c>
      <c r="J777">
        <v>6</v>
      </c>
      <c r="K777" t="s">
        <v>12</v>
      </c>
      <c r="L777" t="s">
        <v>53</v>
      </c>
      <c r="M777" t="s">
        <v>19</v>
      </c>
      <c r="N777" s="25">
        <v>42023</v>
      </c>
      <c r="O777">
        <v>586.62699999999995</v>
      </c>
      <c r="P777">
        <v>586.62699999999995</v>
      </c>
    </row>
    <row r="778" spans="1:16" x14ac:dyDescent="0.35">
      <c r="A778">
        <v>778</v>
      </c>
      <c r="B778" t="s">
        <v>64</v>
      </c>
      <c r="C778" t="s">
        <v>61</v>
      </c>
      <c r="D778" t="s">
        <v>66</v>
      </c>
      <c r="E778" t="s">
        <v>70</v>
      </c>
      <c r="F778">
        <v>1</v>
      </c>
      <c r="G778">
        <v>34200</v>
      </c>
      <c r="H778">
        <v>1</v>
      </c>
      <c r="I778" t="s">
        <v>67</v>
      </c>
      <c r="J778">
        <v>18</v>
      </c>
      <c r="K778" t="s">
        <v>14</v>
      </c>
      <c r="L778" t="s">
        <v>40</v>
      </c>
      <c r="M778" t="s">
        <v>36</v>
      </c>
      <c r="N778" s="25">
        <v>40024</v>
      </c>
      <c r="O778">
        <v>522.63900000000001</v>
      </c>
      <c r="P778">
        <v>522.63900000000001</v>
      </c>
    </row>
    <row r="779" spans="1:16" x14ac:dyDescent="0.35">
      <c r="A779">
        <v>779</v>
      </c>
      <c r="B779" t="s">
        <v>63</v>
      </c>
      <c r="C779" t="s">
        <v>61</v>
      </c>
      <c r="D779" t="s">
        <v>66</v>
      </c>
      <c r="E779" t="s">
        <v>70</v>
      </c>
      <c r="F779">
        <v>0</v>
      </c>
      <c r="G779">
        <v>19400</v>
      </c>
      <c r="H779">
        <v>0</v>
      </c>
      <c r="I779" t="s">
        <v>67</v>
      </c>
      <c r="J779">
        <v>6</v>
      </c>
      <c r="K779" t="s">
        <v>13</v>
      </c>
      <c r="L779" t="s">
        <v>43</v>
      </c>
      <c r="M779" t="s">
        <v>23</v>
      </c>
      <c r="N779" s="25">
        <v>40376</v>
      </c>
      <c r="O779">
        <v>563.43299999999999</v>
      </c>
      <c r="P779">
        <v>563.43299999999999</v>
      </c>
    </row>
    <row r="780" spans="1:16" x14ac:dyDescent="0.35">
      <c r="A780">
        <v>780</v>
      </c>
      <c r="B780" t="s">
        <v>64</v>
      </c>
      <c r="C780" t="s">
        <v>62</v>
      </c>
      <c r="D780" t="s">
        <v>58</v>
      </c>
      <c r="E780" t="s">
        <v>2</v>
      </c>
      <c r="F780">
        <v>1</v>
      </c>
      <c r="G780">
        <v>86400</v>
      </c>
      <c r="H780">
        <v>1</v>
      </c>
      <c r="I780" t="s">
        <v>69</v>
      </c>
      <c r="J780">
        <v>12</v>
      </c>
      <c r="K780" t="s">
        <v>14</v>
      </c>
      <c r="L780" t="s">
        <v>49</v>
      </c>
      <c r="M780" t="s">
        <v>39</v>
      </c>
      <c r="N780" s="25">
        <v>41422</v>
      </c>
      <c r="O780">
        <v>1713.0730000000001</v>
      </c>
      <c r="P780">
        <v>1713.0730000000001</v>
      </c>
    </row>
    <row r="781" spans="1:16" x14ac:dyDescent="0.35">
      <c r="A781">
        <v>781</v>
      </c>
      <c r="B781" t="s">
        <v>63</v>
      </c>
      <c r="C781" t="s">
        <v>62</v>
      </c>
      <c r="D781" t="s">
        <v>66</v>
      </c>
      <c r="E781" t="s">
        <v>70</v>
      </c>
      <c r="F781">
        <v>1</v>
      </c>
      <c r="G781">
        <v>11500</v>
      </c>
      <c r="H781">
        <v>3</v>
      </c>
      <c r="I781" t="s">
        <v>8</v>
      </c>
      <c r="J781">
        <v>6</v>
      </c>
      <c r="K781" t="s">
        <v>13</v>
      </c>
      <c r="L781" t="s">
        <v>46</v>
      </c>
      <c r="M781" t="s">
        <v>22</v>
      </c>
      <c r="N781" s="25">
        <v>42050</v>
      </c>
      <c r="O781">
        <v>156.56700000000001</v>
      </c>
      <c r="P781">
        <v>156.56700000000001</v>
      </c>
    </row>
    <row r="782" spans="1:16" x14ac:dyDescent="0.35">
      <c r="A782">
        <v>782</v>
      </c>
      <c r="B782" t="s">
        <v>63</v>
      </c>
      <c r="C782" t="s">
        <v>62</v>
      </c>
      <c r="D782" t="s">
        <v>66</v>
      </c>
      <c r="E782" t="s">
        <v>70</v>
      </c>
      <c r="F782">
        <v>1</v>
      </c>
      <c r="G782">
        <v>24000</v>
      </c>
      <c r="H782">
        <v>2</v>
      </c>
      <c r="I782" t="s">
        <v>8</v>
      </c>
      <c r="J782">
        <v>6</v>
      </c>
      <c r="K782" t="s">
        <v>13</v>
      </c>
      <c r="L782" t="s">
        <v>42</v>
      </c>
      <c r="M782" t="s">
        <v>25</v>
      </c>
      <c r="N782" s="25">
        <v>42044</v>
      </c>
      <c r="O782">
        <v>362.221</v>
      </c>
      <c r="P782">
        <v>362.221</v>
      </c>
    </row>
    <row r="783" spans="1:16" x14ac:dyDescent="0.35">
      <c r="A783">
        <v>783</v>
      </c>
      <c r="B783" t="s">
        <v>64</v>
      </c>
      <c r="C783" t="s">
        <v>61</v>
      </c>
      <c r="D783" t="s">
        <v>58</v>
      </c>
      <c r="E783" t="s">
        <v>2</v>
      </c>
      <c r="F783">
        <v>0</v>
      </c>
      <c r="G783">
        <v>123000</v>
      </c>
      <c r="H783">
        <v>1</v>
      </c>
      <c r="I783" t="s">
        <v>69</v>
      </c>
      <c r="J783">
        <v>24</v>
      </c>
      <c r="K783" t="s">
        <v>12</v>
      </c>
      <c r="L783" t="s">
        <v>55</v>
      </c>
      <c r="M783" t="s">
        <v>17</v>
      </c>
      <c r="N783" s="25">
        <v>41706</v>
      </c>
      <c r="O783">
        <v>5877.7340000000004</v>
      </c>
      <c r="P783">
        <v>3500</v>
      </c>
    </row>
    <row r="784" spans="1:16" x14ac:dyDescent="0.35">
      <c r="A784">
        <v>784</v>
      </c>
      <c r="B784" t="s">
        <v>64</v>
      </c>
      <c r="C784" t="s">
        <v>62</v>
      </c>
      <c r="D784" t="s">
        <v>58</v>
      </c>
      <c r="E784" t="s">
        <v>2</v>
      </c>
      <c r="F784">
        <v>1</v>
      </c>
      <c r="G784">
        <v>71900</v>
      </c>
      <c r="H784">
        <v>0</v>
      </c>
      <c r="I784" t="s">
        <v>69</v>
      </c>
      <c r="J784">
        <v>18</v>
      </c>
      <c r="K784" t="s">
        <v>13</v>
      </c>
      <c r="L784" t="s">
        <v>56</v>
      </c>
      <c r="M784" t="s">
        <v>24</v>
      </c>
      <c r="N784" s="25">
        <v>42015</v>
      </c>
      <c r="O784">
        <v>1845.7750000000001</v>
      </c>
      <c r="P784">
        <v>1845.7750000000001</v>
      </c>
    </row>
    <row r="785" spans="1:16" x14ac:dyDescent="0.35">
      <c r="A785">
        <v>785</v>
      </c>
      <c r="B785" t="s">
        <v>65</v>
      </c>
      <c r="C785" t="s">
        <v>62</v>
      </c>
      <c r="D785" t="s">
        <v>66</v>
      </c>
      <c r="E785" t="s">
        <v>2</v>
      </c>
      <c r="F785">
        <v>1</v>
      </c>
      <c r="G785">
        <v>70900</v>
      </c>
      <c r="H785">
        <v>0</v>
      </c>
      <c r="I785" t="s">
        <v>69</v>
      </c>
      <c r="J785">
        <v>24</v>
      </c>
      <c r="K785" t="s">
        <v>15</v>
      </c>
      <c r="L785" t="s">
        <v>52</v>
      </c>
      <c r="M785" t="s">
        <v>31</v>
      </c>
      <c r="N785" s="25">
        <v>41646</v>
      </c>
      <c r="O785">
        <v>1684.72</v>
      </c>
      <c r="P785">
        <v>1684.72</v>
      </c>
    </row>
    <row r="786" spans="1:16" x14ac:dyDescent="0.35">
      <c r="A786">
        <v>786</v>
      </c>
      <c r="B786" t="s">
        <v>63</v>
      </c>
      <c r="C786" t="s">
        <v>61</v>
      </c>
      <c r="D786" t="s">
        <v>66</v>
      </c>
      <c r="E786" t="s">
        <v>70</v>
      </c>
      <c r="F786">
        <v>0</v>
      </c>
      <c r="G786">
        <v>20300</v>
      </c>
      <c r="H786">
        <v>2</v>
      </c>
      <c r="I786" t="s">
        <v>67</v>
      </c>
      <c r="J786">
        <v>24</v>
      </c>
      <c r="K786" t="s">
        <v>14</v>
      </c>
      <c r="L786" t="s">
        <v>51</v>
      </c>
      <c r="M786" t="s">
        <v>38</v>
      </c>
      <c r="N786" s="25">
        <v>40869</v>
      </c>
      <c r="O786">
        <v>450.07799999999997</v>
      </c>
      <c r="P786">
        <v>450.07799999999997</v>
      </c>
    </row>
    <row r="787" spans="1:16" x14ac:dyDescent="0.35">
      <c r="A787">
        <v>787</v>
      </c>
      <c r="B787" t="s">
        <v>64</v>
      </c>
      <c r="C787" t="s">
        <v>61</v>
      </c>
      <c r="D787" t="s">
        <v>66</v>
      </c>
      <c r="E787" t="s">
        <v>70</v>
      </c>
      <c r="F787">
        <v>1</v>
      </c>
      <c r="G787">
        <v>52100</v>
      </c>
      <c r="H787">
        <v>0</v>
      </c>
      <c r="I787" t="s">
        <v>8</v>
      </c>
      <c r="J787">
        <v>12</v>
      </c>
      <c r="K787" t="s">
        <v>13</v>
      </c>
      <c r="L787" t="s">
        <v>43</v>
      </c>
      <c r="M787" t="s">
        <v>23</v>
      </c>
      <c r="N787" s="25">
        <v>42151</v>
      </c>
      <c r="O787">
        <v>1668.443</v>
      </c>
      <c r="P787">
        <v>1668.443</v>
      </c>
    </row>
    <row r="788" spans="1:16" x14ac:dyDescent="0.35">
      <c r="A788">
        <v>788</v>
      </c>
      <c r="B788" t="s">
        <v>63</v>
      </c>
      <c r="C788" t="s">
        <v>62</v>
      </c>
      <c r="D788" t="s">
        <v>66</v>
      </c>
      <c r="E788" t="s">
        <v>70</v>
      </c>
      <c r="F788">
        <v>1</v>
      </c>
      <c r="G788">
        <v>16900</v>
      </c>
      <c r="H788">
        <v>2</v>
      </c>
      <c r="I788" t="s">
        <v>8</v>
      </c>
      <c r="J788">
        <v>6</v>
      </c>
      <c r="K788" t="s">
        <v>15</v>
      </c>
      <c r="L788" t="s">
        <v>52</v>
      </c>
      <c r="M788" t="s">
        <v>31</v>
      </c>
      <c r="N788" s="25">
        <v>42224</v>
      </c>
      <c r="O788">
        <v>281.31400000000002</v>
      </c>
      <c r="P788">
        <v>281.31400000000002</v>
      </c>
    </row>
    <row r="789" spans="1:16" x14ac:dyDescent="0.35">
      <c r="A789">
        <v>789</v>
      </c>
      <c r="B789" t="s">
        <v>64</v>
      </c>
      <c r="C789" t="s">
        <v>61</v>
      </c>
      <c r="D789" t="s">
        <v>58</v>
      </c>
      <c r="E789" t="s">
        <v>2</v>
      </c>
      <c r="F789">
        <v>1</v>
      </c>
      <c r="G789">
        <v>74500</v>
      </c>
      <c r="H789">
        <v>2</v>
      </c>
      <c r="I789" t="s">
        <v>68</v>
      </c>
      <c r="J789">
        <v>12</v>
      </c>
      <c r="K789" t="s">
        <v>13</v>
      </c>
      <c r="L789" t="s">
        <v>45</v>
      </c>
      <c r="M789" t="s">
        <v>26</v>
      </c>
      <c r="N789" s="25">
        <v>42070</v>
      </c>
      <c r="O789">
        <v>823.58199999999999</v>
      </c>
      <c r="P789">
        <v>823.58199999999999</v>
      </c>
    </row>
    <row r="790" spans="1:16" x14ac:dyDescent="0.35">
      <c r="A790">
        <v>790</v>
      </c>
      <c r="B790" t="s">
        <v>63</v>
      </c>
      <c r="C790" t="s">
        <v>61</v>
      </c>
      <c r="D790" t="s">
        <v>66</v>
      </c>
      <c r="E790" t="s">
        <v>2</v>
      </c>
      <c r="F790">
        <v>0</v>
      </c>
      <c r="G790">
        <v>55000</v>
      </c>
      <c r="H790">
        <v>0</v>
      </c>
      <c r="I790" t="s">
        <v>8</v>
      </c>
      <c r="J790">
        <v>12</v>
      </c>
      <c r="K790" t="s">
        <v>13</v>
      </c>
      <c r="L790" t="s">
        <v>46</v>
      </c>
      <c r="M790" t="s">
        <v>22</v>
      </c>
      <c r="N790" s="25">
        <v>42222</v>
      </c>
      <c r="O790">
        <v>1161.8689999999999</v>
      </c>
      <c r="P790">
        <v>1161.8689999999999</v>
      </c>
    </row>
    <row r="791" spans="1:16" x14ac:dyDescent="0.35">
      <c r="A791">
        <v>791</v>
      </c>
      <c r="B791" t="s">
        <v>63</v>
      </c>
      <c r="C791" t="s">
        <v>61</v>
      </c>
      <c r="D791" t="s">
        <v>66</v>
      </c>
      <c r="E791" t="s">
        <v>70</v>
      </c>
      <c r="F791">
        <v>1</v>
      </c>
      <c r="G791">
        <v>20900</v>
      </c>
      <c r="H791">
        <v>0</v>
      </c>
      <c r="I791" t="s">
        <v>8</v>
      </c>
      <c r="J791">
        <v>6</v>
      </c>
      <c r="K791" t="s">
        <v>13</v>
      </c>
      <c r="L791" t="s">
        <v>56</v>
      </c>
      <c r="M791" t="s">
        <v>24</v>
      </c>
      <c r="N791" s="25">
        <v>42181</v>
      </c>
      <c r="O791">
        <v>295.74900000000002</v>
      </c>
      <c r="P791">
        <v>295.74900000000002</v>
      </c>
    </row>
    <row r="792" spans="1:16" x14ac:dyDescent="0.35">
      <c r="A792">
        <v>792</v>
      </c>
      <c r="B792" t="s">
        <v>64</v>
      </c>
      <c r="C792" t="s">
        <v>61</v>
      </c>
      <c r="D792" t="s">
        <v>58</v>
      </c>
      <c r="E792" t="s">
        <v>2</v>
      </c>
      <c r="F792">
        <v>1</v>
      </c>
      <c r="G792">
        <v>102400</v>
      </c>
      <c r="H792">
        <v>1</v>
      </c>
      <c r="I792" t="s">
        <v>8</v>
      </c>
      <c r="J792">
        <v>12</v>
      </c>
      <c r="K792" t="s">
        <v>13</v>
      </c>
      <c r="L792" t="s">
        <v>48</v>
      </c>
      <c r="M792" t="s">
        <v>27</v>
      </c>
      <c r="N792" s="25">
        <v>42198</v>
      </c>
      <c r="O792">
        <v>2465.7530000000002</v>
      </c>
      <c r="P792">
        <v>2465.7530000000002</v>
      </c>
    </row>
    <row r="793" spans="1:16" x14ac:dyDescent="0.35">
      <c r="A793">
        <v>793</v>
      </c>
      <c r="B793" t="s">
        <v>64</v>
      </c>
      <c r="C793" t="s">
        <v>61</v>
      </c>
      <c r="D793" t="s">
        <v>66</v>
      </c>
      <c r="E793" t="s">
        <v>70</v>
      </c>
      <c r="F793">
        <v>0</v>
      </c>
      <c r="G793">
        <v>53800</v>
      </c>
      <c r="H793">
        <v>0</v>
      </c>
      <c r="I793" t="s">
        <v>69</v>
      </c>
      <c r="J793">
        <v>12</v>
      </c>
      <c r="K793" t="s">
        <v>13</v>
      </c>
      <c r="L793" t="s">
        <v>45</v>
      </c>
      <c r="M793" t="s">
        <v>26</v>
      </c>
      <c r="N793" s="25">
        <v>41392</v>
      </c>
      <c r="O793">
        <v>1803.115</v>
      </c>
      <c r="P793">
        <v>1803.115</v>
      </c>
    </row>
    <row r="794" spans="1:16" x14ac:dyDescent="0.35">
      <c r="A794">
        <v>794</v>
      </c>
      <c r="B794" t="s">
        <v>64</v>
      </c>
      <c r="C794" t="s">
        <v>61</v>
      </c>
      <c r="D794" t="s">
        <v>58</v>
      </c>
      <c r="E794" t="s">
        <v>2</v>
      </c>
      <c r="F794">
        <v>1</v>
      </c>
      <c r="G794">
        <v>98400</v>
      </c>
      <c r="H794">
        <v>0</v>
      </c>
      <c r="I794" t="s">
        <v>69</v>
      </c>
      <c r="J794">
        <v>12</v>
      </c>
      <c r="K794" t="s">
        <v>13</v>
      </c>
      <c r="L794" t="s">
        <v>45</v>
      </c>
      <c r="M794" t="s">
        <v>26</v>
      </c>
      <c r="N794" s="25">
        <v>42000</v>
      </c>
      <c r="O794">
        <v>1413.7339999999999</v>
      </c>
      <c r="P794">
        <v>1413.7339999999999</v>
      </c>
    </row>
    <row r="795" spans="1:16" x14ac:dyDescent="0.35">
      <c r="A795">
        <v>795</v>
      </c>
      <c r="B795" t="s">
        <v>64</v>
      </c>
      <c r="C795" t="s">
        <v>62</v>
      </c>
      <c r="D795" t="s">
        <v>66</v>
      </c>
      <c r="E795" t="s">
        <v>70</v>
      </c>
      <c r="F795">
        <v>1</v>
      </c>
      <c r="G795">
        <v>40700</v>
      </c>
      <c r="H795">
        <v>3</v>
      </c>
      <c r="I795" t="s">
        <v>67</v>
      </c>
      <c r="J795">
        <v>18</v>
      </c>
      <c r="K795" t="s">
        <v>14</v>
      </c>
      <c r="L795" t="s">
        <v>51</v>
      </c>
      <c r="M795" t="s">
        <v>38</v>
      </c>
      <c r="N795" s="25">
        <v>41861</v>
      </c>
      <c r="O795">
        <v>231.59399999999999</v>
      </c>
      <c r="P795">
        <v>231.59399999999999</v>
      </c>
    </row>
    <row r="796" spans="1:16" x14ac:dyDescent="0.35">
      <c r="A796">
        <v>796</v>
      </c>
      <c r="B796" t="s">
        <v>65</v>
      </c>
      <c r="C796" t="s">
        <v>62</v>
      </c>
      <c r="D796" t="s">
        <v>58</v>
      </c>
      <c r="E796" t="s">
        <v>2</v>
      </c>
      <c r="F796">
        <v>1</v>
      </c>
      <c r="G796">
        <v>83700</v>
      </c>
      <c r="H796">
        <v>0</v>
      </c>
      <c r="I796" t="s">
        <v>69</v>
      </c>
      <c r="J796">
        <v>18</v>
      </c>
      <c r="K796" t="s">
        <v>15</v>
      </c>
      <c r="L796" t="s">
        <v>52</v>
      </c>
      <c r="M796" t="s">
        <v>31</v>
      </c>
      <c r="N796" s="25">
        <v>41453</v>
      </c>
      <c r="O796">
        <v>1581.61</v>
      </c>
      <c r="P796">
        <v>1581.61</v>
      </c>
    </row>
    <row r="797" spans="1:16" x14ac:dyDescent="0.35">
      <c r="A797">
        <v>797</v>
      </c>
      <c r="B797" t="s">
        <v>65</v>
      </c>
      <c r="C797" t="s">
        <v>61</v>
      </c>
      <c r="D797" t="s">
        <v>58</v>
      </c>
      <c r="E797" t="s">
        <v>2</v>
      </c>
      <c r="F797">
        <v>1</v>
      </c>
      <c r="G797">
        <v>134500</v>
      </c>
      <c r="H797">
        <v>0</v>
      </c>
      <c r="I797" t="s">
        <v>69</v>
      </c>
      <c r="J797">
        <v>24</v>
      </c>
      <c r="K797" t="s">
        <v>14</v>
      </c>
      <c r="L797" t="s">
        <v>50</v>
      </c>
      <c r="M797" t="s">
        <v>35</v>
      </c>
      <c r="N797" s="25">
        <v>40467</v>
      </c>
      <c r="O797">
        <v>4557.7539999999999</v>
      </c>
      <c r="P797">
        <v>3500</v>
      </c>
    </row>
    <row r="798" spans="1:16" x14ac:dyDescent="0.35">
      <c r="A798">
        <v>798</v>
      </c>
      <c r="B798" t="s">
        <v>64</v>
      </c>
      <c r="C798" t="s">
        <v>61</v>
      </c>
      <c r="D798" t="s">
        <v>58</v>
      </c>
      <c r="E798" t="s">
        <v>70</v>
      </c>
      <c r="F798">
        <v>1</v>
      </c>
      <c r="G798">
        <v>74400</v>
      </c>
      <c r="H798">
        <v>0</v>
      </c>
      <c r="I798" t="s">
        <v>69</v>
      </c>
      <c r="J798">
        <v>12</v>
      </c>
      <c r="K798" t="s">
        <v>12</v>
      </c>
      <c r="L798" t="s">
        <v>55</v>
      </c>
      <c r="M798" t="s">
        <v>17</v>
      </c>
      <c r="N798" s="25">
        <v>42174</v>
      </c>
      <c r="O798">
        <v>1152.1030000000001</v>
      </c>
      <c r="P798">
        <v>1152.1030000000001</v>
      </c>
    </row>
    <row r="799" spans="1:16" x14ac:dyDescent="0.35">
      <c r="A799">
        <v>799</v>
      </c>
      <c r="B799" t="s">
        <v>64</v>
      </c>
      <c r="C799" t="s">
        <v>61</v>
      </c>
      <c r="D799" t="s">
        <v>58</v>
      </c>
      <c r="E799" t="s">
        <v>2</v>
      </c>
      <c r="F799">
        <v>0</v>
      </c>
      <c r="G799">
        <v>111800</v>
      </c>
      <c r="H799">
        <v>3</v>
      </c>
      <c r="I799" t="s">
        <v>69</v>
      </c>
      <c r="J799">
        <v>18</v>
      </c>
      <c r="K799" t="s">
        <v>12</v>
      </c>
      <c r="L799" t="s">
        <v>47</v>
      </c>
      <c r="M799" t="s">
        <v>16</v>
      </c>
      <c r="N799" s="25">
        <v>41247</v>
      </c>
      <c r="O799">
        <v>2065.4650000000001</v>
      </c>
      <c r="P799">
        <v>2065.4650000000001</v>
      </c>
    </row>
    <row r="800" spans="1:16" x14ac:dyDescent="0.35">
      <c r="A800">
        <v>800</v>
      </c>
      <c r="B800" t="s">
        <v>65</v>
      </c>
      <c r="C800" t="s">
        <v>62</v>
      </c>
      <c r="D800" t="s">
        <v>58</v>
      </c>
      <c r="E800" t="s">
        <v>70</v>
      </c>
      <c r="F800">
        <v>1</v>
      </c>
      <c r="G800">
        <v>39600</v>
      </c>
      <c r="H800">
        <v>0</v>
      </c>
      <c r="I800" t="s">
        <v>68</v>
      </c>
      <c r="J800">
        <v>12</v>
      </c>
      <c r="K800" t="s">
        <v>14</v>
      </c>
      <c r="L800" t="s">
        <v>49</v>
      </c>
      <c r="M800" t="s">
        <v>39</v>
      </c>
      <c r="N800" s="25">
        <v>41674</v>
      </c>
      <c r="O800">
        <v>609.62400000000002</v>
      </c>
      <c r="P800">
        <v>609.62400000000002</v>
      </c>
    </row>
    <row r="801" spans="1:16" x14ac:dyDescent="0.35">
      <c r="A801">
        <v>801</v>
      </c>
      <c r="B801" t="s">
        <v>64</v>
      </c>
      <c r="C801" t="s">
        <v>61</v>
      </c>
      <c r="D801" t="s">
        <v>58</v>
      </c>
      <c r="E801" t="s">
        <v>70</v>
      </c>
      <c r="F801">
        <v>1</v>
      </c>
      <c r="G801">
        <v>64200</v>
      </c>
      <c r="H801">
        <v>0</v>
      </c>
      <c r="I801" t="s">
        <v>69</v>
      </c>
      <c r="J801">
        <v>18</v>
      </c>
      <c r="K801" t="s">
        <v>13</v>
      </c>
      <c r="L801" t="s">
        <v>48</v>
      </c>
      <c r="M801" t="s">
        <v>27</v>
      </c>
      <c r="N801" s="25">
        <v>41796</v>
      </c>
      <c r="O801">
        <v>1641.8589999999999</v>
      </c>
      <c r="P801">
        <v>1641.8589999999999</v>
      </c>
    </row>
    <row r="802" spans="1:16" x14ac:dyDescent="0.35">
      <c r="A802">
        <v>802</v>
      </c>
      <c r="B802" t="s">
        <v>63</v>
      </c>
      <c r="C802" t="s">
        <v>62</v>
      </c>
      <c r="D802" t="s">
        <v>66</v>
      </c>
      <c r="E802" t="s">
        <v>2</v>
      </c>
      <c r="F802">
        <v>1</v>
      </c>
      <c r="G802">
        <v>40000</v>
      </c>
      <c r="H802">
        <v>0</v>
      </c>
      <c r="I802" t="s">
        <v>8</v>
      </c>
      <c r="J802">
        <v>6</v>
      </c>
      <c r="K802" t="s">
        <v>14</v>
      </c>
      <c r="L802" t="s">
        <v>50</v>
      </c>
      <c r="M802" t="s">
        <v>35</v>
      </c>
      <c r="N802" s="25">
        <v>42183</v>
      </c>
      <c r="O802">
        <v>613.32600000000002</v>
      </c>
      <c r="P802">
        <v>613.32600000000002</v>
      </c>
    </row>
    <row r="803" spans="1:16" x14ac:dyDescent="0.35">
      <c r="A803">
        <v>803</v>
      </c>
      <c r="B803" t="s">
        <v>64</v>
      </c>
      <c r="C803" t="s">
        <v>62</v>
      </c>
      <c r="D803" t="s">
        <v>58</v>
      </c>
      <c r="E803" t="s">
        <v>2</v>
      </c>
      <c r="F803">
        <v>1</v>
      </c>
      <c r="G803">
        <v>72200</v>
      </c>
      <c r="H803">
        <v>2</v>
      </c>
      <c r="I803" t="s">
        <v>68</v>
      </c>
      <c r="J803">
        <v>18</v>
      </c>
      <c r="K803" t="s">
        <v>13</v>
      </c>
      <c r="L803" t="s">
        <v>48</v>
      </c>
      <c r="M803" t="s">
        <v>27</v>
      </c>
      <c r="N803" s="25">
        <v>41788</v>
      </c>
      <c r="O803">
        <v>714.55499999999995</v>
      </c>
      <c r="P803">
        <v>714.55499999999995</v>
      </c>
    </row>
    <row r="804" spans="1:16" x14ac:dyDescent="0.35">
      <c r="A804">
        <v>804</v>
      </c>
      <c r="B804" t="s">
        <v>64</v>
      </c>
      <c r="C804" t="s">
        <v>62</v>
      </c>
      <c r="D804" t="s">
        <v>66</v>
      </c>
      <c r="E804" t="s">
        <v>2</v>
      </c>
      <c r="F804">
        <v>1</v>
      </c>
      <c r="G804">
        <v>79900</v>
      </c>
      <c r="H804">
        <v>1</v>
      </c>
      <c r="I804" t="s">
        <v>68</v>
      </c>
      <c r="J804">
        <v>12</v>
      </c>
      <c r="K804" t="s">
        <v>13</v>
      </c>
      <c r="L804" t="s">
        <v>45</v>
      </c>
      <c r="M804" t="s">
        <v>26</v>
      </c>
      <c r="N804" s="25">
        <v>40237</v>
      </c>
      <c r="O804">
        <v>1041.4090000000001</v>
      </c>
      <c r="P804">
        <v>1041.4090000000001</v>
      </c>
    </row>
    <row r="805" spans="1:16" x14ac:dyDescent="0.35">
      <c r="A805">
        <v>805</v>
      </c>
      <c r="B805" t="s">
        <v>65</v>
      </c>
      <c r="C805" t="s">
        <v>61</v>
      </c>
      <c r="D805" t="s">
        <v>58</v>
      </c>
      <c r="E805" t="s">
        <v>2</v>
      </c>
      <c r="F805">
        <v>1</v>
      </c>
      <c r="G805">
        <v>77300</v>
      </c>
      <c r="H805">
        <v>0</v>
      </c>
      <c r="I805" t="s">
        <v>69</v>
      </c>
      <c r="J805">
        <v>18</v>
      </c>
      <c r="K805" t="s">
        <v>15</v>
      </c>
      <c r="L805" t="s">
        <v>52</v>
      </c>
      <c r="M805" t="s">
        <v>31</v>
      </c>
      <c r="N805" s="25">
        <v>41267</v>
      </c>
      <c r="O805">
        <v>1853.2809999999999</v>
      </c>
      <c r="P805">
        <v>1853.2809999999999</v>
      </c>
    </row>
    <row r="806" spans="1:16" x14ac:dyDescent="0.35">
      <c r="A806">
        <v>806</v>
      </c>
      <c r="B806" t="s">
        <v>64</v>
      </c>
      <c r="C806" t="s">
        <v>61</v>
      </c>
      <c r="D806" t="s">
        <v>58</v>
      </c>
      <c r="E806" t="s">
        <v>2</v>
      </c>
      <c r="F806">
        <v>1</v>
      </c>
      <c r="G806">
        <v>98500</v>
      </c>
      <c r="H806">
        <v>0</v>
      </c>
      <c r="I806" t="s">
        <v>69</v>
      </c>
      <c r="J806">
        <v>18</v>
      </c>
      <c r="K806" t="s">
        <v>14</v>
      </c>
      <c r="L806" t="s">
        <v>40</v>
      </c>
      <c r="M806" t="s">
        <v>37</v>
      </c>
      <c r="N806" s="25">
        <v>39843</v>
      </c>
      <c r="O806">
        <v>2033.9570000000001</v>
      </c>
      <c r="P806">
        <v>2033.9570000000001</v>
      </c>
    </row>
    <row r="807" spans="1:16" x14ac:dyDescent="0.35">
      <c r="A807">
        <v>807</v>
      </c>
      <c r="B807" t="s">
        <v>64</v>
      </c>
      <c r="C807" t="s">
        <v>62</v>
      </c>
      <c r="D807" t="s">
        <v>66</v>
      </c>
      <c r="E807" t="s">
        <v>2</v>
      </c>
      <c r="F807">
        <v>1</v>
      </c>
      <c r="G807">
        <v>93500</v>
      </c>
      <c r="H807">
        <v>1</v>
      </c>
      <c r="I807" t="s">
        <v>69</v>
      </c>
      <c r="J807">
        <v>18</v>
      </c>
      <c r="K807" t="s">
        <v>15</v>
      </c>
      <c r="L807" t="s">
        <v>28</v>
      </c>
      <c r="M807" t="s">
        <v>28</v>
      </c>
      <c r="N807" s="25">
        <v>39944</v>
      </c>
      <c r="O807">
        <v>1425.9690000000001</v>
      </c>
      <c r="P807">
        <v>1425.9690000000001</v>
      </c>
    </row>
    <row r="808" spans="1:16" x14ac:dyDescent="0.35">
      <c r="A808">
        <v>808</v>
      </c>
      <c r="B808" t="s">
        <v>64</v>
      </c>
      <c r="C808" t="s">
        <v>62</v>
      </c>
      <c r="D808" t="s">
        <v>66</v>
      </c>
      <c r="E808" t="s">
        <v>70</v>
      </c>
      <c r="F808">
        <v>0</v>
      </c>
      <c r="G808">
        <v>49500</v>
      </c>
      <c r="H808">
        <v>2</v>
      </c>
      <c r="I808" t="s">
        <v>68</v>
      </c>
      <c r="J808">
        <v>12</v>
      </c>
      <c r="K808" t="s">
        <v>15</v>
      </c>
      <c r="L808" t="s">
        <v>42</v>
      </c>
      <c r="M808" t="s">
        <v>32</v>
      </c>
      <c r="N808" s="25">
        <v>40804</v>
      </c>
      <c r="O808">
        <v>1195</v>
      </c>
      <c r="P808">
        <v>1195</v>
      </c>
    </row>
    <row r="809" spans="1:16" x14ac:dyDescent="0.35">
      <c r="A809">
        <v>809</v>
      </c>
      <c r="B809" t="s">
        <v>64</v>
      </c>
      <c r="C809" t="s">
        <v>61</v>
      </c>
      <c r="D809" t="s">
        <v>58</v>
      </c>
      <c r="E809" t="s">
        <v>2</v>
      </c>
      <c r="F809">
        <v>1</v>
      </c>
      <c r="G809">
        <v>127000</v>
      </c>
      <c r="H809">
        <v>0</v>
      </c>
      <c r="I809" t="s">
        <v>8</v>
      </c>
      <c r="J809">
        <v>12</v>
      </c>
      <c r="K809" t="s">
        <v>14</v>
      </c>
      <c r="L809" t="s">
        <v>50</v>
      </c>
      <c r="M809" t="s">
        <v>35</v>
      </c>
      <c r="N809" s="25">
        <v>42005</v>
      </c>
      <c r="O809">
        <v>1821.011</v>
      </c>
      <c r="P809">
        <v>1821.011</v>
      </c>
    </row>
    <row r="810" spans="1:16" x14ac:dyDescent="0.35">
      <c r="A810">
        <v>810</v>
      </c>
      <c r="B810" t="s">
        <v>64</v>
      </c>
      <c r="C810" t="s">
        <v>61</v>
      </c>
      <c r="D810" t="s">
        <v>58</v>
      </c>
      <c r="E810" t="s">
        <v>2</v>
      </c>
      <c r="F810">
        <v>1</v>
      </c>
      <c r="G810">
        <v>95100</v>
      </c>
      <c r="H810">
        <v>2</v>
      </c>
      <c r="I810" t="s">
        <v>68</v>
      </c>
      <c r="J810">
        <v>12</v>
      </c>
      <c r="K810" t="s">
        <v>15</v>
      </c>
      <c r="L810" t="s">
        <v>28</v>
      </c>
      <c r="M810" t="s">
        <v>33</v>
      </c>
      <c r="N810" s="25">
        <v>42064</v>
      </c>
      <c r="O810">
        <v>808.93100000000004</v>
      </c>
      <c r="P810">
        <v>808.93100000000004</v>
      </c>
    </row>
    <row r="811" spans="1:16" x14ac:dyDescent="0.35">
      <c r="A811">
        <v>811</v>
      </c>
      <c r="B811" t="s">
        <v>63</v>
      </c>
      <c r="C811" t="s">
        <v>62</v>
      </c>
      <c r="D811" t="s">
        <v>66</v>
      </c>
      <c r="E811" t="s">
        <v>70</v>
      </c>
      <c r="F811">
        <v>0</v>
      </c>
      <c r="G811">
        <v>18400</v>
      </c>
      <c r="H811">
        <v>1</v>
      </c>
      <c r="I811" t="s">
        <v>67</v>
      </c>
      <c r="J811">
        <v>12</v>
      </c>
      <c r="K811" t="s">
        <v>14</v>
      </c>
      <c r="L811" t="s">
        <v>50</v>
      </c>
      <c r="M811" t="s">
        <v>34</v>
      </c>
      <c r="N811" s="25">
        <v>42096</v>
      </c>
      <c r="O811">
        <v>662.41499999999996</v>
      </c>
      <c r="P811">
        <v>662.41499999999996</v>
      </c>
    </row>
    <row r="812" spans="1:16" x14ac:dyDescent="0.35">
      <c r="A812">
        <v>812</v>
      </c>
      <c r="B812" t="s">
        <v>63</v>
      </c>
      <c r="C812" t="s">
        <v>62</v>
      </c>
      <c r="D812" t="s">
        <v>66</v>
      </c>
      <c r="E812" t="s">
        <v>70</v>
      </c>
      <c r="F812">
        <v>0</v>
      </c>
      <c r="G812">
        <v>13500</v>
      </c>
      <c r="H812">
        <v>2</v>
      </c>
      <c r="I812" t="s">
        <v>67</v>
      </c>
      <c r="J812">
        <v>12</v>
      </c>
      <c r="K812" t="s">
        <v>13</v>
      </c>
      <c r="L812" t="s">
        <v>56</v>
      </c>
      <c r="M812" t="s">
        <v>24</v>
      </c>
      <c r="N812" s="25">
        <v>40300</v>
      </c>
      <c r="O812">
        <v>159.60400000000001</v>
      </c>
      <c r="P812">
        <v>159.60400000000001</v>
      </c>
    </row>
    <row r="813" spans="1:16" x14ac:dyDescent="0.35">
      <c r="A813">
        <v>813</v>
      </c>
      <c r="B813" t="s">
        <v>64</v>
      </c>
      <c r="C813" t="s">
        <v>61</v>
      </c>
      <c r="D813" t="s">
        <v>66</v>
      </c>
      <c r="E813" t="s">
        <v>70</v>
      </c>
      <c r="F813">
        <v>1</v>
      </c>
      <c r="G813">
        <v>43800</v>
      </c>
      <c r="H813">
        <v>0</v>
      </c>
      <c r="I813" t="s">
        <v>68</v>
      </c>
      <c r="J813">
        <v>12</v>
      </c>
      <c r="K813" t="s">
        <v>15</v>
      </c>
      <c r="L813" t="s">
        <v>28</v>
      </c>
      <c r="M813" t="s">
        <v>28</v>
      </c>
      <c r="N813" s="25">
        <v>40889</v>
      </c>
      <c r="O813">
        <v>605.54100000000005</v>
      </c>
      <c r="P813">
        <v>605.54100000000005</v>
      </c>
    </row>
    <row r="814" spans="1:16" x14ac:dyDescent="0.35">
      <c r="A814">
        <v>814</v>
      </c>
      <c r="B814" t="s">
        <v>65</v>
      </c>
      <c r="C814" t="s">
        <v>61</v>
      </c>
      <c r="D814" t="s">
        <v>58</v>
      </c>
      <c r="E814" t="s">
        <v>2</v>
      </c>
      <c r="F814">
        <v>1</v>
      </c>
      <c r="G814">
        <v>66300</v>
      </c>
      <c r="H814">
        <v>0</v>
      </c>
      <c r="I814" t="s">
        <v>69</v>
      </c>
      <c r="J814">
        <v>12</v>
      </c>
      <c r="K814" t="s">
        <v>15</v>
      </c>
      <c r="L814" t="s">
        <v>28</v>
      </c>
      <c r="M814" t="s">
        <v>28</v>
      </c>
      <c r="N814" s="25">
        <v>40229</v>
      </c>
      <c r="O814">
        <v>1087.79</v>
      </c>
      <c r="P814">
        <v>1087.79</v>
      </c>
    </row>
    <row r="815" spans="1:16" x14ac:dyDescent="0.35">
      <c r="A815">
        <v>815</v>
      </c>
      <c r="B815" t="s">
        <v>63</v>
      </c>
      <c r="C815" t="s">
        <v>62</v>
      </c>
      <c r="D815" t="s">
        <v>66</v>
      </c>
      <c r="E815" t="s">
        <v>70</v>
      </c>
      <c r="F815">
        <v>1</v>
      </c>
      <c r="G815">
        <v>18800</v>
      </c>
      <c r="H815">
        <v>2</v>
      </c>
      <c r="I815" t="s">
        <v>67</v>
      </c>
      <c r="J815">
        <v>18</v>
      </c>
      <c r="K815" t="s">
        <v>13</v>
      </c>
      <c r="L815" t="s">
        <v>43</v>
      </c>
      <c r="M815" t="s">
        <v>23</v>
      </c>
      <c r="N815" s="25">
        <v>40210</v>
      </c>
      <c r="O815">
        <v>170.48099999999999</v>
      </c>
      <c r="P815">
        <v>170.48099999999999</v>
      </c>
    </row>
    <row r="816" spans="1:16" x14ac:dyDescent="0.35">
      <c r="A816">
        <v>816</v>
      </c>
      <c r="B816" t="s">
        <v>64</v>
      </c>
      <c r="C816" t="s">
        <v>61</v>
      </c>
      <c r="D816" t="s">
        <v>66</v>
      </c>
      <c r="E816" t="s">
        <v>70</v>
      </c>
      <c r="F816">
        <v>1</v>
      </c>
      <c r="G816">
        <v>53900</v>
      </c>
      <c r="H816">
        <v>0</v>
      </c>
      <c r="I816" t="s">
        <v>68</v>
      </c>
      <c r="J816">
        <v>12</v>
      </c>
      <c r="K816" t="s">
        <v>13</v>
      </c>
      <c r="L816" t="s">
        <v>46</v>
      </c>
      <c r="M816" t="s">
        <v>22</v>
      </c>
      <c r="N816" s="25">
        <v>41540</v>
      </c>
      <c r="O816">
        <v>1060.307</v>
      </c>
      <c r="P816">
        <v>1060.307</v>
      </c>
    </row>
    <row r="817" spans="1:16" x14ac:dyDescent="0.35">
      <c r="A817">
        <v>817</v>
      </c>
      <c r="B817" t="s">
        <v>64</v>
      </c>
      <c r="C817" t="s">
        <v>61</v>
      </c>
      <c r="D817" t="s">
        <v>58</v>
      </c>
      <c r="E817" t="s">
        <v>70</v>
      </c>
      <c r="F817">
        <v>1</v>
      </c>
      <c r="G817">
        <v>45800</v>
      </c>
      <c r="H817">
        <v>0</v>
      </c>
      <c r="I817" t="s">
        <v>8</v>
      </c>
      <c r="J817">
        <v>6</v>
      </c>
      <c r="K817" t="s">
        <v>14</v>
      </c>
      <c r="L817" t="s">
        <v>40</v>
      </c>
      <c r="M817" t="s">
        <v>37</v>
      </c>
      <c r="N817" s="25">
        <v>42207</v>
      </c>
      <c r="O817">
        <v>711.90800000000002</v>
      </c>
      <c r="P817">
        <v>711.90800000000002</v>
      </c>
    </row>
    <row r="818" spans="1:16" x14ac:dyDescent="0.35">
      <c r="A818">
        <v>818</v>
      </c>
      <c r="B818" t="s">
        <v>63</v>
      </c>
      <c r="C818" t="s">
        <v>61</v>
      </c>
      <c r="D818" t="s">
        <v>66</v>
      </c>
      <c r="E818" t="s">
        <v>70</v>
      </c>
      <c r="F818">
        <v>0</v>
      </c>
      <c r="G818">
        <v>19000</v>
      </c>
      <c r="H818">
        <v>0</v>
      </c>
      <c r="I818" t="s">
        <v>8</v>
      </c>
      <c r="J818">
        <v>12</v>
      </c>
      <c r="K818" t="s">
        <v>12</v>
      </c>
      <c r="L818" t="s">
        <v>47</v>
      </c>
      <c r="M818" t="s">
        <v>16</v>
      </c>
      <c r="N818" s="25">
        <v>42126</v>
      </c>
      <c r="O818">
        <v>427.68299999999999</v>
      </c>
      <c r="P818">
        <v>427.68299999999999</v>
      </c>
    </row>
    <row r="819" spans="1:16" x14ac:dyDescent="0.35">
      <c r="A819">
        <v>819</v>
      </c>
      <c r="B819" t="s">
        <v>63</v>
      </c>
      <c r="C819" t="s">
        <v>62</v>
      </c>
      <c r="D819" t="s">
        <v>66</v>
      </c>
      <c r="E819" t="s">
        <v>2</v>
      </c>
      <c r="F819">
        <v>1</v>
      </c>
      <c r="G819">
        <v>25500</v>
      </c>
      <c r="H819">
        <v>2</v>
      </c>
      <c r="I819" t="s">
        <v>67</v>
      </c>
      <c r="J819">
        <v>6</v>
      </c>
      <c r="K819" t="s">
        <v>15</v>
      </c>
      <c r="L819" t="s">
        <v>28</v>
      </c>
      <c r="M819" t="s">
        <v>28</v>
      </c>
      <c r="N819" s="25">
        <v>42228</v>
      </c>
      <c r="O819">
        <v>138.626</v>
      </c>
      <c r="P819">
        <v>138.626</v>
      </c>
    </row>
    <row r="820" spans="1:16" x14ac:dyDescent="0.35">
      <c r="A820">
        <v>820</v>
      </c>
      <c r="B820" t="s">
        <v>65</v>
      </c>
      <c r="C820" t="s">
        <v>62</v>
      </c>
      <c r="D820" t="s">
        <v>66</v>
      </c>
      <c r="E820" t="s">
        <v>2</v>
      </c>
      <c r="F820">
        <v>0</v>
      </c>
      <c r="G820">
        <v>64600</v>
      </c>
      <c r="H820">
        <v>0</v>
      </c>
      <c r="I820" t="s">
        <v>69</v>
      </c>
      <c r="J820">
        <v>18</v>
      </c>
      <c r="K820" t="s">
        <v>15</v>
      </c>
      <c r="L820" t="s">
        <v>52</v>
      </c>
      <c r="M820" t="s">
        <v>30</v>
      </c>
      <c r="N820" s="25">
        <v>41262</v>
      </c>
      <c r="O820">
        <v>2205.806</v>
      </c>
      <c r="P820">
        <v>2205.806</v>
      </c>
    </row>
    <row r="821" spans="1:16" x14ac:dyDescent="0.35">
      <c r="A821">
        <v>821</v>
      </c>
      <c r="B821" t="s">
        <v>64</v>
      </c>
      <c r="C821" t="s">
        <v>61</v>
      </c>
      <c r="D821" t="s">
        <v>58</v>
      </c>
      <c r="E821" t="s">
        <v>2</v>
      </c>
      <c r="F821">
        <v>1</v>
      </c>
      <c r="G821">
        <v>82100</v>
      </c>
      <c r="H821">
        <v>1</v>
      </c>
      <c r="I821" t="s">
        <v>69</v>
      </c>
      <c r="J821">
        <v>18</v>
      </c>
      <c r="K821" t="s">
        <v>13</v>
      </c>
      <c r="L821" t="s">
        <v>42</v>
      </c>
      <c r="M821" t="s">
        <v>25</v>
      </c>
      <c r="N821" s="25">
        <v>40904</v>
      </c>
      <c r="O821">
        <v>1307.874</v>
      </c>
      <c r="P821">
        <v>1307.874</v>
      </c>
    </row>
    <row r="822" spans="1:16" x14ac:dyDescent="0.35">
      <c r="A822">
        <v>822</v>
      </c>
      <c r="B822" t="s">
        <v>65</v>
      </c>
      <c r="C822" t="s">
        <v>61</v>
      </c>
      <c r="D822" t="s">
        <v>58</v>
      </c>
      <c r="E822" t="s">
        <v>70</v>
      </c>
      <c r="F822">
        <v>1</v>
      </c>
      <c r="G822">
        <v>51400</v>
      </c>
      <c r="H822">
        <v>0</v>
      </c>
      <c r="I822" t="s">
        <v>8</v>
      </c>
      <c r="J822">
        <v>6</v>
      </c>
      <c r="K822" t="s">
        <v>12</v>
      </c>
      <c r="L822" t="s">
        <v>47</v>
      </c>
      <c r="M822" t="s">
        <v>18</v>
      </c>
      <c r="N822" s="25">
        <v>42050</v>
      </c>
      <c r="O822">
        <v>694.45500000000004</v>
      </c>
      <c r="P822">
        <v>694.45500000000004</v>
      </c>
    </row>
    <row r="823" spans="1:16" x14ac:dyDescent="0.35">
      <c r="A823">
        <v>823</v>
      </c>
      <c r="B823" t="s">
        <v>64</v>
      </c>
      <c r="C823" t="s">
        <v>61</v>
      </c>
      <c r="D823" t="s">
        <v>66</v>
      </c>
      <c r="E823" t="s">
        <v>70</v>
      </c>
      <c r="F823">
        <v>0</v>
      </c>
      <c r="G823">
        <v>65400</v>
      </c>
      <c r="H823">
        <v>0</v>
      </c>
      <c r="I823" t="s">
        <v>69</v>
      </c>
      <c r="J823">
        <v>12</v>
      </c>
      <c r="K823" t="s">
        <v>13</v>
      </c>
      <c r="L823" t="s">
        <v>43</v>
      </c>
      <c r="M823" t="s">
        <v>23</v>
      </c>
      <c r="N823" s="25">
        <v>40041</v>
      </c>
      <c r="O823">
        <v>2296.453</v>
      </c>
      <c r="P823">
        <v>2296.453</v>
      </c>
    </row>
    <row r="824" spans="1:16" x14ac:dyDescent="0.35">
      <c r="A824">
        <v>824</v>
      </c>
      <c r="B824" t="s">
        <v>64</v>
      </c>
      <c r="C824" t="s">
        <v>62</v>
      </c>
      <c r="D824" t="s">
        <v>66</v>
      </c>
      <c r="E824" t="s">
        <v>2</v>
      </c>
      <c r="F824">
        <v>0</v>
      </c>
      <c r="G824">
        <v>60100</v>
      </c>
      <c r="H824">
        <v>1</v>
      </c>
      <c r="I824" t="s">
        <v>69</v>
      </c>
      <c r="J824">
        <v>18</v>
      </c>
      <c r="K824" t="s">
        <v>15</v>
      </c>
      <c r="L824" t="s">
        <v>28</v>
      </c>
      <c r="M824" t="s">
        <v>33</v>
      </c>
      <c r="N824" s="25">
        <v>41854</v>
      </c>
      <c r="O824">
        <v>1430.491</v>
      </c>
      <c r="P824">
        <v>1430.491</v>
      </c>
    </row>
    <row r="825" spans="1:16" x14ac:dyDescent="0.35">
      <c r="A825">
        <v>825</v>
      </c>
      <c r="B825" t="s">
        <v>65</v>
      </c>
      <c r="C825" t="s">
        <v>62</v>
      </c>
      <c r="D825" t="s">
        <v>58</v>
      </c>
      <c r="E825" t="s">
        <v>2</v>
      </c>
      <c r="F825">
        <v>1</v>
      </c>
      <c r="G825">
        <v>77600</v>
      </c>
      <c r="H825">
        <v>0</v>
      </c>
      <c r="I825" t="s">
        <v>69</v>
      </c>
      <c r="J825">
        <v>18</v>
      </c>
      <c r="K825" t="s">
        <v>12</v>
      </c>
      <c r="L825" t="s">
        <v>47</v>
      </c>
      <c r="M825" t="s">
        <v>18</v>
      </c>
      <c r="N825" s="25">
        <v>41753</v>
      </c>
      <c r="O825">
        <v>2004.491</v>
      </c>
      <c r="P825">
        <v>2004.491</v>
      </c>
    </row>
    <row r="826" spans="1:16" x14ac:dyDescent="0.35">
      <c r="A826">
        <v>826</v>
      </c>
      <c r="B826" t="s">
        <v>63</v>
      </c>
      <c r="C826" t="s">
        <v>61</v>
      </c>
      <c r="D826" t="s">
        <v>66</v>
      </c>
      <c r="E826" t="s">
        <v>2</v>
      </c>
      <c r="F826">
        <v>1</v>
      </c>
      <c r="G826">
        <v>69700</v>
      </c>
      <c r="H826">
        <v>1</v>
      </c>
      <c r="I826" t="s">
        <v>68</v>
      </c>
      <c r="J826">
        <v>12</v>
      </c>
      <c r="K826" t="s">
        <v>15</v>
      </c>
      <c r="L826" t="s">
        <v>52</v>
      </c>
      <c r="M826" t="s">
        <v>30</v>
      </c>
      <c r="N826" s="25">
        <v>40474</v>
      </c>
      <c r="O826">
        <v>1432.328</v>
      </c>
      <c r="P826">
        <v>1432.328</v>
      </c>
    </row>
    <row r="827" spans="1:16" x14ac:dyDescent="0.35">
      <c r="A827">
        <v>827</v>
      </c>
      <c r="B827" t="s">
        <v>63</v>
      </c>
      <c r="C827" t="s">
        <v>62</v>
      </c>
      <c r="D827" t="s">
        <v>66</v>
      </c>
      <c r="E827" t="s">
        <v>70</v>
      </c>
      <c r="F827">
        <v>0</v>
      </c>
      <c r="G827">
        <v>17300</v>
      </c>
      <c r="H827">
        <v>0</v>
      </c>
      <c r="I827" t="s">
        <v>67</v>
      </c>
      <c r="J827">
        <v>6</v>
      </c>
      <c r="K827" t="s">
        <v>13</v>
      </c>
      <c r="L827" t="s">
        <v>46</v>
      </c>
      <c r="M827" t="s">
        <v>22</v>
      </c>
      <c r="N827" s="25">
        <v>40997</v>
      </c>
      <c r="O827">
        <v>410.64499999999998</v>
      </c>
      <c r="P827">
        <v>410.64499999999998</v>
      </c>
    </row>
    <row r="828" spans="1:16" x14ac:dyDescent="0.35">
      <c r="A828">
        <v>828</v>
      </c>
      <c r="B828" t="s">
        <v>64</v>
      </c>
      <c r="C828" t="s">
        <v>62</v>
      </c>
      <c r="D828" t="s">
        <v>66</v>
      </c>
      <c r="E828" t="s">
        <v>2</v>
      </c>
      <c r="F828">
        <v>1</v>
      </c>
      <c r="G828">
        <v>66500</v>
      </c>
      <c r="H828">
        <v>1</v>
      </c>
      <c r="I828" t="s">
        <v>8</v>
      </c>
      <c r="J828">
        <v>24</v>
      </c>
      <c r="K828" t="s">
        <v>15</v>
      </c>
      <c r="L828" t="s">
        <v>44</v>
      </c>
      <c r="M828" t="s">
        <v>29</v>
      </c>
      <c r="N828" s="25">
        <v>42124</v>
      </c>
      <c r="O828">
        <v>1180.9770000000001</v>
      </c>
      <c r="P828">
        <v>1180.9770000000001</v>
      </c>
    </row>
    <row r="829" spans="1:16" x14ac:dyDescent="0.35">
      <c r="A829">
        <v>829</v>
      </c>
      <c r="B829" t="s">
        <v>63</v>
      </c>
      <c r="C829" t="s">
        <v>62</v>
      </c>
      <c r="D829" t="s">
        <v>66</v>
      </c>
      <c r="E829" t="s">
        <v>70</v>
      </c>
      <c r="F829">
        <v>0</v>
      </c>
      <c r="G829">
        <v>20700</v>
      </c>
      <c r="H829">
        <v>1</v>
      </c>
      <c r="I829" t="s">
        <v>67</v>
      </c>
      <c r="J829">
        <v>12</v>
      </c>
      <c r="K829" t="s">
        <v>13</v>
      </c>
      <c r="L829" t="s">
        <v>45</v>
      </c>
      <c r="M829" t="s">
        <v>26</v>
      </c>
      <c r="N829" s="25">
        <v>40509</v>
      </c>
      <c r="O829">
        <v>549.53700000000003</v>
      </c>
      <c r="P829">
        <v>549.53700000000003</v>
      </c>
    </row>
    <row r="830" spans="1:16" x14ac:dyDescent="0.35">
      <c r="A830">
        <v>830</v>
      </c>
      <c r="B830" t="s">
        <v>63</v>
      </c>
      <c r="C830" t="s">
        <v>62</v>
      </c>
      <c r="D830" t="s">
        <v>66</v>
      </c>
      <c r="E830" t="s">
        <v>70</v>
      </c>
      <c r="F830">
        <v>1</v>
      </c>
      <c r="G830">
        <v>13100</v>
      </c>
      <c r="H830">
        <v>0</v>
      </c>
      <c r="I830" t="s">
        <v>8</v>
      </c>
      <c r="J830">
        <v>18</v>
      </c>
      <c r="K830" t="s">
        <v>14</v>
      </c>
      <c r="L830" t="s">
        <v>49</v>
      </c>
      <c r="M830" t="s">
        <v>39</v>
      </c>
      <c r="N830" s="25">
        <v>42122</v>
      </c>
      <c r="O830">
        <v>314.02800000000002</v>
      </c>
      <c r="P830">
        <v>314.02800000000002</v>
      </c>
    </row>
    <row r="831" spans="1:16" x14ac:dyDescent="0.35">
      <c r="A831">
        <v>831</v>
      </c>
      <c r="B831" t="s">
        <v>64</v>
      </c>
      <c r="C831" t="s">
        <v>61</v>
      </c>
      <c r="D831" t="s">
        <v>58</v>
      </c>
      <c r="E831" t="s">
        <v>2</v>
      </c>
      <c r="F831">
        <v>1</v>
      </c>
      <c r="G831">
        <v>77700</v>
      </c>
      <c r="H831">
        <v>0</v>
      </c>
      <c r="I831" t="s">
        <v>8</v>
      </c>
      <c r="J831">
        <v>6</v>
      </c>
      <c r="K831" t="s">
        <v>15</v>
      </c>
      <c r="L831" t="s">
        <v>28</v>
      </c>
      <c r="M831" t="s">
        <v>28</v>
      </c>
      <c r="N831" s="25">
        <v>42079</v>
      </c>
      <c r="O831">
        <v>983.21</v>
      </c>
      <c r="P831">
        <v>983.21</v>
      </c>
    </row>
    <row r="832" spans="1:16" x14ac:dyDescent="0.35">
      <c r="A832">
        <v>832</v>
      </c>
      <c r="B832" t="s">
        <v>64</v>
      </c>
      <c r="C832" t="s">
        <v>61</v>
      </c>
      <c r="D832" t="s">
        <v>58</v>
      </c>
      <c r="E832" t="s">
        <v>2</v>
      </c>
      <c r="F832">
        <v>1</v>
      </c>
      <c r="G832">
        <v>65800</v>
      </c>
      <c r="H832">
        <v>1</v>
      </c>
      <c r="I832" t="s">
        <v>8</v>
      </c>
      <c r="J832">
        <v>12</v>
      </c>
      <c r="K832" t="s">
        <v>13</v>
      </c>
      <c r="L832" t="s">
        <v>56</v>
      </c>
      <c r="M832" t="s">
        <v>24</v>
      </c>
      <c r="N832" s="25">
        <v>42019</v>
      </c>
      <c r="O832">
        <v>1016.741</v>
      </c>
      <c r="P832">
        <v>1016.741</v>
      </c>
    </row>
    <row r="833" spans="1:16" x14ac:dyDescent="0.35">
      <c r="A833">
        <v>833</v>
      </c>
      <c r="B833" t="s">
        <v>63</v>
      </c>
      <c r="C833" t="s">
        <v>61</v>
      </c>
      <c r="D833" t="s">
        <v>66</v>
      </c>
      <c r="E833" t="s">
        <v>70</v>
      </c>
      <c r="F833">
        <v>1</v>
      </c>
      <c r="G833">
        <v>21300</v>
      </c>
      <c r="H833">
        <v>0</v>
      </c>
      <c r="I833" t="s">
        <v>67</v>
      </c>
      <c r="J833">
        <v>24</v>
      </c>
      <c r="K833" t="s">
        <v>12</v>
      </c>
      <c r="L833" t="s">
        <v>53</v>
      </c>
      <c r="M833" t="s">
        <v>19</v>
      </c>
      <c r="N833" s="25">
        <v>41287</v>
      </c>
      <c r="O833">
        <v>676.76499999999999</v>
      </c>
      <c r="P833">
        <v>676.76499999999999</v>
      </c>
    </row>
    <row r="834" spans="1:16" x14ac:dyDescent="0.35">
      <c r="A834">
        <v>834</v>
      </c>
      <c r="B834" t="s">
        <v>65</v>
      </c>
      <c r="C834" t="s">
        <v>62</v>
      </c>
      <c r="D834" t="s">
        <v>66</v>
      </c>
      <c r="E834" t="s">
        <v>70</v>
      </c>
      <c r="F834">
        <v>0</v>
      </c>
      <c r="G834">
        <v>19700</v>
      </c>
      <c r="H834">
        <v>0</v>
      </c>
      <c r="I834" t="s">
        <v>67</v>
      </c>
      <c r="J834">
        <v>6</v>
      </c>
      <c r="K834" t="s">
        <v>14</v>
      </c>
      <c r="L834" t="s">
        <v>49</v>
      </c>
      <c r="M834" t="s">
        <v>39</v>
      </c>
      <c r="N834" s="25">
        <v>41927</v>
      </c>
      <c r="O834">
        <v>535.46299999999997</v>
      </c>
      <c r="P834">
        <v>535.46299999999997</v>
      </c>
    </row>
    <row r="835" spans="1:16" x14ac:dyDescent="0.35">
      <c r="A835">
        <v>835</v>
      </c>
      <c r="B835" t="s">
        <v>63</v>
      </c>
      <c r="C835" t="s">
        <v>61</v>
      </c>
      <c r="D835" t="s">
        <v>66</v>
      </c>
      <c r="E835" t="s">
        <v>70</v>
      </c>
      <c r="F835">
        <v>1</v>
      </c>
      <c r="G835">
        <v>17900</v>
      </c>
      <c r="H835">
        <v>0</v>
      </c>
      <c r="I835" t="s">
        <v>8</v>
      </c>
      <c r="J835">
        <v>18</v>
      </c>
      <c r="K835" t="s">
        <v>13</v>
      </c>
      <c r="L835" t="s">
        <v>45</v>
      </c>
      <c r="M835" t="s">
        <v>26</v>
      </c>
      <c r="N835" s="25">
        <v>42005</v>
      </c>
      <c r="O835">
        <v>395.15699999999998</v>
      </c>
      <c r="P835">
        <v>395.15699999999998</v>
      </c>
    </row>
    <row r="836" spans="1:16" x14ac:dyDescent="0.35">
      <c r="A836">
        <v>836</v>
      </c>
      <c r="B836" t="s">
        <v>65</v>
      </c>
      <c r="C836" t="s">
        <v>61</v>
      </c>
      <c r="D836" t="s">
        <v>58</v>
      </c>
      <c r="E836" t="s">
        <v>2</v>
      </c>
      <c r="F836">
        <v>1</v>
      </c>
      <c r="G836">
        <v>116100</v>
      </c>
      <c r="H836">
        <v>1</v>
      </c>
      <c r="I836" t="s">
        <v>69</v>
      </c>
      <c r="J836">
        <v>24</v>
      </c>
      <c r="K836" t="s">
        <v>12</v>
      </c>
      <c r="L836" t="s">
        <v>54</v>
      </c>
      <c r="M836" t="s">
        <v>21</v>
      </c>
      <c r="N836" s="25">
        <v>41617</v>
      </c>
      <c r="O836">
        <v>2975.17</v>
      </c>
      <c r="P836">
        <v>2975.17</v>
      </c>
    </row>
    <row r="837" spans="1:16" x14ac:dyDescent="0.35">
      <c r="A837">
        <v>837</v>
      </c>
      <c r="B837" t="s">
        <v>64</v>
      </c>
      <c r="C837" t="s">
        <v>61</v>
      </c>
      <c r="D837" t="s">
        <v>58</v>
      </c>
      <c r="E837" t="s">
        <v>70</v>
      </c>
      <c r="F837">
        <v>1</v>
      </c>
      <c r="G837">
        <v>62700</v>
      </c>
      <c r="H837">
        <v>2</v>
      </c>
      <c r="I837" t="s">
        <v>68</v>
      </c>
      <c r="J837">
        <v>12</v>
      </c>
      <c r="K837" t="s">
        <v>13</v>
      </c>
      <c r="L837" t="s">
        <v>48</v>
      </c>
      <c r="M837" t="s">
        <v>27</v>
      </c>
      <c r="N837" s="25">
        <v>42066</v>
      </c>
      <c r="O837">
        <v>703.95500000000004</v>
      </c>
      <c r="P837">
        <v>703.95500000000004</v>
      </c>
    </row>
    <row r="838" spans="1:16" x14ac:dyDescent="0.35">
      <c r="A838">
        <v>838</v>
      </c>
      <c r="B838" t="s">
        <v>63</v>
      </c>
      <c r="C838" t="s">
        <v>61</v>
      </c>
      <c r="D838" t="s">
        <v>66</v>
      </c>
      <c r="E838" t="s">
        <v>70</v>
      </c>
      <c r="F838">
        <v>0</v>
      </c>
      <c r="G838">
        <v>25300</v>
      </c>
      <c r="H838">
        <v>0</v>
      </c>
      <c r="I838" t="s">
        <v>68</v>
      </c>
      <c r="J838">
        <v>12</v>
      </c>
      <c r="K838" t="s">
        <v>14</v>
      </c>
      <c r="L838" t="s">
        <v>50</v>
      </c>
      <c r="M838" t="s">
        <v>34</v>
      </c>
      <c r="N838" s="25">
        <v>40119</v>
      </c>
      <c r="O838">
        <v>590.98099999999999</v>
      </c>
      <c r="P838">
        <v>590.98099999999999</v>
      </c>
    </row>
    <row r="839" spans="1:16" x14ac:dyDescent="0.35">
      <c r="A839">
        <v>839</v>
      </c>
      <c r="B839" t="s">
        <v>63</v>
      </c>
      <c r="C839" t="s">
        <v>62</v>
      </c>
      <c r="D839" t="s">
        <v>66</v>
      </c>
      <c r="E839" t="s">
        <v>70</v>
      </c>
      <c r="F839">
        <v>0</v>
      </c>
      <c r="G839">
        <v>13600</v>
      </c>
      <c r="H839">
        <v>1</v>
      </c>
      <c r="I839" t="s">
        <v>8</v>
      </c>
      <c r="J839">
        <v>18</v>
      </c>
      <c r="K839" t="s">
        <v>13</v>
      </c>
      <c r="L839" t="s">
        <v>48</v>
      </c>
      <c r="M839" t="s">
        <v>27</v>
      </c>
      <c r="N839" s="25">
        <v>42165</v>
      </c>
      <c r="O839">
        <v>349.137</v>
      </c>
      <c r="P839">
        <v>349.137</v>
      </c>
    </row>
    <row r="840" spans="1:16" x14ac:dyDescent="0.35">
      <c r="A840">
        <v>840</v>
      </c>
      <c r="B840" t="s">
        <v>64</v>
      </c>
      <c r="C840" t="s">
        <v>62</v>
      </c>
      <c r="D840" t="s">
        <v>58</v>
      </c>
      <c r="E840" t="s">
        <v>2</v>
      </c>
      <c r="F840">
        <v>1</v>
      </c>
      <c r="G840">
        <v>97500</v>
      </c>
      <c r="H840">
        <v>1</v>
      </c>
      <c r="I840" t="s">
        <v>69</v>
      </c>
      <c r="J840">
        <v>12</v>
      </c>
      <c r="K840" t="s">
        <v>14</v>
      </c>
      <c r="L840" t="s">
        <v>49</v>
      </c>
      <c r="M840" t="s">
        <v>39</v>
      </c>
      <c r="N840" s="25">
        <v>41579</v>
      </c>
      <c r="O840">
        <v>1279.9490000000001</v>
      </c>
      <c r="P840">
        <v>1279.9490000000001</v>
      </c>
    </row>
    <row r="841" spans="1:16" x14ac:dyDescent="0.35">
      <c r="A841">
        <v>841</v>
      </c>
      <c r="B841" t="s">
        <v>64</v>
      </c>
      <c r="C841" t="s">
        <v>62</v>
      </c>
      <c r="D841" t="s">
        <v>58</v>
      </c>
      <c r="E841" t="s">
        <v>70</v>
      </c>
      <c r="F841">
        <v>1</v>
      </c>
      <c r="G841">
        <v>68400</v>
      </c>
      <c r="H841">
        <v>0</v>
      </c>
      <c r="I841" t="s">
        <v>69</v>
      </c>
      <c r="J841">
        <v>12</v>
      </c>
      <c r="K841" t="s">
        <v>12</v>
      </c>
      <c r="L841" t="s">
        <v>47</v>
      </c>
      <c r="M841" t="s">
        <v>18</v>
      </c>
      <c r="N841" s="25">
        <v>40349</v>
      </c>
      <c r="O841">
        <v>1304.252</v>
      </c>
      <c r="P841">
        <v>1304.252</v>
      </c>
    </row>
    <row r="842" spans="1:16" x14ac:dyDescent="0.35">
      <c r="A842">
        <v>842</v>
      </c>
      <c r="B842" t="s">
        <v>64</v>
      </c>
      <c r="C842" t="s">
        <v>62</v>
      </c>
      <c r="D842" t="s">
        <v>58</v>
      </c>
      <c r="E842" t="s">
        <v>2</v>
      </c>
      <c r="F842">
        <v>1</v>
      </c>
      <c r="G842">
        <v>131500</v>
      </c>
      <c r="H842">
        <v>3</v>
      </c>
      <c r="I842" t="s">
        <v>8</v>
      </c>
      <c r="J842">
        <v>6</v>
      </c>
      <c r="K842" t="s">
        <v>13</v>
      </c>
      <c r="L842" t="s">
        <v>46</v>
      </c>
      <c r="M842" t="s">
        <v>22</v>
      </c>
      <c r="N842" s="25">
        <v>42171</v>
      </c>
      <c r="O842">
        <v>2840.2179999999998</v>
      </c>
      <c r="P842">
        <v>2840.2179999999998</v>
      </c>
    </row>
    <row r="843" spans="1:16" x14ac:dyDescent="0.35">
      <c r="A843">
        <v>843</v>
      </c>
      <c r="B843" t="s">
        <v>63</v>
      </c>
      <c r="C843" t="s">
        <v>61</v>
      </c>
      <c r="D843" t="s">
        <v>66</v>
      </c>
      <c r="E843" t="s">
        <v>70</v>
      </c>
      <c r="F843">
        <v>1</v>
      </c>
      <c r="G843">
        <v>19600</v>
      </c>
      <c r="H843">
        <v>0</v>
      </c>
      <c r="I843" t="s">
        <v>67</v>
      </c>
      <c r="J843">
        <v>12</v>
      </c>
      <c r="K843" t="s">
        <v>14</v>
      </c>
      <c r="L843" t="s">
        <v>50</v>
      </c>
      <c r="M843" t="s">
        <v>35</v>
      </c>
      <c r="N843" s="25">
        <v>40025</v>
      </c>
      <c r="O843">
        <v>395.31900000000002</v>
      </c>
      <c r="P843">
        <v>395.31900000000002</v>
      </c>
    </row>
    <row r="844" spans="1:16" x14ac:dyDescent="0.35">
      <c r="A844">
        <v>844</v>
      </c>
      <c r="B844" t="s">
        <v>65</v>
      </c>
      <c r="C844" t="s">
        <v>62</v>
      </c>
      <c r="D844" t="s">
        <v>58</v>
      </c>
      <c r="E844" t="s">
        <v>2</v>
      </c>
      <c r="F844">
        <v>1</v>
      </c>
      <c r="G844">
        <v>51000</v>
      </c>
      <c r="H844">
        <v>0</v>
      </c>
      <c r="I844" t="s">
        <v>68</v>
      </c>
      <c r="J844">
        <v>12</v>
      </c>
      <c r="K844" t="s">
        <v>15</v>
      </c>
      <c r="L844" t="s">
        <v>28</v>
      </c>
      <c r="M844" t="s">
        <v>33</v>
      </c>
      <c r="N844" s="25">
        <v>41636</v>
      </c>
      <c r="O844">
        <v>1025.3440000000001</v>
      </c>
      <c r="P844">
        <v>1025.3440000000001</v>
      </c>
    </row>
    <row r="845" spans="1:16" x14ac:dyDescent="0.35">
      <c r="A845">
        <v>845</v>
      </c>
      <c r="B845" t="s">
        <v>63</v>
      </c>
      <c r="C845" t="s">
        <v>62</v>
      </c>
      <c r="D845" t="s">
        <v>66</v>
      </c>
      <c r="E845" t="s">
        <v>2</v>
      </c>
      <c r="F845">
        <v>0</v>
      </c>
      <c r="G845">
        <v>47200</v>
      </c>
      <c r="H845">
        <v>1</v>
      </c>
      <c r="I845" t="s">
        <v>68</v>
      </c>
      <c r="J845">
        <v>12</v>
      </c>
      <c r="K845" t="s">
        <v>12</v>
      </c>
      <c r="L845" t="s">
        <v>53</v>
      </c>
      <c r="M845" t="s">
        <v>19</v>
      </c>
      <c r="N845" s="25">
        <v>39902</v>
      </c>
      <c r="O845">
        <v>1271.71</v>
      </c>
      <c r="P845">
        <v>1271.71</v>
      </c>
    </row>
    <row r="846" spans="1:16" x14ac:dyDescent="0.35">
      <c r="A846">
        <v>846</v>
      </c>
      <c r="B846" t="s">
        <v>64</v>
      </c>
      <c r="C846" t="s">
        <v>61</v>
      </c>
      <c r="D846" t="s">
        <v>66</v>
      </c>
      <c r="E846" t="s">
        <v>70</v>
      </c>
      <c r="F846">
        <v>0</v>
      </c>
      <c r="G846">
        <v>36700</v>
      </c>
      <c r="H846">
        <v>1</v>
      </c>
      <c r="I846" t="s">
        <v>68</v>
      </c>
      <c r="J846">
        <v>24</v>
      </c>
      <c r="K846" t="s">
        <v>12</v>
      </c>
      <c r="L846" t="s">
        <v>41</v>
      </c>
      <c r="M846" t="s">
        <v>20</v>
      </c>
      <c r="N846" s="25">
        <v>41327</v>
      </c>
      <c r="O846">
        <v>1218.01</v>
      </c>
      <c r="P846">
        <v>1218.01</v>
      </c>
    </row>
    <row r="847" spans="1:16" x14ac:dyDescent="0.35">
      <c r="A847">
        <v>847</v>
      </c>
      <c r="B847" t="s">
        <v>64</v>
      </c>
      <c r="C847" t="s">
        <v>61</v>
      </c>
      <c r="D847" t="s">
        <v>58</v>
      </c>
      <c r="E847" t="s">
        <v>2</v>
      </c>
      <c r="F847">
        <v>1</v>
      </c>
      <c r="G847">
        <v>83900</v>
      </c>
      <c r="H847">
        <v>0</v>
      </c>
      <c r="I847" t="s">
        <v>69</v>
      </c>
      <c r="J847">
        <v>24</v>
      </c>
      <c r="K847" t="s">
        <v>14</v>
      </c>
      <c r="L847" t="s">
        <v>51</v>
      </c>
      <c r="M847" t="s">
        <v>38</v>
      </c>
      <c r="N847" s="25">
        <v>42008</v>
      </c>
      <c r="O847">
        <v>1721.248</v>
      </c>
      <c r="P847">
        <v>1721.248</v>
      </c>
    </row>
    <row r="848" spans="1:16" x14ac:dyDescent="0.35">
      <c r="A848">
        <v>848</v>
      </c>
      <c r="B848" t="s">
        <v>65</v>
      </c>
      <c r="C848" t="s">
        <v>62</v>
      </c>
      <c r="D848" t="s">
        <v>58</v>
      </c>
      <c r="E848" t="s">
        <v>2</v>
      </c>
      <c r="F848">
        <v>0</v>
      </c>
      <c r="G848">
        <v>78900</v>
      </c>
      <c r="H848">
        <v>0</v>
      </c>
      <c r="I848" t="s">
        <v>69</v>
      </c>
      <c r="J848">
        <v>18</v>
      </c>
      <c r="K848" t="s">
        <v>12</v>
      </c>
      <c r="L848" t="s">
        <v>47</v>
      </c>
      <c r="M848" t="s">
        <v>16</v>
      </c>
      <c r="N848" s="25">
        <v>40790</v>
      </c>
      <c r="O848">
        <v>2233.0770000000002</v>
      </c>
      <c r="P848">
        <v>2233.0770000000002</v>
      </c>
    </row>
    <row r="849" spans="1:16" x14ac:dyDescent="0.35">
      <c r="A849">
        <v>849</v>
      </c>
      <c r="B849" t="s">
        <v>64</v>
      </c>
      <c r="C849" t="s">
        <v>62</v>
      </c>
      <c r="D849" t="s">
        <v>58</v>
      </c>
      <c r="E849" t="s">
        <v>70</v>
      </c>
      <c r="F849">
        <v>1</v>
      </c>
      <c r="G849">
        <v>48400</v>
      </c>
      <c r="H849">
        <v>0</v>
      </c>
      <c r="I849" t="s">
        <v>68</v>
      </c>
      <c r="J849">
        <v>12</v>
      </c>
      <c r="K849" t="s">
        <v>15</v>
      </c>
      <c r="L849" t="s">
        <v>42</v>
      </c>
      <c r="M849" t="s">
        <v>32</v>
      </c>
      <c r="N849" s="25">
        <v>41625</v>
      </c>
      <c r="O849">
        <v>991.90499999999997</v>
      </c>
      <c r="P849">
        <v>991.90499999999997</v>
      </c>
    </row>
    <row r="850" spans="1:16" x14ac:dyDescent="0.35">
      <c r="A850">
        <v>850</v>
      </c>
      <c r="B850" t="s">
        <v>64</v>
      </c>
      <c r="C850" t="s">
        <v>61</v>
      </c>
      <c r="D850" t="s">
        <v>58</v>
      </c>
      <c r="E850" t="s">
        <v>2</v>
      </c>
      <c r="F850">
        <v>1</v>
      </c>
      <c r="G850">
        <v>77100</v>
      </c>
      <c r="H850">
        <v>2</v>
      </c>
      <c r="I850" t="s">
        <v>68</v>
      </c>
      <c r="J850">
        <v>6</v>
      </c>
      <c r="K850" t="s">
        <v>13</v>
      </c>
      <c r="L850" t="s">
        <v>45</v>
      </c>
      <c r="M850" t="s">
        <v>26</v>
      </c>
      <c r="N850" s="25">
        <v>42172</v>
      </c>
      <c r="O850">
        <v>567.75099999999998</v>
      </c>
      <c r="P850">
        <v>567.75099999999998</v>
      </c>
    </row>
    <row r="851" spans="1:16" x14ac:dyDescent="0.35">
      <c r="A851">
        <v>851</v>
      </c>
      <c r="B851" t="s">
        <v>65</v>
      </c>
      <c r="C851" t="s">
        <v>62</v>
      </c>
      <c r="D851" t="s">
        <v>66</v>
      </c>
      <c r="E851" t="s">
        <v>70</v>
      </c>
      <c r="F851">
        <v>1</v>
      </c>
      <c r="G851">
        <v>37000</v>
      </c>
      <c r="H851">
        <v>1</v>
      </c>
      <c r="I851" t="s">
        <v>8</v>
      </c>
      <c r="J851">
        <v>6</v>
      </c>
      <c r="K851" t="s">
        <v>15</v>
      </c>
      <c r="L851" t="s">
        <v>28</v>
      </c>
      <c r="M851" t="s">
        <v>28</v>
      </c>
      <c r="N851" s="25">
        <v>42230</v>
      </c>
      <c r="O851">
        <v>632.35599999999999</v>
      </c>
      <c r="P851">
        <v>632.35599999999999</v>
      </c>
    </row>
    <row r="852" spans="1:16" x14ac:dyDescent="0.35">
      <c r="A852">
        <v>852</v>
      </c>
      <c r="B852" t="s">
        <v>64</v>
      </c>
      <c r="C852" t="s">
        <v>62</v>
      </c>
      <c r="D852" t="s">
        <v>58</v>
      </c>
      <c r="E852" t="s">
        <v>2</v>
      </c>
      <c r="F852">
        <v>0</v>
      </c>
      <c r="G852">
        <v>77600</v>
      </c>
      <c r="H852">
        <v>3</v>
      </c>
      <c r="I852" t="s">
        <v>68</v>
      </c>
      <c r="J852">
        <v>12</v>
      </c>
      <c r="K852" t="s">
        <v>15</v>
      </c>
      <c r="L852" t="s">
        <v>52</v>
      </c>
      <c r="M852" t="s">
        <v>31</v>
      </c>
      <c r="N852" s="25">
        <v>42120</v>
      </c>
      <c r="O852">
        <v>857.57500000000005</v>
      </c>
      <c r="P852">
        <v>857.57500000000005</v>
      </c>
    </row>
    <row r="853" spans="1:16" x14ac:dyDescent="0.35">
      <c r="A853">
        <v>853</v>
      </c>
      <c r="B853" t="s">
        <v>63</v>
      </c>
      <c r="C853" t="s">
        <v>62</v>
      </c>
      <c r="D853" t="s">
        <v>66</v>
      </c>
      <c r="E853" t="s">
        <v>70</v>
      </c>
      <c r="F853">
        <v>0</v>
      </c>
      <c r="G853">
        <v>18400</v>
      </c>
      <c r="H853">
        <v>1</v>
      </c>
      <c r="I853" t="s">
        <v>67</v>
      </c>
      <c r="J853">
        <v>6</v>
      </c>
      <c r="K853" t="s">
        <v>14</v>
      </c>
      <c r="L853" t="s">
        <v>49</v>
      </c>
      <c r="M853" t="s">
        <v>39</v>
      </c>
      <c r="N853" s="25">
        <v>40181</v>
      </c>
      <c r="O853">
        <v>303.45400000000001</v>
      </c>
      <c r="P853">
        <v>303.45400000000001</v>
      </c>
    </row>
    <row r="854" spans="1:16" x14ac:dyDescent="0.35">
      <c r="A854">
        <v>854</v>
      </c>
      <c r="B854" t="s">
        <v>63</v>
      </c>
      <c r="C854" t="s">
        <v>62</v>
      </c>
      <c r="D854" t="s">
        <v>66</v>
      </c>
      <c r="E854" t="s">
        <v>70</v>
      </c>
      <c r="F854">
        <v>0</v>
      </c>
      <c r="G854">
        <v>10200</v>
      </c>
      <c r="H854">
        <v>2</v>
      </c>
      <c r="I854" t="s">
        <v>67</v>
      </c>
      <c r="J854">
        <v>18</v>
      </c>
      <c r="K854" t="s">
        <v>13</v>
      </c>
      <c r="L854" t="s">
        <v>43</v>
      </c>
      <c r="M854" t="s">
        <v>23</v>
      </c>
      <c r="N854" s="25">
        <v>41349</v>
      </c>
      <c r="O854">
        <v>213.261</v>
      </c>
      <c r="P854">
        <v>213.261</v>
      </c>
    </row>
    <row r="855" spans="1:16" x14ac:dyDescent="0.35">
      <c r="A855">
        <v>855</v>
      </c>
      <c r="B855" t="s">
        <v>64</v>
      </c>
      <c r="C855" t="s">
        <v>61</v>
      </c>
      <c r="D855" t="s">
        <v>66</v>
      </c>
      <c r="E855" t="s">
        <v>70</v>
      </c>
      <c r="F855">
        <v>0</v>
      </c>
      <c r="G855">
        <v>52200</v>
      </c>
      <c r="H855">
        <v>0</v>
      </c>
      <c r="I855" t="s">
        <v>69</v>
      </c>
      <c r="J855">
        <v>24</v>
      </c>
      <c r="K855" t="s">
        <v>12</v>
      </c>
      <c r="L855" t="s">
        <v>41</v>
      </c>
      <c r="M855" t="s">
        <v>20</v>
      </c>
      <c r="N855" s="25">
        <v>41741</v>
      </c>
      <c r="O855">
        <v>1908.8679999999999</v>
      </c>
      <c r="P855">
        <v>1908.8679999999999</v>
      </c>
    </row>
    <row r="856" spans="1:16" x14ac:dyDescent="0.35">
      <c r="A856">
        <v>856</v>
      </c>
      <c r="B856" t="s">
        <v>64</v>
      </c>
      <c r="C856" t="s">
        <v>61</v>
      </c>
      <c r="D856" t="s">
        <v>58</v>
      </c>
      <c r="E856" t="s">
        <v>2</v>
      </c>
      <c r="F856">
        <v>0</v>
      </c>
      <c r="G856">
        <v>108000</v>
      </c>
      <c r="H856">
        <v>3</v>
      </c>
      <c r="I856" t="s">
        <v>69</v>
      </c>
      <c r="J856">
        <v>24</v>
      </c>
      <c r="K856" t="s">
        <v>13</v>
      </c>
      <c r="L856" t="s">
        <v>46</v>
      </c>
      <c r="M856" t="s">
        <v>22</v>
      </c>
      <c r="N856" s="25">
        <v>40991</v>
      </c>
      <c r="O856">
        <v>1849.49</v>
      </c>
      <c r="P856">
        <v>1849.49</v>
      </c>
    </row>
    <row r="857" spans="1:16" x14ac:dyDescent="0.35">
      <c r="A857">
        <v>857</v>
      </c>
      <c r="B857" t="s">
        <v>64</v>
      </c>
      <c r="C857" t="s">
        <v>62</v>
      </c>
      <c r="D857" t="s">
        <v>58</v>
      </c>
      <c r="E857" t="s">
        <v>2</v>
      </c>
      <c r="F857">
        <v>0</v>
      </c>
      <c r="G857">
        <v>102800</v>
      </c>
      <c r="H857">
        <v>2</v>
      </c>
      <c r="I857" t="s">
        <v>69</v>
      </c>
      <c r="J857">
        <v>18</v>
      </c>
      <c r="K857" t="s">
        <v>14</v>
      </c>
      <c r="L857" t="s">
        <v>51</v>
      </c>
      <c r="M857" t="s">
        <v>38</v>
      </c>
      <c r="N857" s="25">
        <v>42084</v>
      </c>
      <c r="O857">
        <v>2238.2280000000001</v>
      </c>
      <c r="P857">
        <v>2238.2280000000001</v>
      </c>
    </row>
    <row r="858" spans="1:16" x14ac:dyDescent="0.35">
      <c r="A858">
        <v>858</v>
      </c>
      <c r="B858" t="s">
        <v>65</v>
      </c>
      <c r="C858" t="s">
        <v>61</v>
      </c>
      <c r="D858" t="s">
        <v>58</v>
      </c>
      <c r="E858" t="s">
        <v>70</v>
      </c>
      <c r="F858">
        <v>1</v>
      </c>
      <c r="G858">
        <v>69100</v>
      </c>
      <c r="H858">
        <v>0</v>
      </c>
      <c r="I858" t="s">
        <v>69</v>
      </c>
      <c r="J858">
        <v>12</v>
      </c>
      <c r="K858" t="s">
        <v>12</v>
      </c>
      <c r="L858" t="s">
        <v>47</v>
      </c>
      <c r="M858" t="s">
        <v>16</v>
      </c>
      <c r="N858" s="25">
        <v>41848</v>
      </c>
      <c r="O858">
        <v>1477.1410000000001</v>
      </c>
      <c r="P858">
        <v>1477.1410000000001</v>
      </c>
    </row>
    <row r="859" spans="1:16" x14ac:dyDescent="0.35">
      <c r="A859">
        <v>859</v>
      </c>
      <c r="B859" t="s">
        <v>63</v>
      </c>
      <c r="C859" t="s">
        <v>62</v>
      </c>
      <c r="D859" t="s">
        <v>66</v>
      </c>
      <c r="E859" t="s">
        <v>2</v>
      </c>
      <c r="F859">
        <v>1</v>
      </c>
      <c r="G859">
        <v>25900</v>
      </c>
      <c r="H859">
        <v>1</v>
      </c>
      <c r="I859" t="s">
        <v>67</v>
      </c>
      <c r="J859">
        <v>6</v>
      </c>
      <c r="K859" t="s">
        <v>12</v>
      </c>
      <c r="L859" t="s">
        <v>55</v>
      </c>
      <c r="M859" t="s">
        <v>17</v>
      </c>
      <c r="N859" s="25">
        <v>41662</v>
      </c>
      <c r="O859">
        <v>242.12899999999999</v>
      </c>
      <c r="P859">
        <v>242.12899999999999</v>
      </c>
    </row>
    <row r="860" spans="1:16" x14ac:dyDescent="0.35">
      <c r="A860">
        <v>860</v>
      </c>
      <c r="B860" t="s">
        <v>63</v>
      </c>
      <c r="C860" t="s">
        <v>61</v>
      </c>
      <c r="D860" t="s">
        <v>66</v>
      </c>
      <c r="E860" t="s">
        <v>2</v>
      </c>
      <c r="F860">
        <v>1</v>
      </c>
      <c r="G860">
        <v>45800</v>
      </c>
      <c r="H860">
        <v>0</v>
      </c>
      <c r="I860" t="s">
        <v>68</v>
      </c>
      <c r="J860">
        <v>6</v>
      </c>
      <c r="K860" t="s">
        <v>15</v>
      </c>
      <c r="L860" t="s">
        <v>42</v>
      </c>
      <c r="M860" t="s">
        <v>32</v>
      </c>
      <c r="N860" s="25">
        <v>41197</v>
      </c>
      <c r="O860">
        <v>489.20800000000003</v>
      </c>
      <c r="P860">
        <v>489.20800000000003</v>
      </c>
    </row>
    <row r="861" spans="1:16" x14ac:dyDescent="0.35">
      <c r="A861">
        <v>861</v>
      </c>
      <c r="B861" t="s">
        <v>65</v>
      </c>
      <c r="C861" t="s">
        <v>62</v>
      </c>
      <c r="D861" t="s">
        <v>58</v>
      </c>
      <c r="E861" t="s">
        <v>2</v>
      </c>
      <c r="F861">
        <v>0</v>
      </c>
      <c r="G861">
        <v>100100</v>
      </c>
      <c r="H861">
        <v>0</v>
      </c>
      <c r="I861" t="s">
        <v>69</v>
      </c>
      <c r="J861">
        <v>12</v>
      </c>
      <c r="K861" t="s">
        <v>15</v>
      </c>
      <c r="L861" t="s">
        <v>52</v>
      </c>
      <c r="M861" t="s">
        <v>30</v>
      </c>
      <c r="N861" s="25">
        <v>40165</v>
      </c>
      <c r="O861">
        <v>3103.7020000000002</v>
      </c>
      <c r="P861">
        <v>3103.7020000000002</v>
      </c>
    </row>
    <row r="862" spans="1:16" x14ac:dyDescent="0.35">
      <c r="A862">
        <v>862</v>
      </c>
      <c r="B862" t="s">
        <v>63</v>
      </c>
      <c r="C862" t="s">
        <v>62</v>
      </c>
      <c r="D862" t="s">
        <v>58</v>
      </c>
      <c r="E862" t="s">
        <v>70</v>
      </c>
      <c r="F862">
        <v>0</v>
      </c>
      <c r="G862">
        <v>16300</v>
      </c>
      <c r="H862">
        <v>0</v>
      </c>
      <c r="I862" t="s">
        <v>8</v>
      </c>
      <c r="J862">
        <v>12</v>
      </c>
      <c r="K862" t="s">
        <v>13</v>
      </c>
      <c r="L862" t="s">
        <v>42</v>
      </c>
      <c r="M862" t="s">
        <v>25</v>
      </c>
      <c r="N862" s="25">
        <v>42159</v>
      </c>
      <c r="O862">
        <v>359.71199999999999</v>
      </c>
      <c r="P862">
        <v>359.71199999999999</v>
      </c>
    </row>
    <row r="863" spans="1:16" x14ac:dyDescent="0.35">
      <c r="A863">
        <v>863</v>
      </c>
      <c r="B863" t="s">
        <v>63</v>
      </c>
      <c r="C863" t="s">
        <v>62</v>
      </c>
      <c r="D863" t="s">
        <v>66</v>
      </c>
      <c r="E863" t="s">
        <v>2</v>
      </c>
      <c r="F863">
        <v>0</v>
      </c>
      <c r="G863">
        <v>32700</v>
      </c>
      <c r="H863">
        <v>1</v>
      </c>
      <c r="I863" t="s">
        <v>8</v>
      </c>
      <c r="J863">
        <v>18</v>
      </c>
      <c r="K863" t="s">
        <v>14</v>
      </c>
      <c r="L863" t="s">
        <v>40</v>
      </c>
      <c r="M863" t="s">
        <v>37</v>
      </c>
      <c r="N863" s="25">
        <v>42179</v>
      </c>
      <c r="O863">
        <v>1276.2529999999999</v>
      </c>
      <c r="P863">
        <v>1276.2529999999999</v>
      </c>
    </row>
    <row r="864" spans="1:16" x14ac:dyDescent="0.35">
      <c r="A864">
        <v>864</v>
      </c>
      <c r="B864" t="s">
        <v>64</v>
      </c>
      <c r="C864" t="s">
        <v>62</v>
      </c>
      <c r="D864" t="s">
        <v>66</v>
      </c>
      <c r="E864" t="s">
        <v>70</v>
      </c>
      <c r="F864">
        <v>1</v>
      </c>
      <c r="G864">
        <v>32700</v>
      </c>
      <c r="H864">
        <v>2</v>
      </c>
      <c r="I864" t="s">
        <v>67</v>
      </c>
      <c r="J864">
        <v>6</v>
      </c>
      <c r="K864" t="s">
        <v>13</v>
      </c>
      <c r="L864" t="s">
        <v>43</v>
      </c>
      <c r="M864" t="s">
        <v>23</v>
      </c>
      <c r="N864" s="25">
        <v>40060</v>
      </c>
      <c r="O864">
        <v>272.80399999999997</v>
      </c>
      <c r="P864">
        <v>272.80399999999997</v>
      </c>
    </row>
    <row r="865" spans="1:16" x14ac:dyDescent="0.35">
      <c r="A865">
        <v>865</v>
      </c>
      <c r="B865" t="s">
        <v>64</v>
      </c>
      <c r="C865" t="s">
        <v>61</v>
      </c>
      <c r="D865" t="s">
        <v>58</v>
      </c>
      <c r="E865" t="s">
        <v>2</v>
      </c>
      <c r="F865">
        <v>1</v>
      </c>
      <c r="G865">
        <v>71600</v>
      </c>
      <c r="H865">
        <v>1</v>
      </c>
      <c r="I865" t="s">
        <v>8</v>
      </c>
      <c r="J865">
        <v>12</v>
      </c>
      <c r="K865" t="s">
        <v>12</v>
      </c>
      <c r="L865" t="s">
        <v>55</v>
      </c>
      <c r="M865" t="s">
        <v>17</v>
      </c>
      <c r="N865" s="25">
        <v>42146</v>
      </c>
      <c r="O865">
        <v>1197.9090000000001</v>
      </c>
      <c r="P865">
        <v>1197.9090000000001</v>
      </c>
    </row>
    <row r="866" spans="1:16" x14ac:dyDescent="0.35">
      <c r="A866">
        <v>866</v>
      </c>
      <c r="B866" t="s">
        <v>63</v>
      </c>
      <c r="C866" t="s">
        <v>62</v>
      </c>
      <c r="D866" t="s">
        <v>66</v>
      </c>
      <c r="E866" t="s">
        <v>70</v>
      </c>
      <c r="F866">
        <v>1</v>
      </c>
      <c r="G866">
        <v>26700</v>
      </c>
      <c r="H866">
        <v>1</v>
      </c>
      <c r="I866" t="s">
        <v>8</v>
      </c>
      <c r="J866">
        <v>12</v>
      </c>
      <c r="K866" t="s">
        <v>14</v>
      </c>
      <c r="L866" t="s">
        <v>51</v>
      </c>
      <c r="M866" t="s">
        <v>38</v>
      </c>
      <c r="N866" s="25">
        <v>42157</v>
      </c>
      <c r="O866">
        <v>458.62599999999998</v>
      </c>
      <c r="P866">
        <v>458.62599999999998</v>
      </c>
    </row>
    <row r="867" spans="1:16" x14ac:dyDescent="0.35">
      <c r="A867">
        <v>867</v>
      </c>
      <c r="B867" t="s">
        <v>63</v>
      </c>
      <c r="C867" t="s">
        <v>62</v>
      </c>
      <c r="D867" t="s">
        <v>66</v>
      </c>
      <c r="E867" t="s">
        <v>70</v>
      </c>
      <c r="F867">
        <v>1</v>
      </c>
      <c r="G867">
        <v>16300</v>
      </c>
      <c r="H867">
        <v>1</v>
      </c>
      <c r="I867" t="s">
        <v>8</v>
      </c>
      <c r="J867">
        <v>12</v>
      </c>
      <c r="K867" t="s">
        <v>12</v>
      </c>
      <c r="L867" t="s">
        <v>55</v>
      </c>
      <c r="M867" t="s">
        <v>17</v>
      </c>
      <c r="N867" s="25">
        <v>42062</v>
      </c>
      <c r="O867">
        <v>470.38200000000001</v>
      </c>
      <c r="P867">
        <v>470.38200000000001</v>
      </c>
    </row>
    <row r="868" spans="1:16" x14ac:dyDescent="0.35">
      <c r="A868">
        <v>868</v>
      </c>
      <c r="B868" t="s">
        <v>63</v>
      </c>
      <c r="C868" t="s">
        <v>61</v>
      </c>
      <c r="D868" t="s">
        <v>66</v>
      </c>
      <c r="E868" t="s">
        <v>2</v>
      </c>
      <c r="F868">
        <v>1</v>
      </c>
      <c r="G868">
        <v>45500</v>
      </c>
      <c r="H868">
        <v>0</v>
      </c>
      <c r="I868" t="s">
        <v>68</v>
      </c>
      <c r="J868">
        <v>6</v>
      </c>
      <c r="K868" t="s">
        <v>12</v>
      </c>
      <c r="L868" t="s">
        <v>55</v>
      </c>
      <c r="M868" t="s">
        <v>17</v>
      </c>
      <c r="N868" s="25">
        <v>40289</v>
      </c>
      <c r="O868">
        <v>754.24099999999999</v>
      </c>
      <c r="P868">
        <v>754.24099999999999</v>
      </c>
    </row>
    <row r="869" spans="1:16" x14ac:dyDescent="0.35">
      <c r="A869">
        <v>869</v>
      </c>
      <c r="B869" t="s">
        <v>63</v>
      </c>
      <c r="C869" t="s">
        <v>62</v>
      </c>
      <c r="D869" t="s">
        <v>58</v>
      </c>
      <c r="E869" t="s">
        <v>70</v>
      </c>
      <c r="F869">
        <v>0</v>
      </c>
      <c r="G869">
        <v>33200</v>
      </c>
      <c r="H869">
        <v>2</v>
      </c>
      <c r="I869" t="s">
        <v>68</v>
      </c>
      <c r="J869">
        <v>12</v>
      </c>
      <c r="K869" t="s">
        <v>13</v>
      </c>
      <c r="L869" t="s">
        <v>56</v>
      </c>
      <c r="M869" t="s">
        <v>24</v>
      </c>
      <c r="N869" s="25">
        <v>39927</v>
      </c>
      <c r="O869">
        <v>606.67200000000003</v>
      </c>
      <c r="P869">
        <v>606.67200000000003</v>
      </c>
    </row>
    <row r="870" spans="1:16" x14ac:dyDescent="0.35">
      <c r="A870">
        <v>870</v>
      </c>
      <c r="B870" t="s">
        <v>64</v>
      </c>
      <c r="C870" t="s">
        <v>62</v>
      </c>
      <c r="D870" t="s">
        <v>66</v>
      </c>
      <c r="E870" t="s">
        <v>2</v>
      </c>
      <c r="F870">
        <v>1</v>
      </c>
      <c r="G870">
        <v>72900</v>
      </c>
      <c r="H870">
        <v>3</v>
      </c>
      <c r="I870" t="s">
        <v>67</v>
      </c>
      <c r="J870">
        <v>6</v>
      </c>
      <c r="K870" t="s">
        <v>12</v>
      </c>
      <c r="L870" t="s">
        <v>53</v>
      </c>
      <c r="M870" t="s">
        <v>19</v>
      </c>
      <c r="N870" s="25">
        <v>41342</v>
      </c>
      <c r="O870">
        <v>252.16399999999999</v>
      </c>
      <c r="P870">
        <v>252.16399999999999</v>
      </c>
    </row>
    <row r="871" spans="1:16" x14ac:dyDescent="0.35">
      <c r="A871">
        <v>871</v>
      </c>
      <c r="B871" t="s">
        <v>64</v>
      </c>
      <c r="C871" t="s">
        <v>62</v>
      </c>
      <c r="D871" t="s">
        <v>66</v>
      </c>
      <c r="E871" t="s">
        <v>2</v>
      </c>
      <c r="F871">
        <v>1</v>
      </c>
      <c r="G871">
        <v>96700</v>
      </c>
      <c r="H871">
        <v>2</v>
      </c>
      <c r="I871" t="s">
        <v>68</v>
      </c>
      <c r="J871">
        <v>12</v>
      </c>
      <c r="K871" t="s">
        <v>14</v>
      </c>
      <c r="L871" t="s">
        <v>40</v>
      </c>
      <c r="M871" t="s">
        <v>37</v>
      </c>
      <c r="N871" s="25">
        <v>40303</v>
      </c>
      <c r="O871">
        <v>1231.328</v>
      </c>
      <c r="P871">
        <v>1231.328</v>
      </c>
    </row>
    <row r="872" spans="1:16" x14ac:dyDescent="0.35">
      <c r="A872">
        <v>872</v>
      </c>
      <c r="B872" t="s">
        <v>63</v>
      </c>
      <c r="C872" t="s">
        <v>62</v>
      </c>
      <c r="D872" t="s">
        <v>66</v>
      </c>
      <c r="E872" t="s">
        <v>70</v>
      </c>
      <c r="F872">
        <v>1</v>
      </c>
      <c r="G872">
        <v>16900</v>
      </c>
      <c r="H872">
        <v>1</v>
      </c>
      <c r="I872" t="s">
        <v>67</v>
      </c>
      <c r="J872">
        <v>6</v>
      </c>
      <c r="K872" t="s">
        <v>13</v>
      </c>
      <c r="L872" t="s">
        <v>46</v>
      </c>
      <c r="M872" t="s">
        <v>22</v>
      </c>
      <c r="N872" s="25">
        <v>40743</v>
      </c>
      <c r="O872">
        <v>247.334</v>
      </c>
      <c r="P872">
        <v>247.334</v>
      </c>
    </row>
    <row r="873" spans="1:16" x14ac:dyDescent="0.35">
      <c r="A873">
        <v>873</v>
      </c>
      <c r="B873" t="s">
        <v>64</v>
      </c>
      <c r="C873" t="s">
        <v>61</v>
      </c>
      <c r="D873" t="s">
        <v>66</v>
      </c>
      <c r="E873" t="s">
        <v>2</v>
      </c>
      <c r="F873">
        <v>0</v>
      </c>
      <c r="G873">
        <v>52800</v>
      </c>
      <c r="H873">
        <v>2</v>
      </c>
      <c r="I873" t="s">
        <v>68</v>
      </c>
      <c r="J873">
        <v>12</v>
      </c>
      <c r="K873" t="s">
        <v>14</v>
      </c>
      <c r="L873" t="s">
        <v>49</v>
      </c>
      <c r="M873" t="s">
        <v>39</v>
      </c>
      <c r="N873" s="25">
        <v>41905</v>
      </c>
      <c r="O873">
        <v>926.47900000000004</v>
      </c>
      <c r="P873">
        <v>926.47900000000004</v>
      </c>
    </row>
    <row r="874" spans="1:16" x14ac:dyDescent="0.35">
      <c r="A874">
        <v>874</v>
      </c>
      <c r="B874" t="s">
        <v>64</v>
      </c>
      <c r="C874" t="s">
        <v>61</v>
      </c>
      <c r="D874" t="s">
        <v>58</v>
      </c>
      <c r="E874" t="s">
        <v>2</v>
      </c>
      <c r="F874">
        <v>1</v>
      </c>
      <c r="G874">
        <v>60500</v>
      </c>
      <c r="H874">
        <v>3</v>
      </c>
      <c r="I874" t="s">
        <v>67</v>
      </c>
      <c r="J874">
        <v>12</v>
      </c>
      <c r="K874" t="s">
        <v>15</v>
      </c>
      <c r="L874" t="s">
        <v>28</v>
      </c>
      <c r="M874" t="s">
        <v>28</v>
      </c>
      <c r="N874" s="25">
        <v>41759</v>
      </c>
      <c r="O874">
        <v>339.63900000000001</v>
      </c>
      <c r="P874">
        <v>339.63900000000001</v>
      </c>
    </row>
    <row r="875" spans="1:16" x14ac:dyDescent="0.35">
      <c r="A875">
        <v>875</v>
      </c>
      <c r="B875" t="s">
        <v>65</v>
      </c>
      <c r="C875" t="s">
        <v>62</v>
      </c>
      <c r="D875" t="s">
        <v>58</v>
      </c>
      <c r="E875" t="s">
        <v>2</v>
      </c>
      <c r="F875">
        <v>1</v>
      </c>
      <c r="G875">
        <v>26700</v>
      </c>
      <c r="H875">
        <v>0</v>
      </c>
      <c r="I875" t="s">
        <v>67</v>
      </c>
      <c r="J875">
        <v>24</v>
      </c>
      <c r="K875" t="s">
        <v>12</v>
      </c>
      <c r="L875" t="s">
        <v>47</v>
      </c>
      <c r="M875" t="s">
        <v>16</v>
      </c>
      <c r="N875" s="25">
        <v>40005</v>
      </c>
      <c r="O875">
        <v>1119.8019999999999</v>
      </c>
      <c r="P875">
        <v>1119.8019999999999</v>
      </c>
    </row>
    <row r="876" spans="1:16" x14ac:dyDescent="0.35">
      <c r="A876">
        <v>876</v>
      </c>
      <c r="B876" t="s">
        <v>64</v>
      </c>
      <c r="C876" t="s">
        <v>61</v>
      </c>
      <c r="D876" t="s">
        <v>66</v>
      </c>
      <c r="E876" t="s">
        <v>70</v>
      </c>
      <c r="F876">
        <v>1</v>
      </c>
      <c r="G876">
        <v>63600</v>
      </c>
      <c r="H876">
        <v>0</v>
      </c>
      <c r="I876" t="s">
        <v>69</v>
      </c>
      <c r="J876">
        <v>6</v>
      </c>
      <c r="K876" t="s">
        <v>15</v>
      </c>
      <c r="L876" t="s">
        <v>42</v>
      </c>
      <c r="M876" t="s">
        <v>32</v>
      </c>
      <c r="N876" s="25">
        <v>40251</v>
      </c>
      <c r="O876">
        <v>1317.7329999999999</v>
      </c>
      <c r="P876">
        <v>1317.7329999999999</v>
      </c>
    </row>
    <row r="877" spans="1:16" x14ac:dyDescent="0.35">
      <c r="A877">
        <v>877</v>
      </c>
      <c r="B877" t="s">
        <v>63</v>
      </c>
      <c r="C877" t="s">
        <v>62</v>
      </c>
      <c r="D877" t="s">
        <v>58</v>
      </c>
      <c r="E877" t="s">
        <v>70</v>
      </c>
      <c r="F877">
        <v>1</v>
      </c>
      <c r="G877">
        <v>27100</v>
      </c>
      <c r="H877">
        <v>2</v>
      </c>
      <c r="I877" t="s">
        <v>67</v>
      </c>
      <c r="J877">
        <v>24</v>
      </c>
      <c r="K877" t="s">
        <v>13</v>
      </c>
      <c r="L877" t="s">
        <v>43</v>
      </c>
      <c r="M877" t="s">
        <v>23</v>
      </c>
      <c r="N877" s="25">
        <v>40966</v>
      </c>
      <c r="O877">
        <v>437.14600000000002</v>
      </c>
      <c r="P877">
        <v>437.14600000000002</v>
      </c>
    </row>
    <row r="878" spans="1:16" x14ac:dyDescent="0.35">
      <c r="A878">
        <v>878</v>
      </c>
      <c r="B878" t="s">
        <v>64</v>
      </c>
      <c r="C878" t="s">
        <v>62</v>
      </c>
      <c r="D878" t="s">
        <v>66</v>
      </c>
      <c r="E878" t="s">
        <v>70</v>
      </c>
      <c r="F878">
        <v>1</v>
      </c>
      <c r="G878">
        <v>27200</v>
      </c>
      <c r="H878">
        <v>3</v>
      </c>
      <c r="I878" t="s">
        <v>67</v>
      </c>
      <c r="J878">
        <v>24</v>
      </c>
      <c r="K878" t="s">
        <v>14</v>
      </c>
      <c r="L878" t="s">
        <v>40</v>
      </c>
      <c r="M878" t="s">
        <v>37</v>
      </c>
      <c r="N878" s="25">
        <v>39899</v>
      </c>
      <c r="O878">
        <v>243.38499999999999</v>
      </c>
      <c r="P878">
        <v>243.38499999999999</v>
      </c>
    </row>
    <row r="879" spans="1:16" x14ac:dyDescent="0.35">
      <c r="A879">
        <v>879</v>
      </c>
      <c r="B879" t="s">
        <v>64</v>
      </c>
      <c r="C879" t="s">
        <v>62</v>
      </c>
      <c r="D879" t="s">
        <v>66</v>
      </c>
      <c r="E879" t="s">
        <v>2</v>
      </c>
      <c r="F879">
        <v>1</v>
      </c>
      <c r="G879">
        <v>87700</v>
      </c>
      <c r="H879">
        <v>3</v>
      </c>
      <c r="I879" t="s">
        <v>8</v>
      </c>
      <c r="J879">
        <v>24</v>
      </c>
      <c r="K879" t="s">
        <v>15</v>
      </c>
      <c r="L879" t="s">
        <v>52</v>
      </c>
      <c r="M879" t="s">
        <v>31</v>
      </c>
      <c r="N879" s="25">
        <v>42057</v>
      </c>
      <c r="O879">
        <v>2445.67</v>
      </c>
      <c r="P879">
        <v>2445.67</v>
      </c>
    </row>
    <row r="880" spans="1:16" x14ac:dyDescent="0.35">
      <c r="A880">
        <v>880</v>
      </c>
      <c r="B880" t="s">
        <v>64</v>
      </c>
      <c r="C880" t="s">
        <v>61</v>
      </c>
      <c r="D880" t="s">
        <v>58</v>
      </c>
      <c r="E880" t="s">
        <v>70</v>
      </c>
      <c r="F880">
        <v>0</v>
      </c>
      <c r="G880">
        <v>68700</v>
      </c>
      <c r="H880">
        <v>1</v>
      </c>
      <c r="I880" t="s">
        <v>8</v>
      </c>
      <c r="J880">
        <v>24</v>
      </c>
      <c r="K880" t="s">
        <v>14</v>
      </c>
      <c r="L880" t="s">
        <v>40</v>
      </c>
      <c r="M880" t="s">
        <v>36</v>
      </c>
      <c r="N880" s="25">
        <v>42244</v>
      </c>
      <c r="O880">
        <v>1699.212</v>
      </c>
      <c r="P880">
        <v>1699.212</v>
      </c>
    </row>
    <row r="881" spans="1:16" x14ac:dyDescent="0.35">
      <c r="A881">
        <v>881</v>
      </c>
      <c r="B881" t="s">
        <v>64</v>
      </c>
      <c r="C881" t="s">
        <v>61</v>
      </c>
      <c r="D881" t="s">
        <v>58</v>
      </c>
      <c r="E881" t="s">
        <v>70</v>
      </c>
      <c r="F881">
        <v>1</v>
      </c>
      <c r="G881">
        <v>60200</v>
      </c>
      <c r="H881">
        <v>3</v>
      </c>
      <c r="I881" t="s">
        <v>8</v>
      </c>
      <c r="J881">
        <v>12</v>
      </c>
      <c r="K881" t="s">
        <v>15</v>
      </c>
      <c r="L881" t="s">
        <v>52</v>
      </c>
      <c r="M881" t="s">
        <v>31</v>
      </c>
      <c r="N881" s="25">
        <v>42102</v>
      </c>
      <c r="O881">
        <v>1363.5909999999999</v>
      </c>
      <c r="P881">
        <v>1363.5909999999999</v>
      </c>
    </row>
    <row r="882" spans="1:16" x14ac:dyDescent="0.35">
      <c r="A882">
        <v>882</v>
      </c>
      <c r="B882" t="s">
        <v>63</v>
      </c>
      <c r="C882" t="s">
        <v>62</v>
      </c>
      <c r="D882" t="s">
        <v>66</v>
      </c>
      <c r="E882" t="s">
        <v>2</v>
      </c>
      <c r="F882">
        <v>1</v>
      </c>
      <c r="G882">
        <v>47300</v>
      </c>
      <c r="H882">
        <v>0</v>
      </c>
      <c r="I882" t="s">
        <v>8</v>
      </c>
      <c r="J882">
        <v>6</v>
      </c>
      <c r="K882" t="s">
        <v>14</v>
      </c>
      <c r="L882" t="s">
        <v>40</v>
      </c>
      <c r="M882" t="s">
        <v>37</v>
      </c>
      <c r="N882" s="25">
        <v>42165</v>
      </c>
      <c r="O882">
        <v>639.60900000000004</v>
      </c>
      <c r="P882">
        <v>639.60900000000004</v>
      </c>
    </row>
    <row r="883" spans="1:16" x14ac:dyDescent="0.35">
      <c r="A883">
        <v>883</v>
      </c>
      <c r="B883" t="s">
        <v>65</v>
      </c>
      <c r="C883" t="s">
        <v>61</v>
      </c>
      <c r="D883" t="s">
        <v>58</v>
      </c>
      <c r="E883" t="s">
        <v>70</v>
      </c>
      <c r="F883">
        <v>0</v>
      </c>
      <c r="G883">
        <v>61000</v>
      </c>
      <c r="H883">
        <v>0</v>
      </c>
      <c r="I883" t="s">
        <v>69</v>
      </c>
      <c r="J883">
        <v>6</v>
      </c>
      <c r="K883" t="s">
        <v>12</v>
      </c>
      <c r="L883" t="s">
        <v>53</v>
      </c>
      <c r="M883" t="s">
        <v>19</v>
      </c>
      <c r="N883" s="25">
        <v>41330</v>
      </c>
      <c r="O883">
        <v>974.51199999999994</v>
      </c>
      <c r="P883">
        <v>974.51199999999994</v>
      </c>
    </row>
    <row r="884" spans="1:16" x14ac:dyDescent="0.35">
      <c r="A884">
        <v>884</v>
      </c>
      <c r="B884" t="s">
        <v>64</v>
      </c>
      <c r="C884" t="s">
        <v>61</v>
      </c>
      <c r="D884" t="s">
        <v>58</v>
      </c>
      <c r="E884" t="s">
        <v>2</v>
      </c>
      <c r="F884">
        <v>1</v>
      </c>
      <c r="G884">
        <v>84200</v>
      </c>
      <c r="H884">
        <v>0</v>
      </c>
      <c r="I884" t="s">
        <v>69</v>
      </c>
      <c r="J884">
        <v>24</v>
      </c>
      <c r="K884" t="s">
        <v>14</v>
      </c>
      <c r="L884" t="s">
        <v>51</v>
      </c>
      <c r="M884" t="s">
        <v>38</v>
      </c>
      <c r="N884" s="25">
        <v>39928</v>
      </c>
      <c r="O884">
        <v>1654.133</v>
      </c>
      <c r="P884">
        <v>1654.133</v>
      </c>
    </row>
    <row r="885" spans="1:16" x14ac:dyDescent="0.35">
      <c r="A885">
        <v>885</v>
      </c>
      <c r="B885" t="s">
        <v>64</v>
      </c>
      <c r="C885" t="s">
        <v>62</v>
      </c>
      <c r="D885" t="s">
        <v>58</v>
      </c>
      <c r="E885" t="s">
        <v>2</v>
      </c>
      <c r="F885">
        <v>1</v>
      </c>
      <c r="G885">
        <v>86900</v>
      </c>
      <c r="H885">
        <v>0</v>
      </c>
      <c r="I885" t="s">
        <v>69</v>
      </c>
      <c r="J885">
        <v>18</v>
      </c>
      <c r="K885" t="s">
        <v>12</v>
      </c>
      <c r="L885" t="s">
        <v>41</v>
      </c>
      <c r="M885" t="s">
        <v>20</v>
      </c>
      <c r="N885" s="25">
        <v>41907</v>
      </c>
      <c r="O885">
        <v>2229.7489999999998</v>
      </c>
      <c r="P885">
        <v>2229.7489999999998</v>
      </c>
    </row>
    <row r="886" spans="1:16" x14ac:dyDescent="0.35">
      <c r="A886">
        <v>886</v>
      </c>
      <c r="B886" t="s">
        <v>63</v>
      </c>
      <c r="C886" t="s">
        <v>62</v>
      </c>
      <c r="D886" t="s">
        <v>66</v>
      </c>
      <c r="E886" t="s">
        <v>70</v>
      </c>
      <c r="F886">
        <v>0</v>
      </c>
      <c r="G886">
        <v>21700</v>
      </c>
      <c r="H886">
        <v>3</v>
      </c>
      <c r="I886" t="s">
        <v>8</v>
      </c>
      <c r="J886">
        <v>24</v>
      </c>
      <c r="K886" t="s">
        <v>12</v>
      </c>
      <c r="L886" t="s">
        <v>54</v>
      </c>
      <c r="M886" t="s">
        <v>21</v>
      </c>
      <c r="N886" s="25">
        <v>42222</v>
      </c>
      <c r="O886">
        <v>707.7</v>
      </c>
      <c r="P886">
        <v>707.7</v>
      </c>
    </row>
    <row r="887" spans="1:16" x14ac:dyDescent="0.35">
      <c r="A887">
        <v>887</v>
      </c>
      <c r="B887" t="s">
        <v>63</v>
      </c>
      <c r="C887" t="s">
        <v>61</v>
      </c>
      <c r="D887" t="s">
        <v>66</v>
      </c>
      <c r="E887" t="s">
        <v>70</v>
      </c>
      <c r="F887">
        <v>1</v>
      </c>
      <c r="G887">
        <v>17600</v>
      </c>
      <c r="H887">
        <v>0</v>
      </c>
      <c r="I887" t="s">
        <v>8</v>
      </c>
      <c r="J887">
        <v>6</v>
      </c>
      <c r="K887" t="s">
        <v>13</v>
      </c>
      <c r="L887" t="s">
        <v>45</v>
      </c>
      <c r="M887" t="s">
        <v>26</v>
      </c>
      <c r="N887" s="25">
        <v>42158</v>
      </c>
      <c r="O887">
        <v>245.00800000000001</v>
      </c>
      <c r="P887">
        <v>245.00800000000001</v>
      </c>
    </row>
    <row r="888" spans="1:16" x14ac:dyDescent="0.35">
      <c r="A888">
        <v>888</v>
      </c>
      <c r="B888" t="s">
        <v>64</v>
      </c>
      <c r="C888" t="s">
        <v>61</v>
      </c>
      <c r="D888" t="s">
        <v>58</v>
      </c>
      <c r="E888" t="s">
        <v>70</v>
      </c>
      <c r="F888">
        <v>0</v>
      </c>
      <c r="G888">
        <v>50100</v>
      </c>
      <c r="H888">
        <v>1</v>
      </c>
      <c r="I888" t="s">
        <v>69</v>
      </c>
      <c r="J888">
        <v>18</v>
      </c>
      <c r="K888" t="s">
        <v>13</v>
      </c>
      <c r="L888" t="s">
        <v>45</v>
      </c>
      <c r="M888" t="s">
        <v>26</v>
      </c>
      <c r="N888" s="25">
        <v>40742</v>
      </c>
      <c r="O888">
        <v>1070.54</v>
      </c>
      <c r="P888">
        <v>1070.54</v>
      </c>
    </row>
    <row r="889" spans="1:16" x14ac:dyDescent="0.35">
      <c r="A889">
        <v>889</v>
      </c>
      <c r="B889" t="s">
        <v>64</v>
      </c>
      <c r="C889" t="s">
        <v>62</v>
      </c>
      <c r="D889" t="s">
        <v>66</v>
      </c>
      <c r="E889" t="s">
        <v>70</v>
      </c>
      <c r="F889">
        <v>1</v>
      </c>
      <c r="G889">
        <v>42700</v>
      </c>
      <c r="H889">
        <v>0</v>
      </c>
      <c r="I889" t="s">
        <v>68</v>
      </c>
      <c r="J889">
        <v>12</v>
      </c>
      <c r="K889" t="s">
        <v>13</v>
      </c>
      <c r="L889" t="s">
        <v>45</v>
      </c>
      <c r="M889" t="s">
        <v>26</v>
      </c>
      <c r="N889" s="25">
        <v>40788</v>
      </c>
      <c r="O889">
        <v>826.84799999999996</v>
      </c>
      <c r="P889">
        <v>826.84799999999996</v>
      </c>
    </row>
    <row r="890" spans="1:16" x14ac:dyDescent="0.35">
      <c r="A890">
        <v>890</v>
      </c>
      <c r="B890" t="s">
        <v>64</v>
      </c>
      <c r="C890" t="s">
        <v>61</v>
      </c>
      <c r="D890" t="s">
        <v>66</v>
      </c>
      <c r="E890" t="s">
        <v>70</v>
      </c>
      <c r="F890">
        <v>1</v>
      </c>
      <c r="G890">
        <v>41800</v>
      </c>
      <c r="H890">
        <v>3</v>
      </c>
      <c r="I890" t="s">
        <v>67</v>
      </c>
      <c r="J890">
        <v>24</v>
      </c>
      <c r="K890" t="s">
        <v>15</v>
      </c>
      <c r="L890" t="s">
        <v>52</v>
      </c>
      <c r="M890" t="s">
        <v>31</v>
      </c>
      <c r="N890" s="25">
        <v>41331</v>
      </c>
      <c r="O890">
        <v>300.73599999999999</v>
      </c>
      <c r="P890">
        <v>300.73599999999999</v>
      </c>
    </row>
    <row r="891" spans="1:16" x14ac:dyDescent="0.35">
      <c r="A891">
        <v>891</v>
      </c>
      <c r="B891" t="s">
        <v>63</v>
      </c>
      <c r="C891" t="s">
        <v>61</v>
      </c>
      <c r="D891" t="s">
        <v>66</v>
      </c>
      <c r="E891" t="s">
        <v>2</v>
      </c>
      <c r="F891">
        <v>0</v>
      </c>
      <c r="G891">
        <v>53600</v>
      </c>
      <c r="H891">
        <v>3</v>
      </c>
      <c r="I891" t="s">
        <v>68</v>
      </c>
      <c r="J891">
        <v>24</v>
      </c>
      <c r="K891" t="s">
        <v>15</v>
      </c>
      <c r="L891" t="s">
        <v>42</v>
      </c>
      <c r="M891" t="s">
        <v>32</v>
      </c>
      <c r="N891" s="25">
        <v>40386</v>
      </c>
      <c r="O891">
        <v>1560.11</v>
      </c>
      <c r="P891">
        <v>1560.11</v>
      </c>
    </row>
    <row r="892" spans="1:16" x14ac:dyDescent="0.35">
      <c r="A892">
        <v>892</v>
      </c>
      <c r="B892" t="s">
        <v>64</v>
      </c>
      <c r="C892" t="s">
        <v>61</v>
      </c>
      <c r="D892" t="s">
        <v>58</v>
      </c>
      <c r="E892" t="s">
        <v>2</v>
      </c>
      <c r="F892">
        <v>1</v>
      </c>
      <c r="G892">
        <v>96900</v>
      </c>
      <c r="H892">
        <v>0</v>
      </c>
      <c r="I892" t="s">
        <v>69</v>
      </c>
      <c r="J892">
        <v>6</v>
      </c>
      <c r="K892" t="s">
        <v>14</v>
      </c>
      <c r="L892" t="s">
        <v>51</v>
      </c>
      <c r="M892" t="s">
        <v>38</v>
      </c>
      <c r="N892" s="25">
        <v>40068</v>
      </c>
      <c r="O892">
        <v>1159.2170000000001</v>
      </c>
      <c r="P892">
        <v>1159.2170000000001</v>
      </c>
    </row>
    <row r="893" spans="1:16" x14ac:dyDescent="0.35">
      <c r="A893">
        <v>893</v>
      </c>
      <c r="B893" t="s">
        <v>63</v>
      </c>
      <c r="C893" t="s">
        <v>61</v>
      </c>
      <c r="D893" t="s">
        <v>66</v>
      </c>
      <c r="E893" t="s">
        <v>70</v>
      </c>
      <c r="F893">
        <v>1</v>
      </c>
      <c r="G893">
        <v>10200</v>
      </c>
      <c r="H893">
        <v>0</v>
      </c>
      <c r="I893" t="s">
        <v>8</v>
      </c>
      <c r="J893">
        <v>24</v>
      </c>
      <c r="K893" t="s">
        <v>12</v>
      </c>
      <c r="L893" t="s">
        <v>47</v>
      </c>
      <c r="M893" t="s">
        <v>16</v>
      </c>
      <c r="N893" s="25">
        <v>42098</v>
      </c>
      <c r="O893">
        <v>361.78899999999999</v>
      </c>
      <c r="P893">
        <v>361.78899999999999</v>
      </c>
    </row>
    <row r="894" spans="1:16" x14ac:dyDescent="0.35">
      <c r="A894">
        <v>894</v>
      </c>
      <c r="B894" t="s">
        <v>64</v>
      </c>
      <c r="C894" t="s">
        <v>61</v>
      </c>
      <c r="D894" t="s">
        <v>66</v>
      </c>
      <c r="E894" t="s">
        <v>70</v>
      </c>
      <c r="F894">
        <v>0</v>
      </c>
      <c r="G894">
        <v>49000</v>
      </c>
      <c r="H894">
        <v>0</v>
      </c>
      <c r="I894" t="s">
        <v>69</v>
      </c>
      <c r="J894">
        <v>18</v>
      </c>
      <c r="K894" t="s">
        <v>12</v>
      </c>
      <c r="L894" t="s">
        <v>47</v>
      </c>
      <c r="M894" t="s">
        <v>16</v>
      </c>
      <c r="N894" s="25">
        <v>40704</v>
      </c>
      <c r="O894">
        <v>1523.3789999999999</v>
      </c>
      <c r="P894">
        <v>1523.3789999999999</v>
      </c>
    </row>
    <row r="895" spans="1:16" x14ac:dyDescent="0.35">
      <c r="A895">
        <v>895</v>
      </c>
      <c r="B895" t="s">
        <v>65</v>
      </c>
      <c r="C895" t="s">
        <v>61</v>
      </c>
      <c r="D895" t="s">
        <v>58</v>
      </c>
      <c r="E895" t="s">
        <v>2</v>
      </c>
      <c r="F895">
        <v>0</v>
      </c>
      <c r="G895">
        <v>74500</v>
      </c>
      <c r="H895">
        <v>0</v>
      </c>
      <c r="I895" t="s">
        <v>8</v>
      </c>
      <c r="J895">
        <v>18</v>
      </c>
      <c r="K895" t="s">
        <v>14</v>
      </c>
      <c r="L895" t="s">
        <v>50</v>
      </c>
      <c r="M895" t="s">
        <v>35</v>
      </c>
      <c r="N895" s="25">
        <v>42010</v>
      </c>
      <c r="O895">
        <v>1413.2239999999999</v>
      </c>
      <c r="P895">
        <v>1413.2239999999999</v>
      </c>
    </row>
    <row r="896" spans="1:16" x14ac:dyDescent="0.35">
      <c r="A896">
        <v>896</v>
      </c>
      <c r="B896" t="s">
        <v>63</v>
      </c>
      <c r="C896" t="s">
        <v>61</v>
      </c>
      <c r="D896" t="s">
        <v>66</v>
      </c>
      <c r="E896" t="s">
        <v>70</v>
      </c>
      <c r="F896">
        <v>1</v>
      </c>
      <c r="G896">
        <v>19800</v>
      </c>
      <c r="H896">
        <v>2</v>
      </c>
      <c r="I896" t="s">
        <v>67</v>
      </c>
      <c r="J896">
        <v>12</v>
      </c>
      <c r="K896" t="s">
        <v>13</v>
      </c>
      <c r="L896" t="s">
        <v>42</v>
      </c>
      <c r="M896" t="s">
        <v>25</v>
      </c>
      <c r="N896" s="25">
        <v>41868</v>
      </c>
      <c r="O896">
        <v>209.422</v>
      </c>
      <c r="P896">
        <v>209.422</v>
      </c>
    </row>
    <row r="897" spans="1:16" x14ac:dyDescent="0.35">
      <c r="A897">
        <v>897</v>
      </c>
      <c r="B897" t="s">
        <v>65</v>
      </c>
      <c r="C897" t="s">
        <v>62</v>
      </c>
      <c r="D897" t="s">
        <v>66</v>
      </c>
      <c r="E897" t="s">
        <v>70</v>
      </c>
      <c r="F897">
        <v>0</v>
      </c>
      <c r="G897">
        <v>13900</v>
      </c>
      <c r="H897">
        <v>0</v>
      </c>
      <c r="I897" t="s">
        <v>67</v>
      </c>
      <c r="J897">
        <v>6</v>
      </c>
      <c r="K897" t="s">
        <v>15</v>
      </c>
      <c r="L897" t="s">
        <v>28</v>
      </c>
      <c r="M897" t="s">
        <v>33</v>
      </c>
      <c r="N897" s="25">
        <v>41005</v>
      </c>
      <c r="O897">
        <v>191.18299999999999</v>
      </c>
      <c r="P897">
        <v>191.18299999999999</v>
      </c>
    </row>
    <row r="898" spans="1:16" x14ac:dyDescent="0.35">
      <c r="A898">
        <v>898</v>
      </c>
      <c r="B898" t="s">
        <v>64</v>
      </c>
      <c r="C898" t="s">
        <v>61</v>
      </c>
      <c r="D898" t="s">
        <v>66</v>
      </c>
      <c r="E898" t="s">
        <v>70</v>
      </c>
      <c r="F898">
        <v>1</v>
      </c>
      <c r="G898">
        <v>42300</v>
      </c>
      <c r="H898">
        <v>0</v>
      </c>
      <c r="I898" t="s">
        <v>68</v>
      </c>
      <c r="J898">
        <v>24</v>
      </c>
      <c r="K898" t="s">
        <v>15</v>
      </c>
      <c r="L898" t="s">
        <v>28</v>
      </c>
      <c r="M898" t="s">
        <v>33</v>
      </c>
      <c r="N898" s="25">
        <v>41888</v>
      </c>
      <c r="O898">
        <v>1050.981</v>
      </c>
      <c r="P898">
        <v>1050.981</v>
      </c>
    </row>
    <row r="899" spans="1:16" x14ac:dyDescent="0.35">
      <c r="A899">
        <v>899</v>
      </c>
      <c r="B899" t="s">
        <v>65</v>
      </c>
      <c r="C899" t="s">
        <v>62</v>
      </c>
      <c r="D899" t="s">
        <v>58</v>
      </c>
      <c r="E899" t="s">
        <v>2</v>
      </c>
      <c r="F899">
        <v>1</v>
      </c>
      <c r="G899">
        <v>52200</v>
      </c>
      <c r="H899">
        <v>1</v>
      </c>
      <c r="I899" t="s">
        <v>68</v>
      </c>
      <c r="J899">
        <v>12</v>
      </c>
      <c r="K899" t="s">
        <v>13</v>
      </c>
      <c r="L899" t="s">
        <v>42</v>
      </c>
      <c r="M899" t="s">
        <v>25</v>
      </c>
      <c r="N899" s="25">
        <v>40326</v>
      </c>
      <c r="O899">
        <v>668.87300000000005</v>
      </c>
      <c r="P899">
        <v>668.87300000000005</v>
      </c>
    </row>
    <row r="900" spans="1:16" x14ac:dyDescent="0.35">
      <c r="A900">
        <v>900</v>
      </c>
      <c r="B900" t="s">
        <v>63</v>
      </c>
      <c r="C900" t="s">
        <v>62</v>
      </c>
      <c r="D900" t="s">
        <v>58</v>
      </c>
      <c r="E900" t="s">
        <v>2</v>
      </c>
      <c r="F900">
        <v>0</v>
      </c>
      <c r="G900">
        <v>70900</v>
      </c>
      <c r="H900">
        <v>0</v>
      </c>
      <c r="I900" t="s">
        <v>8</v>
      </c>
      <c r="J900">
        <v>6</v>
      </c>
      <c r="K900" t="s">
        <v>15</v>
      </c>
      <c r="L900" t="s">
        <v>42</v>
      </c>
      <c r="M900" t="s">
        <v>32</v>
      </c>
      <c r="N900" s="25">
        <v>42238</v>
      </c>
      <c r="O900">
        <v>689.98299999999995</v>
      </c>
      <c r="P900">
        <v>689.98299999999995</v>
      </c>
    </row>
    <row r="901" spans="1:16" x14ac:dyDescent="0.35">
      <c r="A901">
        <v>901</v>
      </c>
      <c r="B901" t="s">
        <v>65</v>
      </c>
      <c r="C901" t="s">
        <v>62</v>
      </c>
      <c r="D901" t="s">
        <v>58</v>
      </c>
      <c r="E901" t="s">
        <v>70</v>
      </c>
      <c r="F901">
        <v>1</v>
      </c>
      <c r="G901">
        <v>24400</v>
      </c>
      <c r="H901">
        <v>0</v>
      </c>
      <c r="I901" t="s">
        <v>67</v>
      </c>
      <c r="J901">
        <v>6</v>
      </c>
      <c r="K901" t="s">
        <v>15</v>
      </c>
      <c r="L901" t="s">
        <v>28</v>
      </c>
      <c r="M901" t="s">
        <v>33</v>
      </c>
      <c r="N901" s="25">
        <v>41721</v>
      </c>
      <c r="O901">
        <v>491.18700000000001</v>
      </c>
      <c r="P901">
        <v>491.18700000000001</v>
      </c>
    </row>
    <row r="902" spans="1:16" x14ac:dyDescent="0.35">
      <c r="A902">
        <v>902</v>
      </c>
      <c r="B902" t="s">
        <v>64</v>
      </c>
      <c r="C902" t="s">
        <v>62</v>
      </c>
      <c r="D902" t="s">
        <v>66</v>
      </c>
      <c r="E902" t="s">
        <v>2</v>
      </c>
      <c r="F902">
        <v>1</v>
      </c>
      <c r="G902">
        <v>68800</v>
      </c>
      <c r="H902">
        <v>0</v>
      </c>
      <c r="I902" t="s">
        <v>8</v>
      </c>
      <c r="J902">
        <v>6</v>
      </c>
      <c r="K902" t="s">
        <v>14</v>
      </c>
      <c r="L902" t="s">
        <v>50</v>
      </c>
      <c r="M902" t="s">
        <v>35</v>
      </c>
      <c r="N902" s="25">
        <v>42195</v>
      </c>
      <c r="O902">
        <v>1658.269</v>
      </c>
      <c r="P902">
        <v>1658.269</v>
      </c>
    </row>
    <row r="903" spans="1:16" x14ac:dyDescent="0.35">
      <c r="A903">
        <v>903</v>
      </c>
      <c r="B903" t="s">
        <v>63</v>
      </c>
      <c r="C903" t="s">
        <v>61</v>
      </c>
      <c r="D903" t="s">
        <v>66</v>
      </c>
      <c r="E903" t="s">
        <v>70</v>
      </c>
      <c r="F903">
        <v>1</v>
      </c>
      <c r="G903">
        <v>10400</v>
      </c>
      <c r="H903">
        <v>0</v>
      </c>
      <c r="I903" t="s">
        <v>8</v>
      </c>
      <c r="J903">
        <v>18</v>
      </c>
      <c r="K903" t="s">
        <v>13</v>
      </c>
      <c r="L903" t="s">
        <v>45</v>
      </c>
      <c r="M903" t="s">
        <v>26</v>
      </c>
      <c r="N903" s="25">
        <v>42176</v>
      </c>
      <c r="O903">
        <v>188.97800000000001</v>
      </c>
      <c r="P903">
        <v>188.97800000000001</v>
      </c>
    </row>
    <row r="904" spans="1:16" x14ac:dyDescent="0.35">
      <c r="A904">
        <v>904</v>
      </c>
      <c r="B904" t="s">
        <v>64</v>
      </c>
      <c r="C904" t="s">
        <v>61</v>
      </c>
      <c r="D904" t="s">
        <v>58</v>
      </c>
      <c r="E904" t="s">
        <v>2</v>
      </c>
      <c r="F904">
        <v>0</v>
      </c>
      <c r="G904">
        <v>79200</v>
      </c>
      <c r="H904">
        <v>1</v>
      </c>
      <c r="I904" t="s">
        <v>69</v>
      </c>
      <c r="J904">
        <v>6</v>
      </c>
      <c r="K904" t="s">
        <v>12</v>
      </c>
      <c r="L904" t="s">
        <v>54</v>
      </c>
      <c r="M904" t="s">
        <v>21</v>
      </c>
      <c r="N904" s="25">
        <v>39915</v>
      </c>
      <c r="O904">
        <v>1904.52</v>
      </c>
      <c r="P904">
        <v>1904.52</v>
      </c>
    </row>
    <row r="905" spans="1:16" x14ac:dyDescent="0.35">
      <c r="A905">
        <v>905</v>
      </c>
      <c r="B905" t="s">
        <v>63</v>
      </c>
      <c r="C905" t="s">
        <v>61</v>
      </c>
      <c r="D905" t="s">
        <v>66</v>
      </c>
      <c r="E905" t="s">
        <v>70</v>
      </c>
      <c r="F905">
        <v>1</v>
      </c>
      <c r="G905">
        <v>18000</v>
      </c>
      <c r="H905">
        <v>0</v>
      </c>
      <c r="I905" t="s">
        <v>67</v>
      </c>
      <c r="J905">
        <v>12</v>
      </c>
      <c r="K905" t="s">
        <v>14</v>
      </c>
      <c r="L905" t="s">
        <v>50</v>
      </c>
      <c r="M905" t="s">
        <v>35</v>
      </c>
      <c r="N905" s="25">
        <v>41899</v>
      </c>
      <c r="O905">
        <v>303.065</v>
      </c>
      <c r="P905">
        <v>303.065</v>
      </c>
    </row>
    <row r="906" spans="1:16" x14ac:dyDescent="0.35">
      <c r="A906">
        <v>906</v>
      </c>
      <c r="B906" t="s">
        <v>64</v>
      </c>
      <c r="C906" t="s">
        <v>62</v>
      </c>
      <c r="D906" t="s">
        <v>58</v>
      </c>
      <c r="E906" t="s">
        <v>70</v>
      </c>
      <c r="F906">
        <v>1</v>
      </c>
      <c r="G906">
        <v>43100</v>
      </c>
      <c r="H906">
        <v>0</v>
      </c>
      <c r="I906" t="s">
        <v>8</v>
      </c>
      <c r="J906">
        <v>24</v>
      </c>
      <c r="K906" t="s">
        <v>15</v>
      </c>
      <c r="L906" t="s">
        <v>52</v>
      </c>
      <c r="M906" t="s">
        <v>30</v>
      </c>
      <c r="N906" s="25">
        <v>42055</v>
      </c>
      <c r="O906">
        <v>1443.6089999999999</v>
      </c>
      <c r="P906">
        <v>1443.6089999999999</v>
      </c>
    </row>
    <row r="907" spans="1:16" x14ac:dyDescent="0.35">
      <c r="A907">
        <v>907</v>
      </c>
      <c r="B907" t="s">
        <v>63</v>
      </c>
      <c r="C907" t="s">
        <v>62</v>
      </c>
      <c r="D907" t="s">
        <v>58</v>
      </c>
      <c r="E907" t="s">
        <v>70</v>
      </c>
      <c r="F907">
        <v>1</v>
      </c>
      <c r="G907">
        <v>27800</v>
      </c>
      <c r="H907">
        <v>3</v>
      </c>
      <c r="I907" t="s">
        <v>8</v>
      </c>
      <c r="J907">
        <v>12</v>
      </c>
      <c r="K907" t="s">
        <v>12</v>
      </c>
      <c r="L907" t="s">
        <v>53</v>
      </c>
      <c r="M907" t="s">
        <v>19</v>
      </c>
      <c r="N907" s="25">
        <v>42226</v>
      </c>
      <c r="O907">
        <v>407.584</v>
      </c>
      <c r="P907">
        <v>407.584</v>
      </c>
    </row>
    <row r="908" spans="1:16" x14ac:dyDescent="0.35">
      <c r="A908">
        <v>908</v>
      </c>
      <c r="B908" t="s">
        <v>64</v>
      </c>
      <c r="C908" t="s">
        <v>61</v>
      </c>
      <c r="D908" t="s">
        <v>58</v>
      </c>
      <c r="E908" t="s">
        <v>2</v>
      </c>
      <c r="F908">
        <v>1</v>
      </c>
      <c r="G908">
        <v>97200</v>
      </c>
      <c r="H908">
        <v>0</v>
      </c>
      <c r="I908" t="s">
        <v>8</v>
      </c>
      <c r="J908">
        <v>12</v>
      </c>
      <c r="K908" t="s">
        <v>13</v>
      </c>
      <c r="L908" t="s">
        <v>42</v>
      </c>
      <c r="M908" t="s">
        <v>25</v>
      </c>
      <c r="N908" s="25">
        <v>42080</v>
      </c>
      <c r="O908">
        <v>1634.374</v>
      </c>
      <c r="P908">
        <v>1634.374</v>
      </c>
    </row>
    <row r="909" spans="1:16" x14ac:dyDescent="0.35">
      <c r="A909">
        <v>909</v>
      </c>
      <c r="B909" t="s">
        <v>64</v>
      </c>
      <c r="C909" t="s">
        <v>61</v>
      </c>
      <c r="D909" t="s">
        <v>66</v>
      </c>
      <c r="E909" t="s">
        <v>70</v>
      </c>
      <c r="F909">
        <v>1</v>
      </c>
      <c r="G909">
        <v>38600</v>
      </c>
      <c r="H909">
        <v>1</v>
      </c>
      <c r="I909" t="s">
        <v>67</v>
      </c>
      <c r="J909">
        <v>18</v>
      </c>
      <c r="K909" t="s">
        <v>12</v>
      </c>
      <c r="L909" t="s">
        <v>53</v>
      </c>
      <c r="M909" t="s">
        <v>19</v>
      </c>
      <c r="N909" s="25">
        <v>41961</v>
      </c>
      <c r="O909">
        <v>542.1</v>
      </c>
      <c r="P909">
        <v>542.1</v>
      </c>
    </row>
    <row r="910" spans="1:16" x14ac:dyDescent="0.35">
      <c r="A910">
        <v>910</v>
      </c>
      <c r="B910" t="s">
        <v>63</v>
      </c>
      <c r="C910" t="s">
        <v>61</v>
      </c>
      <c r="D910" t="s">
        <v>58</v>
      </c>
      <c r="E910" t="s">
        <v>2</v>
      </c>
      <c r="F910">
        <v>1</v>
      </c>
      <c r="G910">
        <v>55100</v>
      </c>
      <c r="H910">
        <v>0</v>
      </c>
      <c r="I910" t="s">
        <v>68</v>
      </c>
      <c r="J910">
        <v>18</v>
      </c>
      <c r="K910" t="s">
        <v>13</v>
      </c>
      <c r="L910" t="s">
        <v>43</v>
      </c>
      <c r="M910" t="s">
        <v>23</v>
      </c>
      <c r="N910" s="25">
        <v>41515</v>
      </c>
      <c r="O910">
        <v>1438.5229999999999</v>
      </c>
      <c r="P910">
        <v>1438.5229999999999</v>
      </c>
    </row>
    <row r="911" spans="1:16" x14ac:dyDescent="0.35">
      <c r="A911">
        <v>911</v>
      </c>
      <c r="B911" t="s">
        <v>65</v>
      </c>
      <c r="C911" t="s">
        <v>62</v>
      </c>
      <c r="D911" t="s">
        <v>58</v>
      </c>
      <c r="E911" t="s">
        <v>2</v>
      </c>
      <c r="F911">
        <v>1</v>
      </c>
      <c r="G911">
        <v>62800</v>
      </c>
      <c r="H911">
        <v>0</v>
      </c>
      <c r="I911" t="s">
        <v>69</v>
      </c>
      <c r="J911">
        <v>18</v>
      </c>
      <c r="K911" t="s">
        <v>15</v>
      </c>
      <c r="L911" t="s">
        <v>44</v>
      </c>
      <c r="M911" t="s">
        <v>29</v>
      </c>
      <c r="N911" s="25">
        <v>41640</v>
      </c>
      <c r="O911">
        <v>1403.374</v>
      </c>
      <c r="P911">
        <v>1403.374</v>
      </c>
    </row>
    <row r="912" spans="1:16" x14ac:dyDescent="0.35">
      <c r="A912">
        <v>912</v>
      </c>
      <c r="B912" t="s">
        <v>63</v>
      </c>
      <c r="C912" t="s">
        <v>62</v>
      </c>
      <c r="D912" t="s">
        <v>66</v>
      </c>
      <c r="E912" t="s">
        <v>70</v>
      </c>
      <c r="F912">
        <v>1</v>
      </c>
      <c r="G912">
        <v>29200</v>
      </c>
      <c r="H912">
        <v>3</v>
      </c>
      <c r="I912" t="s">
        <v>8</v>
      </c>
      <c r="J912">
        <v>6</v>
      </c>
      <c r="K912" t="s">
        <v>14</v>
      </c>
      <c r="L912" t="s">
        <v>50</v>
      </c>
      <c r="M912" t="s">
        <v>35</v>
      </c>
      <c r="N912" s="25">
        <v>42102</v>
      </c>
      <c r="O912">
        <v>636.28399999999999</v>
      </c>
      <c r="P912">
        <v>636.28399999999999</v>
      </c>
    </row>
    <row r="913" spans="1:16" x14ac:dyDescent="0.35">
      <c r="A913">
        <v>913</v>
      </c>
      <c r="B913" t="s">
        <v>63</v>
      </c>
      <c r="C913" t="s">
        <v>61</v>
      </c>
      <c r="D913" t="s">
        <v>66</v>
      </c>
      <c r="E913" t="s">
        <v>70</v>
      </c>
      <c r="F913">
        <v>1</v>
      </c>
      <c r="G913">
        <v>10200</v>
      </c>
      <c r="H913">
        <v>2</v>
      </c>
      <c r="I913" t="s">
        <v>8</v>
      </c>
      <c r="J913">
        <v>12</v>
      </c>
      <c r="K913" t="s">
        <v>13</v>
      </c>
      <c r="L913" t="s">
        <v>43</v>
      </c>
      <c r="M913" t="s">
        <v>23</v>
      </c>
      <c r="N913" s="25">
        <v>42208</v>
      </c>
      <c r="O913">
        <v>333.14299999999997</v>
      </c>
      <c r="P913">
        <v>333.14299999999997</v>
      </c>
    </row>
    <row r="914" spans="1:16" x14ac:dyDescent="0.35">
      <c r="A914">
        <v>914</v>
      </c>
      <c r="B914" t="s">
        <v>63</v>
      </c>
      <c r="C914" t="s">
        <v>62</v>
      </c>
      <c r="D914" t="s">
        <v>66</v>
      </c>
      <c r="E914" t="s">
        <v>70</v>
      </c>
      <c r="F914">
        <v>0</v>
      </c>
      <c r="G914">
        <v>14300</v>
      </c>
      <c r="H914">
        <v>2</v>
      </c>
      <c r="I914" t="s">
        <v>67</v>
      </c>
      <c r="J914">
        <v>6</v>
      </c>
      <c r="K914" t="s">
        <v>12</v>
      </c>
      <c r="L914" t="s">
        <v>54</v>
      </c>
      <c r="M914" t="s">
        <v>21</v>
      </c>
      <c r="N914" s="25">
        <v>41331</v>
      </c>
      <c r="O914">
        <v>193.82599999999999</v>
      </c>
      <c r="P914">
        <v>193.82599999999999</v>
      </c>
    </row>
    <row r="915" spans="1:16" x14ac:dyDescent="0.35">
      <c r="A915">
        <v>915</v>
      </c>
      <c r="B915" t="s">
        <v>64</v>
      </c>
      <c r="C915" t="s">
        <v>61</v>
      </c>
      <c r="D915" t="s">
        <v>66</v>
      </c>
      <c r="E915" t="s">
        <v>70</v>
      </c>
      <c r="F915">
        <v>1</v>
      </c>
      <c r="G915">
        <v>70000</v>
      </c>
      <c r="H915">
        <v>0</v>
      </c>
      <c r="I915" t="s">
        <v>69</v>
      </c>
      <c r="J915">
        <v>6</v>
      </c>
      <c r="K915" t="s">
        <v>13</v>
      </c>
      <c r="L915" t="s">
        <v>56</v>
      </c>
      <c r="M915" t="s">
        <v>24</v>
      </c>
      <c r="N915" s="25">
        <v>40340</v>
      </c>
      <c r="O915">
        <v>784.70100000000002</v>
      </c>
      <c r="P915">
        <v>784.70100000000002</v>
      </c>
    </row>
    <row r="916" spans="1:16" x14ac:dyDescent="0.35">
      <c r="A916">
        <v>916</v>
      </c>
      <c r="B916" t="s">
        <v>64</v>
      </c>
      <c r="C916" t="s">
        <v>62</v>
      </c>
      <c r="D916" t="s">
        <v>66</v>
      </c>
      <c r="E916" t="s">
        <v>2</v>
      </c>
      <c r="F916">
        <v>1</v>
      </c>
      <c r="G916">
        <v>79900</v>
      </c>
      <c r="H916">
        <v>1</v>
      </c>
      <c r="I916" t="s">
        <v>68</v>
      </c>
      <c r="J916">
        <v>18</v>
      </c>
      <c r="K916" t="s">
        <v>15</v>
      </c>
      <c r="L916" t="s">
        <v>42</v>
      </c>
      <c r="M916" t="s">
        <v>32</v>
      </c>
      <c r="N916" s="25">
        <v>41055</v>
      </c>
      <c r="O916">
        <v>1165.0630000000001</v>
      </c>
      <c r="P916">
        <v>1165.0630000000001</v>
      </c>
    </row>
    <row r="917" spans="1:16" x14ac:dyDescent="0.35">
      <c r="A917">
        <v>917</v>
      </c>
      <c r="B917" t="s">
        <v>63</v>
      </c>
      <c r="C917" t="s">
        <v>62</v>
      </c>
      <c r="D917" t="s">
        <v>66</v>
      </c>
      <c r="E917" t="s">
        <v>70</v>
      </c>
      <c r="F917">
        <v>1</v>
      </c>
      <c r="G917">
        <v>12500</v>
      </c>
      <c r="H917">
        <v>1</v>
      </c>
      <c r="I917" t="s">
        <v>67</v>
      </c>
      <c r="J917">
        <v>6</v>
      </c>
      <c r="K917" t="s">
        <v>14</v>
      </c>
      <c r="L917" t="s">
        <v>50</v>
      </c>
      <c r="M917" t="s">
        <v>34</v>
      </c>
      <c r="N917" s="25">
        <v>40636</v>
      </c>
      <c r="O917">
        <v>201.82900000000001</v>
      </c>
      <c r="P917">
        <v>201.82900000000001</v>
      </c>
    </row>
    <row r="918" spans="1:16" x14ac:dyDescent="0.35">
      <c r="A918">
        <v>918</v>
      </c>
      <c r="B918" t="s">
        <v>64</v>
      </c>
      <c r="C918" t="s">
        <v>62</v>
      </c>
      <c r="D918" t="s">
        <v>66</v>
      </c>
      <c r="E918" t="s">
        <v>2</v>
      </c>
      <c r="F918">
        <v>1</v>
      </c>
      <c r="G918">
        <v>84200</v>
      </c>
      <c r="H918">
        <v>2</v>
      </c>
      <c r="I918" t="s">
        <v>68</v>
      </c>
      <c r="J918">
        <v>24</v>
      </c>
      <c r="K918" t="s">
        <v>15</v>
      </c>
      <c r="L918" t="s">
        <v>52</v>
      </c>
      <c r="M918" t="s">
        <v>31</v>
      </c>
      <c r="N918" s="25">
        <v>41796</v>
      </c>
      <c r="O918">
        <v>953.85299999999995</v>
      </c>
      <c r="P918">
        <v>953.85299999999995</v>
      </c>
    </row>
    <row r="919" spans="1:16" x14ac:dyDescent="0.35">
      <c r="A919">
        <v>919</v>
      </c>
      <c r="B919" t="s">
        <v>65</v>
      </c>
      <c r="C919" t="s">
        <v>62</v>
      </c>
      <c r="D919" t="s">
        <v>66</v>
      </c>
      <c r="E919" t="s">
        <v>70</v>
      </c>
      <c r="F919">
        <v>1</v>
      </c>
      <c r="G919">
        <v>14600</v>
      </c>
      <c r="H919">
        <v>1</v>
      </c>
      <c r="I919" t="s">
        <v>67</v>
      </c>
      <c r="J919">
        <v>24</v>
      </c>
      <c r="K919" t="s">
        <v>12</v>
      </c>
      <c r="L919" t="s">
        <v>47</v>
      </c>
      <c r="M919" t="s">
        <v>16</v>
      </c>
      <c r="N919" s="25">
        <v>42190</v>
      </c>
      <c r="O919">
        <v>384.94600000000003</v>
      </c>
      <c r="P919">
        <v>384.94600000000003</v>
      </c>
    </row>
    <row r="920" spans="1:16" x14ac:dyDescent="0.35">
      <c r="A920">
        <v>920</v>
      </c>
      <c r="B920" t="s">
        <v>63</v>
      </c>
      <c r="C920" t="s">
        <v>62</v>
      </c>
      <c r="D920" t="s">
        <v>66</v>
      </c>
      <c r="E920" t="s">
        <v>2</v>
      </c>
      <c r="F920">
        <v>1</v>
      </c>
      <c r="G920">
        <v>13800</v>
      </c>
      <c r="H920">
        <v>0</v>
      </c>
      <c r="I920" t="s">
        <v>67</v>
      </c>
      <c r="J920">
        <v>18</v>
      </c>
      <c r="K920" t="s">
        <v>14</v>
      </c>
      <c r="L920" t="s">
        <v>50</v>
      </c>
      <c r="M920" t="s">
        <v>35</v>
      </c>
      <c r="N920" s="25">
        <v>41640</v>
      </c>
      <c r="O920">
        <v>363.46800000000002</v>
      </c>
      <c r="P920">
        <v>363.46800000000002</v>
      </c>
    </row>
    <row r="921" spans="1:16" x14ac:dyDescent="0.35">
      <c r="A921">
        <v>921</v>
      </c>
      <c r="B921" t="s">
        <v>64</v>
      </c>
      <c r="C921" t="s">
        <v>61</v>
      </c>
      <c r="D921" t="s">
        <v>66</v>
      </c>
      <c r="E921" t="s">
        <v>2</v>
      </c>
      <c r="F921">
        <v>0</v>
      </c>
      <c r="G921">
        <v>72200</v>
      </c>
      <c r="H921">
        <v>1</v>
      </c>
      <c r="I921" t="s">
        <v>69</v>
      </c>
      <c r="J921">
        <v>12</v>
      </c>
      <c r="K921" t="s">
        <v>13</v>
      </c>
      <c r="L921" t="s">
        <v>48</v>
      </c>
      <c r="M921" t="s">
        <v>27</v>
      </c>
      <c r="N921" s="25">
        <v>41925</v>
      </c>
      <c r="O921">
        <v>2081.7939999999999</v>
      </c>
      <c r="P921">
        <v>2081.7939999999999</v>
      </c>
    </row>
    <row r="922" spans="1:16" x14ac:dyDescent="0.35">
      <c r="A922">
        <v>922</v>
      </c>
      <c r="B922" t="s">
        <v>64</v>
      </c>
      <c r="C922" t="s">
        <v>61</v>
      </c>
      <c r="D922" t="s">
        <v>66</v>
      </c>
      <c r="E922" t="s">
        <v>70</v>
      </c>
      <c r="F922">
        <v>1</v>
      </c>
      <c r="G922">
        <v>49100</v>
      </c>
      <c r="H922">
        <v>0</v>
      </c>
      <c r="I922" t="s">
        <v>8</v>
      </c>
      <c r="J922">
        <v>6</v>
      </c>
      <c r="K922" t="s">
        <v>15</v>
      </c>
      <c r="L922" t="s">
        <v>28</v>
      </c>
      <c r="M922" t="s">
        <v>33</v>
      </c>
      <c r="N922" s="25">
        <v>42185</v>
      </c>
      <c r="O922">
        <v>934.38599999999997</v>
      </c>
      <c r="P922">
        <v>934.38599999999997</v>
      </c>
    </row>
    <row r="923" spans="1:16" x14ac:dyDescent="0.35">
      <c r="A923">
        <v>923</v>
      </c>
      <c r="B923" t="s">
        <v>64</v>
      </c>
      <c r="C923" t="s">
        <v>62</v>
      </c>
      <c r="D923" t="s">
        <v>58</v>
      </c>
      <c r="E923" t="s">
        <v>70</v>
      </c>
      <c r="F923">
        <v>1</v>
      </c>
      <c r="G923">
        <v>53300</v>
      </c>
      <c r="H923">
        <v>3</v>
      </c>
      <c r="I923" t="s">
        <v>8</v>
      </c>
      <c r="J923">
        <v>6</v>
      </c>
      <c r="K923" t="s">
        <v>15</v>
      </c>
      <c r="L923" t="s">
        <v>52</v>
      </c>
      <c r="M923" t="s">
        <v>30</v>
      </c>
      <c r="N923" s="25">
        <v>42187</v>
      </c>
      <c r="O923">
        <v>507.69</v>
      </c>
      <c r="P923">
        <v>507.69</v>
      </c>
    </row>
    <row r="924" spans="1:16" x14ac:dyDescent="0.35">
      <c r="A924">
        <v>924</v>
      </c>
      <c r="B924" t="s">
        <v>64</v>
      </c>
      <c r="C924" t="s">
        <v>61</v>
      </c>
      <c r="D924" t="s">
        <v>58</v>
      </c>
      <c r="E924" t="s">
        <v>2</v>
      </c>
      <c r="F924">
        <v>1</v>
      </c>
      <c r="G924">
        <v>118600</v>
      </c>
      <c r="H924">
        <v>1</v>
      </c>
      <c r="I924" t="s">
        <v>8</v>
      </c>
      <c r="J924">
        <v>12</v>
      </c>
      <c r="K924" t="s">
        <v>12</v>
      </c>
      <c r="L924" t="s">
        <v>41</v>
      </c>
      <c r="M924" t="s">
        <v>20</v>
      </c>
      <c r="N924" s="25">
        <v>42042</v>
      </c>
      <c r="O924">
        <v>1553.3710000000001</v>
      </c>
      <c r="P924">
        <v>1553.3710000000001</v>
      </c>
    </row>
    <row r="925" spans="1:16" x14ac:dyDescent="0.35">
      <c r="A925">
        <v>925</v>
      </c>
      <c r="B925" t="s">
        <v>63</v>
      </c>
      <c r="C925" t="s">
        <v>61</v>
      </c>
      <c r="D925" t="s">
        <v>66</v>
      </c>
      <c r="E925" t="s">
        <v>2</v>
      </c>
      <c r="F925">
        <v>1</v>
      </c>
      <c r="G925">
        <v>56900</v>
      </c>
      <c r="H925">
        <v>2</v>
      </c>
      <c r="I925" t="s">
        <v>67</v>
      </c>
      <c r="J925">
        <v>12</v>
      </c>
      <c r="K925" t="s">
        <v>13</v>
      </c>
      <c r="L925" t="s">
        <v>45</v>
      </c>
      <c r="M925" t="s">
        <v>26</v>
      </c>
      <c r="N925" s="25">
        <v>41523</v>
      </c>
      <c r="O925">
        <v>687.09400000000005</v>
      </c>
      <c r="P925">
        <v>687.09400000000005</v>
      </c>
    </row>
    <row r="926" spans="1:16" x14ac:dyDescent="0.35">
      <c r="A926">
        <v>926</v>
      </c>
      <c r="B926" t="s">
        <v>64</v>
      </c>
      <c r="C926" t="s">
        <v>61</v>
      </c>
      <c r="D926" t="s">
        <v>58</v>
      </c>
      <c r="E926" t="s">
        <v>2</v>
      </c>
      <c r="F926">
        <v>1</v>
      </c>
      <c r="G926">
        <v>109200</v>
      </c>
      <c r="H926">
        <v>3</v>
      </c>
      <c r="I926" t="s">
        <v>67</v>
      </c>
      <c r="J926">
        <v>24</v>
      </c>
      <c r="K926" t="s">
        <v>14</v>
      </c>
      <c r="L926" t="s">
        <v>50</v>
      </c>
      <c r="M926" t="s">
        <v>34</v>
      </c>
      <c r="N926" s="25">
        <v>42140</v>
      </c>
      <c r="O926">
        <v>1102.0840000000001</v>
      </c>
      <c r="P926">
        <v>1102.0840000000001</v>
      </c>
    </row>
    <row r="927" spans="1:16" x14ac:dyDescent="0.35">
      <c r="A927">
        <v>927</v>
      </c>
      <c r="B927" t="s">
        <v>63</v>
      </c>
      <c r="C927" t="s">
        <v>62</v>
      </c>
      <c r="D927" t="s">
        <v>66</v>
      </c>
      <c r="E927" t="s">
        <v>70</v>
      </c>
      <c r="F927">
        <v>1</v>
      </c>
      <c r="G927">
        <v>23200</v>
      </c>
      <c r="H927">
        <v>3</v>
      </c>
      <c r="I927" t="s">
        <v>8</v>
      </c>
      <c r="J927">
        <v>24</v>
      </c>
      <c r="K927" t="s">
        <v>14</v>
      </c>
      <c r="L927" t="s">
        <v>40</v>
      </c>
      <c r="M927" t="s">
        <v>36</v>
      </c>
      <c r="N927" s="25">
        <v>42191</v>
      </c>
      <c r="O927">
        <v>769.77300000000002</v>
      </c>
      <c r="P927">
        <v>769.77300000000002</v>
      </c>
    </row>
    <row r="928" spans="1:16" x14ac:dyDescent="0.35">
      <c r="A928">
        <v>928</v>
      </c>
      <c r="B928" t="s">
        <v>64</v>
      </c>
      <c r="C928" t="s">
        <v>62</v>
      </c>
      <c r="D928" t="s">
        <v>66</v>
      </c>
      <c r="E928" t="s">
        <v>2</v>
      </c>
      <c r="F928">
        <v>0</v>
      </c>
      <c r="G928">
        <v>61500</v>
      </c>
      <c r="H928">
        <v>3</v>
      </c>
      <c r="I928" t="s">
        <v>68</v>
      </c>
      <c r="J928">
        <v>24</v>
      </c>
      <c r="K928" t="s">
        <v>13</v>
      </c>
      <c r="L928" t="s">
        <v>48</v>
      </c>
      <c r="M928" t="s">
        <v>27</v>
      </c>
      <c r="N928" s="25">
        <v>41560</v>
      </c>
      <c r="O928">
        <v>1161.732</v>
      </c>
      <c r="P928">
        <v>1161.732</v>
      </c>
    </row>
    <row r="929" spans="1:16" x14ac:dyDescent="0.35">
      <c r="A929">
        <v>929</v>
      </c>
      <c r="B929" t="s">
        <v>63</v>
      </c>
      <c r="C929" t="s">
        <v>62</v>
      </c>
      <c r="D929" t="s">
        <v>66</v>
      </c>
      <c r="E929" t="s">
        <v>70</v>
      </c>
      <c r="F929">
        <v>0</v>
      </c>
      <c r="G929">
        <v>25600</v>
      </c>
      <c r="H929">
        <v>2</v>
      </c>
      <c r="I929" t="s">
        <v>8</v>
      </c>
      <c r="J929">
        <v>18</v>
      </c>
      <c r="K929" t="s">
        <v>13</v>
      </c>
      <c r="L929" t="s">
        <v>56</v>
      </c>
      <c r="M929" t="s">
        <v>24</v>
      </c>
      <c r="N929" s="25">
        <v>42022</v>
      </c>
      <c r="O929">
        <v>425.71800000000002</v>
      </c>
      <c r="P929">
        <v>425.71800000000002</v>
      </c>
    </row>
    <row r="930" spans="1:16" x14ac:dyDescent="0.35">
      <c r="A930">
        <v>930</v>
      </c>
      <c r="B930" t="s">
        <v>65</v>
      </c>
      <c r="C930" t="s">
        <v>62</v>
      </c>
      <c r="D930" t="s">
        <v>66</v>
      </c>
      <c r="E930" t="s">
        <v>70</v>
      </c>
      <c r="F930">
        <v>0</v>
      </c>
      <c r="G930">
        <v>15000</v>
      </c>
      <c r="H930">
        <v>0</v>
      </c>
      <c r="I930" t="s">
        <v>67</v>
      </c>
      <c r="J930">
        <v>12</v>
      </c>
      <c r="K930" t="s">
        <v>15</v>
      </c>
      <c r="L930" t="s">
        <v>28</v>
      </c>
      <c r="M930" t="s">
        <v>28</v>
      </c>
      <c r="N930" s="25">
        <v>41162</v>
      </c>
      <c r="O930">
        <v>377.952</v>
      </c>
      <c r="P930">
        <v>377.952</v>
      </c>
    </row>
    <row r="931" spans="1:16" x14ac:dyDescent="0.35">
      <c r="A931">
        <v>931</v>
      </c>
      <c r="B931" t="s">
        <v>65</v>
      </c>
      <c r="C931" t="s">
        <v>61</v>
      </c>
      <c r="D931" t="s">
        <v>58</v>
      </c>
      <c r="E931" t="s">
        <v>2</v>
      </c>
      <c r="F931">
        <v>1</v>
      </c>
      <c r="G931">
        <v>168800</v>
      </c>
      <c r="H931">
        <v>0</v>
      </c>
      <c r="I931" t="s">
        <v>69</v>
      </c>
      <c r="J931">
        <v>6</v>
      </c>
      <c r="K931" t="s">
        <v>15</v>
      </c>
      <c r="L931" t="s">
        <v>52</v>
      </c>
      <c r="M931" t="s">
        <v>30</v>
      </c>
      <c r="N931" s="25">
        <v>40831</v>
      </c>
      <c r="O931">
        <v>1511.751</v>
      </c>
      <c r="P931">
        <v>1511.751</v>
      </c>
    </row>
    <row r="932" spans="1:16" x14ac:dyDescent="0.35">
      <c r="A932">
        <v>932</v>
      </c>
      <c r="B932" t="s">
        <v>65</v>
      </c>
      <c r="C932" t="s">
        <v>61</v>
      </c>
      <c r="D932" t="s">
        <v>66</v>
      </c>
      <c r="E932" t="s">
        <v>2</v>
      </c>
      <c r="F932">
        <v>1</v>
      </c>
      <c r="G932">
        <v>49600</v>
      </c>
      <c r="H932">
        <v>0</v>
      </c>
      <c r="I932" t="s">
        <v>68</v>
      </c>
      <c r="J932">
        <v>6</v>
      </c>
      <c r="K932" t="s">
        <v>14</v>
      </c>
      <c r="L932" t="s">
        <v>50</v>
      </c>
      <c r="M932" t="s">
        <v>35</v>
      </c>
      <c r="N932" s="25">
        <v>41589</v>
      </c>
      <c r="O932">
        <v>770.11400000000003</v>
      </c>
      <c r="P932">
        <v>770.11400000000003</v>
      </c>
    </row>
    <row r="933" spans="1:16" x14ac:dyDescent="0.35">
      <c r="A933">
        <v>933</v>
      </c>
      <c r="B933" t="s">
        <v>65</v>
      </c>
      <c r="C933" t="s">
        <v>62</v>
      </c>
      <c r="D933" t="s">
        <v>58</v>
      </c>
      <c r="E933" t="s">
        <v>70</v>
      </c>
      <c r="F933">
        <v>0</v>
      </c>
      <c r="G933">
        <v>40600</v>
      </c>
      <c r="H933">
        <v>2</v>
      </c>
      <c r="I933" t="s">
        <v>68</v>
      </c>
      <c r="J933">
        <v>6</v>
      </c>
      <c r="K933" t="s">
        <v>14</v>
      </c>
      <c r="L933" t="s">
        <v>51</v>
      </c>
      <c r="M933" t="s">
        <v>38</v>
      </c>
      <c r="N933" s="25">
        <v>41710</v>
      </c>
      <c r="O933">
        <v>690.24800000000005</v>
      </c>
      <c r="P933">
        <v>690.24800000000005</v>
      </c>
    </row>
    <row r="934" spans="1:16" x14ac:dyDescent="0.35">
      <c r="A934">
        <v>934</v>
      </c>
      <c r="B934" t="s">
        <v>64</v>
      </c>
      <c r="C934" t="s">
        <v>62</v>
      </c>
      <c r="D934" t="s">
        <v>58</v>
      </c>
      <c r="E934" t="s">
        <v>2</v>
      </c>
      <c r="F934">
        <v>1</v>
      </c>
      <c r="G934">
        <v>111900</v>
      </c>
      <c r="H934">
        <v>1</v>
      </c>
      <c r="I934" t="s">
        <v>8</v>
      </c>
      <c r="J934">
        <v>12</v>
      </c>
      <c r="K934" t="s">
        <v>14</v>
      </c>
      <c r="L934" t="s">
        <v>50</v>
      </c>
      <c r="M934" t="s">
        <v>35</v>
      </c>
      <c r="N934" s="25">
        <v>42111</v>
      </c>
      <c r="O934">
        <v>2340.1999999999998</v>
      </c>
      <c r="P934">
        <v>2340.1999999999998</v>
      </c>
    </row>
    <row r="935" spans="1:16" x14ac:dyDescent="0.35">
      <c r="A935">
        <v>935</v>
      </c>
      <c r="B935" t="s">
        <v>63</v>
      </c>
      <c r="C935" t="s">
        <v>61</v>
      </c>
      <c r="D935" t="s">
        <v>66</v>
      </c>
      <c r="E935" t="s">
        <v>70</v>
      </c>
      <c r="F935">
        <v>0</v>
      </c>
      <c r="G935">
        <v>17500</v>
      </c>
      <c r="H935">
        <v>0</v>
      </c>
      <c r="I935" t="s">
        <v>67</v>
      </c>
      <c r="J935">
        <v>18</v>
      </c>
      <c r="K935" t="s">
        <v>13</v>
      </c>
      <c r="L935" t="s">
        <v>45</v>
      </c>
      <c r="M935" t="s">
        <v>26</v>
      </c>
      <c r="N935" s="25">
        <v>42197</v>
      </c>
      <c r="O935">
        <v>471.78500000000003</v>
      </c>
      <c r="P935">
        <v>471.78500000000003</v>
      </c>
    </row>
    <row r="936" spans="1:16" x14ac:dyDescent="0.35">
      <c r="A936">
        <v>936</v>
      </c>
      <c r="B936" t="s">
        <v>65</v>
      </c>
      <c r="C936" t="s">
        <v>62</v>
      </c>
      <c r="D936" t="s">
        <v>58</v>
      </c>
      <c r="E936" t="s">
        <v>70</v>
      </c>
      <c r="F936">
        <v>1</v>
      </c>
      <c r="G936">
        <v>64600</v>
      </c>
      <c r="H936">
        <v>0</v>
      </c>
      <c r="I936" t="s">
        <v>8</v>
      </c>
      <c r="J936">
        <v>6</v>
      </c>
      <c r="K936" t="s">
        <v>13</v>
      </c>
      <c r="L936" t="s">
        <v>48</v>
      </c>
      <c r="M936" t="s">
        <v>27</v>
      </c>
      <c r="N936" s="25">
        <v>42143</v>
      </c>
      <c r="O936">
        <v>1297.7739999999999</v>
      </c>
      <c r="P936">
        <v>1297.7739999999999</v>
      </c>
    </row>
    <row r="937" spans="1:16" x14ac:dyDescent="0.35">
      <c r="A937">
        <v>937</v>
      </c>
      <c r="B937" t="s">
        <v>65</v>
      </c>
      <c r="C937" t="s">
        <v>62</v>
      </c>
      <c r="D937" t="s">
        <v>58</v>
      </c>
      <c r="E937" t="s">
        <v>70</v>
      </c>
      <c r="F937">
        <v>1</v>
      </c>
      <c r="G937">
        <v>33000</v>
      </c>
      <c r="H937">
        <v>3</v>
      </c>
      <c r="I937" t="s">
        <v>8</v>
      </c>
      <c r="J937">
        <v>6</v>
      </c>
      <c r="K937" t="s">
        <v>12</v>
      </c>
      <c r="L937" t="s">
        <v>53</v>
      </c>
      <c r="M937" t="s">
        <v>19</v>
      </c>
      <c r="N937" s="25">
        <v>42025</v>
      </c>
      <c r="O937">
        <v>700.351</v>
      </c>
      <c r="P937">
        <v>700.351</v>
      </c>
    </row>
    <row r="938" spans="1:16" x14ac:dyDescent="0.35">
      <c r="A938">
        <v>938</v>
      </c>
      <c r="B938" t="s">
        <v>65</v>
      </c>
      <c r="C938" t="s">
        <v>62</v>
      </c>
      <c r="D938" t="s">
        <v>58</v>
      </c>
      <c r="E938" t="s">
        <v>70</v>
      </c>
      <c r="F938">
        <v>1</v>
      </c>
      <c r="G938">
        <v>22800</v>
      </c>
      <c r="H938">
        <v>0</v>
      </c>
      <c r="I938" t="s">
        <v>67</v>
      </c>
      <c r="J938">
        <v>6</v>
      </c>
      <c r="K938" t="s">
        <v>15</v>
      </c>
      <c r="L938" t="s">
        <v>28</v>
      </c>
      <c r="M938" t="s">
        <v>28</v>
      </c>
      <c r="N938" s="25">
        <v>41933</v>
      </c>
      <c r="O938">
        <v>257.67</v>
      </c>
      <c r="P938">
        <v>257.67</v>
      </c>
    </row>
    <row r="939" spans="1:16" x14ac:dyDescent="0.35">
      <c r="A939">
        <v>939</v>
      </c>
      <c r="B939" t="s">
        <v>65</v>
      </c>
      <c r="C939" t="s">
        <v>61</v>
      </c>
      <c r="D939" t="s">
        <v>66</v>
      </c>
      <c r="E939" t="s">
        <v>2</v>
      </c>
      <c r="F939">
        <v>0</v>
      </c>
      <c r="G939">
        <v>23800</v>
      </c>
      <c r="H939">
        <v>0</v>
      </c>
      <c r="I939" t="s">
        <v>8</v>
      </c>
      <c r="J939">
        <v>12</v>
      </c>
      <c r="K939" t="s">
        <v>15</v>
      </c>
      <c r="L939" t="s">
        <v>44</v>
      </c>
      <c r="M939" t="s">
        <v>29</v>
      </c>
      <c r="N939" s="25">
        <v>42115</v>
      </c>
      <c r="O939">
        <v>428.25099999999998</v>
      </c>
      <c r="P939">
        <v>428.25099999999998</v>
      </c>
    </row>
    <row r="940" spans="1:16" x14ac:dyDescent="0.35">
      <c r="A940">
        <v>940</v>
      </c>
      <c r="B940" t="s">
        <v>64</v>
      </c>
      <c r="C940" t="s">
        <v>61</v>
      </c>
      <c r="D940" t="s">
        <v>58</v>
      </c>
      <c r="E940" t="s">
        <v>2</v>
      </c>
      <c r="F940">
        <v>0</v>
      </c>
      <c r="G940">
        <v>140000</v>
      </c>
      <c r="H940">
        <v>0</v>
      </c>
      <c r="I940" t="s">
        <v>69</v>
      </c>
      <c r="J940">
        <v>12</v>
      </c>
      <c r="K940" t="s">
        <v>12</v>
      </c>
      <c r="L940" t="s">
        <v>55</v>
      </c>
      <c r="M940" t="s">
        <v>17</v>
      </c>
      <c r="N940" s="25">
        <v>39870</v>
      </c>
      <c r="O940">
        <v>4894.2839999999997</v>
      </c>
      <c r="P940">
        <v>3500</v>
      </c>
    </row>
    <row r="941" spans="1:16" x14ac:dyDescent="0.35">
      <c r="A941">
        <v>941</v>
      </c>
      <c r="B941" t="s">
        <v>64</v>
      </c>
      <c r="C941" t="s">
        <v>62</v>
      </c>
      <c r="D941" t="s">
        <v>58</v>
      </c>
      <c r="E941" t="s">
        <v>2</v>
      </c>
      <c r="F941">
        <v>1</v>
      </c>
      <c r="G941">
        <v>96500</v>
      </c>
      <c r="H941">
        <v>1</v>
      </c>
      <c r="I941" t="s">
        <v>69</v>
      </c>
      <c r="J941">
        <v>18</v>
      </c>
      <c r="K941" t="s">
        <v>13</v>
      </c>
      <c r="L941" t="s">
        <v>48</v>
      </c>
      <c r="M941" t="s">
        <v>27</v>
      </c>
      <c r="N941" s="25">
        <v>41523</v>
      </c>
      <c r="O941">
        <v>1364.0719999999999</v>
      </c>
      <c r="P941">
        <v>1364.0719999999999</v>
      </c>
    </row>
    <row r="942" spans="1:16" x14ac:dyDescent="0.35">
      <c r="A942">
        <v>942</v>
      </c>
      <c r="B942" t="s">
        <v>63</v>
      </c>
      <c r="C942" t="s">
        <v>62</v>
      </c>
      <c r="D942" t="s">
        <v>66</v>
      </c>
      <c r="E942" t="s">
        <v>70</v>
      </c>
      <c r="F942">
        <v>1</v>
      </c>
      <c r="G942">
        <v>14200</v>
      </c>
      <c r="H942">
        <v>2</v>
      </c>
      <c r="I942" t="s">
        <v>67</v>
      </c>
      <c r="J942">
        <v>18</v>
      </c>
      <c r="K942" t="s">
        <v>15</v>
      </c>
      <c r="L942" t="s">
        <v>28</v>
      </c>
      <c r="M942" t="s">
        <v>33</v>
      </c>
      <c r="N942" s="25">
        <v>40941</v>
      </c>
      <c r="O942">
        <v>197.339</v>
      </c>
      <c r="P942">
        <v>197.339</v>
      </c>
    </row>
    <row r="943" spans="1:16" x14ac:dyDescent="0.35">
      <c r="A943">
        <v>943</v>
      </c>
      <c r="B943" t="s">
        <v>64</v>
      </c>
      <c r="C943" t="s">
        <v>61</v>
      </c>
      <c r="D943" t="s">
        <v>58</v>
      </c>
      <c r="E943" t="s">
        <v>2</v>
      </c>
      <c r="F943">
        <v>1</v>
      </c>
      <c r="G943">
        <v>98400</v>
      </c>
      <c r="H943">
        <v>0</v>
      </c>
      <c r="I943" t="s">
        <v>69</v>
      </c>
      <c r="J943">
        <v>18</v>
      </c>
      <c r="K943" t="s">
        <v>12</v>
      </c>
      <c r="L943" t="s">
        <v>54</v>
      </c>
      <c r="M943" t="s">
        <v>21</v>
      </c>
      <c r="N943" s="25">
        <v>41008</v>
      </c>
      <c r="O943">
        <v>3304.6030000000001</v>
      </c>
      <c r="P943">
        <v>3304.6030000000001</v>
      </c>
    </row>
    <row r="944" spans="1:16" x14ac:dyDescent="0.35">
      <c r="A944">
        <v>944</v>
      </c>
      <c r="B944" t="s">
        <v>64</v>
      </c>
      <c r="C944" t="s">
        <v>61</v>
      </c>
      <c r="D944" t="s">
        <v>58</v>
      </c>
      <c r="E944" t="s">
        <v>2</v>
      </c>
      <c r="F944">
        <v>1</v>
      </c>
      <c r="G944">
        <v>82400</v>
      </c>
      <c r="H944">
        <v>3</v>
      </c>
      <c r="I944" t="s">
        <v>8</v>
      </c>
      <c r="J944">
        <v>18</v>
      </c>
      <c r="K944" t="s">
        <v>15</v>
      </c>
      <c r="L944" t="s">
        <v>52</v>
      </c>
      <c r="M944" t="s">
        <v>31</v>
      </c>
      <c r="N944" s="25">
        <v>42013</v>
      </c>
      <c r="O944">
        <v>2122.4380000000001</v>
      </c>
      <c r="P944">
        <v>2122.4380000000001</v>
      </c>
    </row>
    <row r="945" spans="1:16" x14ac:dyDescent="0.35">
      <c r="A945">
        <v>945</v>
      </c>
      <c r="B945" t="s">
        <v>64</v>
      </c>
      <c r="C945" t="s">
        <v>61</v>
      </c>
      <c r="D945" t="s">
        <v>58</v>
      </c>
      <c r="E945" t="s">
        <v>2</v>
      </c>
      <c r="F945">
        <v>1</v>
      </c>
      <c r="G945">
        <v>76100</v>
      </c>
      <c r="H945">
        <v>0</v>
      </c>
      <c r="I945" t="s">
        <v>8</v>
      </c>
      <c r="J945">
        <v>6</v>
      </c>
      <c r="K945" t="s">
        <v>15</v>
      </c>
      <c r="L945" t="s">
        <v>28</v>
      </c>
      <c r="M945" t="s">
        <v>33</v>
      </c>
      <c r="N945" s="25">
        <v>42034</v>
      </c>
      <c r="O945">
        <v>719.34400000000005</v>
      </c>
      <c r="P945">
        <v>719.34400000000005</v>
      </c>
    </row>
    <row r="946" spans="1:16" x14ac:dyDescent="0.35">
      <c r="A946">
        <v>946</v>
      </c>
      <c r="B946" t="s">
        <v>64</v>
      </c>
      <c r="C946" t="s">
        <v>62</v>
      </c>
      <c r="D946" t="s">
        <v>66</v>
      </c>
      <c r="E946" t="s">
        <v>70</v>
      </c>
      <c r="F946">
        <v>1</v>
      </c>
      <c r="G946">
        <v>43000</v>
      </c>
      <c r="H946">
        <v>3</v>
      </c>
      <c r="I946" t="s">
        <v>67</v>
      </c>
      <c r="J946">
        <v>24</v>
      </c>
      <c r="K946" t="s">
        <v>14</v>
      </c>
      <c r="L946" t="s">
        <v>51</v>
      </c>
      <c r="M946" t="s">
        <v>38</v>
      </c>
      <c r="N946" s="25">
        <v>40172</v>
      </c>
      <c r="O946">
        <v>225.089</v>
      </c>
      <c r="P946">
        <v>225.089</v>
      </c>
    </row>
    <row r="947" spans="1:16" x14ac:dyDescent="0.35">
      <c r="A947">
        <v>947</v>
      </c>
      <c r="B947" t="s">
        <v>65</v>
      </c>
      <c r="C947" t="s">
        <v>62</v>
      </c>
      <c r="D947" t="s">
        <v>66</v>
      </c>
      <c r="E947" t="s">
        <v>2</v>
      </c>
      <c r="F947">
        <v>1</v>
      </c>
      <c r="G947">
        <v>71800</v>
      </c>
      <c r="H947">
        <v>0</v>
      </c>
      <c r="I947" t="s">
        <v>69</v>
      </c>
      <c r="J947">
        <v>24</v>
      </c>
      <c r="K947" t="s">
        <v>15</v>
      </c>
      <c r="L947" t="s">
        <v>44</v>
      </c>
      <c r="M947" t="s">
        <v>29</v>
      </c>
      <c r="N947" s="25">
        <v>40785</v>
      </c>
      <c r="O947">
        <v>1946.498</v>
      </c>
      <c r="P947">
        <v>1946.498</v>
      </c>
    </row>
    <row r="948" spans="1:16" x14ac:dyDescent="0.35">
      <c r="A948">
        <v>948</v>
      </c>
      <c r="B948" t="s">
        <v>64</v>
      </c>
      <c r="C948" t="s">
        <v>61</v>
      </c>
      <c r="D948" t="s">
        <v>58</v>
      </c>
      <c r="E948" t="s">
        <v>2</v>
      </c>
      <c r="F948">
        <v>1</v>
      </c>
      <c r="G948">
        <v>117900</v>
      </c>
      <c r="H948">
        <v>0</v>
      </c>
      <c r="I948" t="s">
        <v>69</v>
      </c>
      <c r="J948">
        <v>6</v>
      </c>
      <c r="K948" t="s">
        <v>13</v>
      </c>
      <c r="L948" t="s">
        <v>43</v>
      </c>
      <c r="M948" t="s">
        <v>23</v>
      </c>
      <c r="N948" s="25">
        <v>41256</v>
      </c>
      <c r="O948">
        <v>1759.509</v>
      </c>
      <c r="P948">
        <v>1759.509</v>
      </c>
    </row>
    <row r="949" spans="1:16" x14ac:dyDescent="0.35">
      <c r="A949">
        <v>949</v>
      </c>
      <c r="B949" t="s">
        <v>65</v>
      </c>
      <c r="C949" t="s">
        <v>61</v>
      </c>
      <c r="D949" t="s">
        <v>66</v>
      </c>
      <c r="E949" t="s">
        <v>2</v>
      </c>
      <c r="F949">
        <v>1</v>
      </c>
      <c r="G949">
        <v>71800</v>
      </c>
      <c r="H949">
        <v>0</v>
      </c>
      <c r="I949" t="s">
        <v>69</v>
      </c>
      <c r="J949">
        <v>12</v>
      </c>
      <c r="K949" t="s">
        <v>15</v>
      </c>
      <c r="L949" t="s">
        <v>44</v>
      </c>
      <c r="M949" t="s">
        <v>29</v>
      </c>
      <c r="N949" s="25">
        <v>41105</v>
      </c>
      <c r="O949">
        <v>1388.5840000000001</v>
      </c>
      <c r="P949">
        <v>1388.5840000000001</v>
      </c>
    </row>
    <row r="950" spans="1:16" x14ac:dyDescent="0.35">
      <c r="A950">
        <v>950</v>
      </c>
      <c r="B950" t="s">
        <v>64</v>
      </c>
      <c r="C950" t="s">
        <v>61</v>
      </c>
      <c r="D950" t="s">
        <v>58</v>
      </c>
      <c r="E950" t="s">
        <v>2</v>
      </c>
      <c r="F950">
        <v>0</v>
      </c>
      <c r="G950">
        <v>118400</v>
      </c>
      <c r="H950">
        <v>2</v>
      </c>
      <c r="I950" t="s">
        <v>8</v>
      </c>
      <c r="J950">
        <v>12</v>
      </c>
      <c r="K950" t="s">
        <v>14</v>
      </c>
      <c r="L950" t="s">
        <v>50</v>
      </c>
      <c r="M950" t="s">
        <v>35</v>
      </c>
      <c r="N950" s="25">
        <v>42237</v>
      </c>
      <c r="O950">
        <v>3940.8969999999999</v>
      </c>
      <c r="P950">
        <v>3500</v>
      </c>
    </row>
    <row r="951" spans="1:16" x14ac:dyDescent="0.35">
      <c r="A951">
        <v>951</v>
      </c>
      <c r="B951" t="s">
        <v>63</v>
      </c>
      <c r="C951" t="s">
        <v>62</v>
      </c>
      <c r="D951" t="s">
        <v>66</v>
      </c>
      <c r="E951" t="s">
        <v>2</v>
      </c>
      <c r="F951">
        <v>1</v>
      </c>
      <c r="G951">
        <v>61700</v>
      </c>
      <c r="H951">
        <v>0</v>
      </c>
      <c r="I951" t="s">
        <v>8</v>
      </c>
      <c r="J951">
        <v>12</v>
      </c>
      <c r="K951" t="s">
        <v>15</v>
      </c>
      <c r="L951" t="s">
        <v>44</v>
      </c>
      <c r="M951" t="s">
        <v>29</v>
      </c>
      <c r="N951" s="25">
        <v>42041</v>
      </c>
      <c r="O951">
        <v>1161.0519999999999</v>
      </c>
      <c r="P951">
        <v>1161.0519999999999</v>
      </c>
    </row>
    <row r="952" spans="1:16" x14ac:dyDescent="0.35">
      <c r="A952">
        <v>952</v>
      </c>
      <c r="B952" t="s">
        <v>64</v>
      </c>
      <c r="C952" t="s">
        <v>61</v>
      </c>
      <c r="D952" t="s">
        <v>58</v>
      </c>
      <c r="E952" t="s">
        <v>2</v>
      </c>
      <c r="F952">
        <v>1</v>
      </c>
      <c r="G952">
        <v>108200</v>
      </c>
      <c r="H952">
        <v>3</v>
      </c>
      <c r="I952" t="s">
        <v>67</v>
      </c>
      <c r="J952">
        <v>12</v>
      </c>
      <c r="K952" t="s">
        <v>15</v>
      </c>
      <c r="L952" t="s">
        <v>28</v>
      </c>
      <c r="M952" t="s">
        <v>28</v>
      </c>
      <c r="N952" s="25">
        <v>40742</v>
      </c>
      <c r="O952">
        <v>635.30700000000002</v>
      </c>
      <c r="P952">
        <v>635.30700000000002</v>
      </c>
    </row>
    <row r="953" spans="1:16" x14ac:dyDescent="0.35">
      <c r="A953">
        <v>953</v>
      </c>
      <c r="B953" t="s">
        <v>65</v>
      </c>
      <c r="C953" t="s">
        <v>61</v>
      </c>
      <c r="D953" t="s">
        <v>58</v>
      </c>
      <c r="E953" t="s">
        <v>2</v>
      </c>
      <c r="F953">
        <v>1</v>
      </c>
      <c r="G953">
        <v>75500</v>
      </c>
      <c r="H953">
        <v>0</v>
      </c>
      <c r="I953" t="s">
        <v>69</v>
      </c>
      <c r="J953">
        <v>6</v>
      </c>
      <c r="K953" t="s">
        <v>14</v>
      </c>
      <c r="L953" t="s">
        <v>40</v>
      </c>
      <c r="M953" t="s">
        <v>36</v>
      </c>
      <c r="N953" s="25">
        <v>42077</v>
      </c>
      <c r="O953">
        <v>740.91600000000005</v>
      </c>
      <c r="P953">
        <v>740.91600000000005</v>
      </c>
    </row>
    <row r="954" spans="1:16" x14ac:dyDescent="0.35">
      <c r="A954">
        <v>954</v>
      </c>
      <c r="B954" t="s">
        <v>64</v>
      </c>
      <c r="C954" t="s">
        <v>62</v>
      </c>
      <c r="D954" t="s">
        <v>58</v>
      </c>
      <c r="E954" t="s">
        <v>70</v>
      </c>
      <c r="F954">
        <v>1</v>
      </c>
      <c r="G954">
        <v>53700</v>
      </c>
      <c r="H954">
        <v>3</v>
      </c>
      <c r="I954" t="s">
        <v>67</v>
      </c>
      <c r="J954">
        <v>12</v>
      </c>
      <c r="K954" t="s">
        <v>12</v>
      </c>
      <c r="L954" t="s">
        <v>55</v>
      </c>
      <c r="M954" t="s">
        <v>17</v>
      </c>
      <c r="N954" s="25">
        <v>40532</v>
      </c>
      <c r="O954">
        <v>235.452</v>
      </c>
      <c r="P954">
        <v>235.452</v>
      </c>
    </row>
    <row r="955" spans="1:16" x14ac:dyDescent="0.35">
      <c r="A955">
        <v>955</v>
      </c>
      <c r="B955" t="s">
        <v>64</v>
      </c>
      <c r="C955" t="s">
        <v>61</v>
      </c>
      <c r="D955" t="s">
        <v>58</v>
      </c>
      <c r="E955" t="s">
        <v>2</v>
      </c>
      <c r="F955">
        <v>1</v>
      </c>
      <c r="G955">
        <v>96600</v>
      </c>
      <c r="H955">
        <v>0</v>
      </c>
      <c r="I955" t="s">
        <v>8</v>
      </c>
      <c r="J955">
        <v>12</v>
      </c>
      <c r="K955" t="s">
        <v>12</v>
      </c>
      <c r="L955" t="s">
        <v>53</v>
      </c>
      <c r="M955" t="s">
        <v>19</v>
      </c>
      <c r="N955" s="25">
        <v>42128</v>
      </c>
      <c r="O955">
        <v>1436.806</v>
      </c>
      <c r="P955">
        <v>1436.806</v>
      </c>
    </row>
    <row r="956" spans="1:16" x14ac:dyDescent="0.35">
      <c r="A956">
        <v>956</v>
      </c>
      <c r="B956" t="s">
        <v>65</v>
      </c>
      <c r="C956" t="s">
        <v>61</v>
      </c>
      <c r="D956" t="s">
        <v>58</v>
      </c>
      <c r="E956" t="s">
        <v>70</v>
      </c>
      <c r="F956">
        <v>1</v>
      </c>
      <c r="G956">
        <v>38700</v>
      </c>
      <c r="H956">
        <v>0</v>
      </c>
      <c r="I956" t="s">
        <v>8</v>
      </c>
      <c r="J956">
        <v>24</v>
      </c>
      <c r="K956" t="s">
        <v>15</v>
      </c>
      <c r="L956" t="s">
        <v>44</v>
      </c>
      <c r="M956" t="s">
        <v>29</v>
      </c>
      <c r="N956" s="25">
        <v>42175</v>
      </c>
      <c r="O956">
        <v>1506.2629999999999</v>
      </c>
      <c r="P956">
        <v>1506.2629999999999</v>
      </c>
    </row>
    <row r="957" spans="1:16" x14ac:dyDescent="0.35">
      <c r="A957">
        <v>957</v>
      </c>
      <c r="B957" t="s">
        <v>65</v>
      </c>
      <c r="C957" t="s">
        <v>62</v>
      </c>
      <c r="D957" t="s">
        <v>58</v>
      </c>
      <c r="E957" t="s">
        <v>70</v>
      </c>
      <c r="F957">
        <v>1</v>
      </c>
      <c r="G957">
        <v>11400</v>
      </c>
      <c r="H957">
        <v>0</v>
      </c>
      <c r="I957" t="s">
        <v>8</v>
      </c>
      <c r="J957">
        <v>6</v>
      </c>
      <c r="K957" t="s">
        <v>15</v>
      </c>
      <c r="L957" t="s">
        <v>44</v>
      </c>
      <c r="M957" t="s">
        <v>29</v>
      </c>
      <c r="N957" s="25">
        <v>42178</v>
      </c>
      <c r="O957">
        <v>257.81700000000001</v>
      </c>
      <c r="P957">
        <v>257.81700000000001</v>
      </c>
    </row>
    <row r="958" spans="1:16" x14ac:dyDescent="0.35">
      <c r="A958">
        <v>958</v>
      </c>
      <c r="B958" t="s">
        <v>64</v>
      </c>
      <c r="C958" t="s">
        <v>62</v>
      </c>
      <c r="D958" t="s">
        <v>58</v>
      </c>
      <c r="E958" t="s">
        <v>2</v>
      </c>
      <c r="F958">
        <v>0</v>
      </c>
      <c r="G958">
        <v>109800</v>
      </c>
      <c r="H958">
        <v>0</v>
      </c>
      <c r="I958" t="s">
        <v>69</v>
      </c>
      <c r="J958">
        <v>18</v>
      </c>
      <c r="K958" t="s">
        <v>15</v>
      </c>
      <c r="L958" t="s">
        <v>28</v>
      </c>
      <c r="M958" t="s">
        <v>28</v>
      </c>
      <c r="N958" s="25">
        <v>41215</v>
      </c>
      <c r="O958">
        <v>4279.2579999999998</v>
      </c>
      <c r="P958">
        <v>3500</v>
      </c>
    </row>
    <row r="959" spans="1:16" x14ac:dyDescent="0.35">
      <c r="A959">
        <v>959</v>
      </c>
      <c r="B959" t="s">
        <v>63</v>
      </c>
      <c r="C959" t="s">
        <v>62</v>
      </c>
      <c r="D959" t="s">
        <v>66</v>
      </c>
      <c r="E959" t="s">
        <v>70</v>
      </c>
      <c r="F959">
        <v>1</v>
      </c>
      <c r="G959">
        <v>14400</v>
      </c>
      <c r="H959">
        <v>1</v>
      </c>
      <c r="I959" t="s">
        <v>67</v>
      </c>
      <c r="J959">
        <v>18</v>
      </c>
      <c r="K959" t="s">
        <v>15</v>
      </c>
      <c r="L959" t="s">
        <v>52</v>
      </c>
      <c r="M959" t="s">
        <v>30</v>
      </c>
      <c r="N959" s="25">
        <v>41784</v>
      </c>
      <c r="O959">
        <v>222.744</v>
      </c>
      <c r="P959">
        <v>222.744</v>
      </c>
    </row>
    <row r="960" spans="1:16" x14ac:dyDescent="0.35">
      <c r="A960">
        <v>960</v>
      </c>
      <c r="B960" t="s">
        <v>63</v>
      </c>
      <c r="C960" t="s">
        <v>62</v>
      </c>
      <c r="D960" t="s">
        <v>66</v>
      </c>
      <c r="E960" t="s">
        <v>70</v>
      </c>
      <c r="F960">
        <v>0</v>
      </c>
      <c r="G960">
        <v>14500</v>
      </c>
      <c r="H960">
        <v>1</v>
      </c>
      <c r="I960" t="s">
        <v>67</v>
      </c>
      <c r="J960">
        <v>6</v>
      </c>
      <c r="K960" t="s">
        <v>14</v>
      </c>
      <c r="L960" t="s">
        <v>50</v>
      </c>
      <c r="M960" t="s">
        <v>34</v>
      </c>
      <c r="N960" s="25">
        <v>41684</v>
      </c>
      <c r="O960">
        <v>221.87</v>
      </c>
      <c r="P960">
        <v>221.87</v>
      </c>
    </row>
    <row r="961" spans="1:16" x14ac:dyDescent="0.35">
      <c r="A961">
        <v>961</v>
      </c>
      <c r="B961" t="s">
        <v>64</v>
      </c>
      <c r="C961" t="s">
        <v>62</v>
      </c>
      <c r="D961" t="s">
        <v>58</v>
      </c>
      <c r="E961" t="s">
        <v>70</v>
      </c>
      <c r="F961">
        <v>1</v>
      </c>
      <c r="G961">
        <v>48700</v>
      </c>
      <c r="H961">
        <v>1</v>
      </c>
      <c r="I961" t="s">
        <v>8</v>
      </c>
      <c r="J961">
        <v>12</v>
      </c>
      <c r="K961" t="s">
        <v>12</v>
      </c>
      <c r="L961" t="s">
        <v>53</v>
      </c>
      <c r="M961" t="s">
        <v>19</v>
      </c>
      <c r="N961" s="25">
        <v>42165</v>
      </c>
      <c r="O961">
        <v>1456.942</v>
      </c>
      <c r="P961">
        <v>1456.942</v>
      </c>
    </row>
    <row r="962" spans="1:16" x14ac:dyDescent="0.35">
      <c r="A962">
        <v>962</v>
      </c>
      <c r="B962" t="s">
        <v>65</v>
      </c>
      <c r="C962" t="s">
        <v>62</v>
      </c>
      <c r="D962" t="s">
        <v>58</v>
      </c>
      <c r="E962" t="s">
        <v>70</v>
      </c>
      <c r="F962">
        <v>1</v>
      </c>
      <c r="G962">
        <v>12700</v>
      </c>
      <c r="H962">
        <v>2</v>
      </c>
      <c r="I962" t="s">
        <v>67</v>
      </c>
      <c r="J962">
        <v>6</v>
      </c>
      <c r="K962" t="s">
        <v>14</v>
      </c>
      <c r="L962" t="s">
        <v>50</v>
      </c>
      <c r="M962" t="s">
        <v>34</v>
      </c>
      <c r="N962" s="25">
        <v>40812</v>
      </c>
      <c r="O962">
        <v>64.838999999999999</v>
      </c>
      <c r="P962">
        <v>64.838999999999999</v>
      </c>
    </row>
    <row r="963" spans="1:16" x14ac:dyDescent="0.35">
      <c r="A963">
        <v>963</v>
      </c>
      <c r="B963" t="s">
        <v>64</v>
      </c>
      <c r="C963" t="s">
        <v>61</v>
      </c>
      <c r="D963" t="s">
        <v>66</v>
      </c>
      <c r="E963" t="s">
        <v>2</v>
      </c>
      <c r="F963">
        <v>0</v>
      </c>
      <c r="G963">
        <v>97600</v>
      </c>
      <c r="H963">
        <v>1</v>
      </c>
      <c r="I963" t="s">
        <v>8</v>
      </c>
      <c r="J963">
        <v>12</v>
      </c>
      <c r="K963" t="s">
        <v>12</v>
      </c>
      <c r="L963" t="s">
        <v>54</v>
      </c>
      <c r="M963" t="s">
        <v>21</v>
      </c>
      <c r="N963" s="25">
        <v>42072</v>
      </c>
      <c r="O963">
        <v>2902.1970000000001</v>
      </c>
      <c r="P963">
        <v>2902.1970000000001</v>
      </c>
    </row>
    <row r="964" spans="1:16" x14ac:dyDescent="0.35">
      <c r="A964">
        <v>964</v>
      </c>
      <c r="B964" t="s">
        <v>64</v>
      </c>
      <c r="C964" t="s">
        <v>61</v>
      </c>
      <c r="D964" t="s">
        <v>58</v>
      </c>
      <c r="E964" t="s">
        <v>2</v>
      </c>
      <c r="F964">
        <v>1</v>
      </c>
      <c r="G964">
        <v>96500</v>
      </c>
      <c r="H964">
        <v>0</v>
      </c>
      <c r="I964" t="s">
        <v>69</v>
      </c>
      <c r="J964">
        <v>24</v>
      </c>
      <c r="K964" t="s">
        <v>14</v>
      </c>
      <c r="L964" t="s">
        <v>40</v>
      </c>
      <c r="M964" t="s">
        <v>36</v>
      </c>
      <c r="N964" s="25">
        <v>40857</v>
      </c>
      <c r="O964">
        <v>3779.9319999999998</v>
      </c>
      <c r="P964">
        <v>3500</v>
      </c>
    </row>
    <row r="965" spans="1:16" x14ac:dyDescent="0.35">
      <c r="A965">
        <v>965</v>
      </c>
      <c r="B965" t="s">
        <v>65</v>
      </c>
      <c r="C965" t="s">
        <v>62</v>
      </c>
      <c r="D965" t="s">
        <v>66</v>
      </c>
      <c r="E965" t="s">
        <v>70</v>
      </c>
      <c r="F965">
        <v>1</v>
      </c>
      <c r="G965">
        <v>11000</v>
      </c>
      <c r="H965">
        <v>0</v>
      </c>
      <c r="I965" t="s">
        <v>8</v>
      </c>
      <c r="J965">
        <v>24</v>
      </c>
      <c r="K965" t="s">
        <v>14</v>
      </c>
      <c r="L965" t="s">
        <v>40</v>
      </c>
      <c r="M965" t="s">
        <v>37</v>
      </c>
      <c r="N965" s="25">
        <v>42146</v>
      </c>
      <c r="O965">
        <v>195.23099999999999</v>
      </c>
      <c r="P965">
        <v>195.23099999999999</v>
      </c>
    </row>
    <row r="966" spans="1:16" x14ac:dyDescent="0.35">
      <c r="A966">
        <v>966</v>
      </c>
      <c r="B966" t="s">
        <v>65</v>
      </c>
      <c r="C966" t="s">
        <v>62</v>
      </c>
      <c r="D966" t="s">
        <v>66</v>
      </c>
      <c r="E966" t="s">
        <v>70</v>
      </c>
      <c r="F966">
        <v>0</v>
      </c>
      <c r="G966">
        <v>14000</v>
      </c>
      <c r="H966">
        <v>0</v>
      </c>
      <c r="I966" t="s">
        <v>67</v>
      </c>
      <c r="J966">
        <v>12</v>
      </c>
      <c r="K966" t="s">
        <v>12</v>
      </c>
      <c r="L966" t="s">
        <v>55</v>
      </c>
      <c r="M966" t="s">
        <v>17</v>
      </c>
      <c r="N966" s="25">
        <v>42126</v>
      </c>
      <c r="O966">
        <v>409.89600000000002</v>
      </c>
      <c r="P966">
        <v>409.89600000000002</v>
      </c>
    </row>
    <row r="967" spans="1:16" x14ac:dyDescent="0.35">
      <c r="A967">
        <v>967</v>
      </c>
      <c r="B967" t="s">
        <v>63</v>
      </c>
      <c r="C967" t="s">
        <v>62</v>
      </c>
      <c r="D967" t="s">
        <v>66</v>
      </c>
      <c r="E967" t="s">
        <v>70</v>
      </c>
      <c r="F967">
        <v>1</v>
      </c>
      <c r="G967">
        <v>21700</v>
      </c>
      <c r="H967">
        <v>2</v>
      </c>
      <c r="I967" t="s">
        <v>8</v>
      </c>
      <c r="J967">
        <v>6</v>
      </c>
      <c r="K967" t="s">
        <v>12</v>
      </c>
      <c r="L967" t="s">
        <v>41</v>
      </c>
      <c r="M967" t="s">
        <v>20</v>
      </c>
      <c r="N967" s="25">
        <v>42095</v>
      </c>
      <c r="O967">
        <v>386.87700000000001</v>
      </c>
      <c r="P967">
        <v>386.87700000000001</v>
      </c>
    </row>
    <row r="968" spans="1:16" x14ac:dyDescent="0.35">
      <c r="A968">
        <v>968</v>
      </c>
      <c r="B968" t="s">
        <v>65</v>
      </c>
      <c r="C968" t="s">
        <v>61</v>
      </c>
      <c r="D968" t="s">
        <v>66</v>
      </c>
      <c r="E968" t="s">
        <v>2</v>
      </c>
      <c r="F968">
        <v>1</v>
      </c>
      <c r="G968">
        <v>34500</v>
      </c>
      <c r="H968">
        <v>0</v>
      </c>
      <c r="I968" t="s">
        <v>68</v>
      </c>
      <c r="J968">
        <v>12</v>
      </c>
      <c r="K968" t="s">
        <v>15</v>
      </c>
      <c r="L968" t="s">
        <v>42</v>
      </c>
      <c r="M968" t="s">
        <v>32</v>
      </c>
      <c r="N968" s="25">
        <v>42119</v>
      </c>
      <c r="O968">
        <v>801.76800000000003</v>
      </c>
      <c r="P968">
        <v>801.76800000000003</v>
      </c>
    </row>
    <row r="969" spans="1:16" x14ac:dyDescent="0.35">
      <c r="A969">
        <v>969</v>
      </c>
      <c r="B969" t="s">
        <v>63</v>
      </c>
      <c r="C969" t="s">
        <v>61</v>
      </c>
      <c r="D969" t="s">
        <v>66</v>
      </c>
      <c r="E969" t="s">
        <v>70</v>
      </c>
      <c r="F969">
        <v>1</v>
      </c>
      <c r="G969">
        <v>18200</v>
      </c>
      <c r="H969">
        <v>0</v>
      </c>
      <c r="I969" t="s">
        <v>67</v>
      </c>
      <c r="J969">
        <v>12</v>
      </c>
      <c r="K969" t="s">
        <v>13</v>
      </c>
      <c r="L969" t="s">
        <v>43</v>
      </c>
      <c r="M969" t="s">
        <v>23</v>
      </c>
      <c r="N969" s="25">
        <v>41617</v>
      </c>
      <c r="O969">
        <v>400.976</v>
      </c>
      <c r="P969">
        <v>400.976</v>
      </c>
    </row>
    <row r="970" spans="1:16" x14ac:dyDescent="0.35">
      <c r="A970">
        <v>970</v>
      </c>
      <c r="B970" t="s">
        <v>64</v>
      </c>
      <c r="C970" t="s">
        <v>62</v>
      </c>
      <c r="D970" t="s">
        <v>58</v>
      </c>
      <c r="E970" t="s">
        <v>70</v>
      </c>
      <c r="F970">
        <v>0</v>
      </c>
      <c r="G970">
        <v>55600</v>
      </c>
      <c r="H970">
        <v>1</v>
      </c>
      <c r="I970" t="s">
        <v>69</v>
      </c>
      <c r="J970">
        <v>18</v>
      </c>
      <c r="K970" t="s">
        <v>12</v>
      </c>
      <c r="L970" t="s">
        <v>54</v>
      </c>
      <c r="M970" t="s">
        <v>21</v>
      </c>
      <c r="N970" s="25">
        <v>39929</v>
      </c>
      <c r="O970">
        <v>1553.4639999999999</v>
      </c>
      <c r="P970">
        <v>1553.4639999999999</v>
      </c>
    </row>
    <row r="971" spans="1:16" x14ac:dyDescent="0.35">
      <c r="A971">
        <v>971</v>
      </c>
      <c r="B971" t="s">
        <v>64</v>
      </c>
      <c r="C971" t="s">
        <v>62</v>
      </c>
      <c r="D971" t="s">
        <v>58</v>
      </c>
      <c r="E971" t="s">
        <v>2</v>
      </c>
      <c r="F971">
        <v>1</v>
      </c>
      <c r="G971">
        <v>110400</v>
      </c>
      <c r="H971">
        <v>3</v>
      </c>
      <c r="I971" t="s">
        <v>67</v>
      </c>
      <c r="J971">
        <v>24</v>
      </c>
      <c r="K971" t="s">
        <v>15</v>
      </c>
      <c r="L971" t="s">
        <v>42</v>
      </c>
      <c r="M971" t="s">
        <v>32</v>
      </c>
      <c r="N971" s="25">
        <v>42060</v>
      </c>
      <c r="O971">
        <v>1093.048</v>
      </c>
      <c r="P971">
        <v>1093.048</v>
      </c>
    </row>
    <row r="972" spans="1:16" x14ac:dyDescent="0.35">
      <c r="A972">
        <v>972</v>
      </c>
      <c r="B972" t="s">
        <v>64</v>
      </c>
      <c r="C972" t="s">
        <v>61</v>
      </c>
      <c r="D972" t="s">
        <v>58</v>
      </c>
      <c r="E972" t="s">
        <v>2</v>
      </c>
      <c r="F972">
        <v>1</v>
      </c>
      <c r="G972">
        <v>92300</v>
      </c>
      <c r="H972">
        <v>1</v>
      </c>
      <c r="I972" t="s">
        <v>8</v>
      </c>
      <c r="J972">
        <v>24</v>
      </c>
      <c r="K972" t="s">
        <v>13</v>
      </c>
      <c r="L972" t="s">
        <v>46</v>
      </c>
      <c r="M972" t="s">
        <v>22</v>
      </c>
      <c r="N972" s="25">
        <v>42118</v>
      </c>
      <c r="O972">
        <v>2140.549</v>
      </c>
      <c r="P972">
        <v>2140.549</v>
      </c>
    </row>
    <row r="973" spans="1:16" x14ac:dyDescent="0.35">
      <c r="A973">
        <v>973</v>
      </c>
      <c r="B973" t="s">
        <v>64</v>
      </c>
      <c r="C973" t="s">
        <v>61</v>
      </c>
      <c r="D973" t="s">
        <v>58</v>
      </c>
      <c r="E973" t="s">
        <v>70</v>
      </c>
      <c r="F973">
        <v>0</v>
      </c>
      <c r="G973">
        <v>72300</v>
      </c>
      <c r="H973">
        <v>0</v>
      </c>
      <c r="I973" t="s">
        <v>69</v>
      </c>
      <c r="J973">
        <v>24</v>
      </c>
      <c r="K973" t="s">
        <v>13</v>
      </c>
      <c r="L973" t="s">
        <v>45</v>
      </c>
      <c r="M973" t="s">
        <v>26</v>
      </c>
      <c r="N973" s="25">
        <v>40960</v>
      </c>
      <c r="O973">
        <v>4181.768</v>
      </c>
      <c r="P973">
        <v>3500</v>
      </c>
    </row>
    <row r="974" spans="1:16" x14ac:dyDescent="0.35">
      <c r="A974">
        <v>974</v>
      </c>
      <c r="B974" t="s">
        <v>64</v>
      </c>
      <c r="C974" t="s">
        <v>61</v>
      </c>
      <c r="D974" t="s">
        <v>58</v>
      </c>
      <c r="E974" t="s">
        <v>2</v>
      </c>
      <c r="F974">
        <v>0</v>
      </c>
      <c r="G974">
        <v>113600</v>
      </c>
      <c r="H974">
        <v>2</v>
      </c>
      <c r="I974" t="s">
        <v>69</v>
      </c>
      <c r="J974">
        <v>18</v>
      </c>
      <c r="K974" t="s">
        <v>12</v>
      </c>
      <c r="L974" t="s">
        <v>47</v>
      </c>
      <c r="M974" t="s">
        <v>18</v>
      </c>
      <c r="N974" s="25">
        <v>41179</v>
      </c>
      <c r="O974">
        <v>3236.509</v>
      </c>
      <c r="P974">
        <v>3236.509</v>
      </c>
    </row>
    <row r="975" spans="1:16" x14ac:dyDescent="0.35">
      <c r="A975">
        <v>975</v>
      </c>
      <c r="B975" t="s">
        <v>64</v>
      </c>
      <c r="C975" t="s">
        <v>62</v>
      </c>
      <c r="D975" t="s">
        <v>66</v>
      </c>
      <c r="E975" t="s">
        <v>2</v>
      </c>
      <c r="F975">
        <v>1</v>
      </c>
      <c r="G975">
        <v>88600</v>
      </c>
      <c r="H975">
        <v>3</v>
      </c>
      <c r="I975" t="s">
        <v>67</v>
      </c>
      <c r="J975">
        <v>6</v>
      </c>
      <c r="K975" t="s">
        <v>15</v>
      </c>
      <c r="L975" t="s">
        <v>52</v>
      </c>
      <c r="M975" t="s">
        <v>30</v>
      </c>
      <c r="N975" s="25">
        <v>41575</v>
      </c>
      <c r="O975">
        <v>211.52500000000001</v>
      </c>
      <c r="P975">
        <v>211.52500000000001</v>
      </c>
    </row>
    <row r="976" spans="1:16" x14ac:dyDescent="0.35">
      <c r="A976">
        <v>976</v>
      </c>
      <c r="B976" t="s">
        <v>63</v>
      </c>
      <c r="C976" t="s">
        <v>61</v>
      </c>
      <c r="D976" t="s">
        <v>66</v>
      </c>
      <c r="E976" t="s">
        <v>70</v>
      </c>
      <c r="F976">
        <v>0</v>
      </c>
      <c r="G976">
        <v>14900</v>
      </c>
      <c r="H976">
        <v>1</v>
      </c>
      <c r="I976" t="s">
        <v>8</v>
      </c>
      <c r="J976">
        <v>12</v>
      </c>
      <c r="K976" t="s">
        <v>14</v>
      </c>
      <c r="L976" t="s">
        <v>50</v>
      </c>
      <c r="M976" t="s">
        <v>35</v>
      </c>
      <c r="N976" s="25">
        <v>42101</v>
      </c>
      <c r="O976">
        <v>421.86500000000001</v>
      </c>
      <c r="P976">
        <v>421.86500000000001</v>
      </c>
    </row>
    <row r="977" spans="1:16" x14ac:dyDescent="0.35">
      <c r="A977">
        <v>977</v>
      </c>
      <c r="B977" t="s">
        <v>63</v>
      </c>
      <c r="C977" t="s">
        <v>61</v>
      </c>
      <c r="D977" t="s">
        <v>58</v>
      </c>
      <c r="E977" t="s">
        <v>2</v>
      </c>
      <c r="F977">
        <v>1</v>
      </c>
      <c r="G977">
        <v>73000</v>
      </c>
      <c r="H977">
        <v>0</v>
      </c>
      <c r="I977" t="s">
        <v>8</v>
      </c>
      <c r="J977">
        <v>6</v>
      </c>
      <c r="K977" t="s">
        <v>12</v>
      </c>
      <c r="L977" t="s">
        <v>47</v>
      </c>
      <c r="M977" t="s">
        <v>16</v>
      </c>
      <c r="N977" s="25">
        <v>42096</v>
      </c>
      <c r="O977">
        <v>1534.3979999999999</v>
      </c>
      <c r="P977">
        <v>1534.3979999999999</v>
      </c>
    </row>
    <row r="978" spans="1:16" x14ac:dyDescent="0.35">
      <c r="A978">
        <v>978</v>
      </c>
      <c r="B978" t="s">
        <v>64</v>
      </c>
      <c r="C978" t="s">
        <v>62</v>
      </c>
      <c r="D978" t="s">
        <v>58</v>
      </c>
      <c r="E978" t="s">
        <v>70</v>
      </c>
      <c r="F978">
        <v>1</v>
      </c>
      <c r="G978">
        <v>36900</v>
      </c>
      <c r="H978">
        <v>2</v>
      </c>
      <c r="I978" t="s">
        <v>67</v>
      </c>
      <c r="J978">
        <v>24</v>
      </c>
      <c r="K978" t="s">
        <v>14</v>
      </c>
      <c r="L978" t="s">
        <v>49</v>
      </c>
      <c r="M978" t="s">
        <v>39</v>
      </c>
      <c r="N978" s="25">
        <v>41428</v>
      </c>
      <c r="O978">
        <v>513.90800000000002</v>
      </c>
      <c r="P978">
        <v>513.90800000000002</v>
      </c>
    </row>
    <row r="979" spans="1:16" x14ac:dyDescent="0.35">
      <c r="A979">
        <v>979</v>
      </c>
      <c r="B979" t="s">
        <v>65</v>
      </c>
      <c r="C979" t="s">
        <v>61</v>
      </c>
      <c r="D979" t="s">
        <v>58</v>
      </c>
      <c r="E979" t="s">
        <v>70</v>
      </c>
      <c r="F979">
        <v>1</v>
      </c>
      <c r="G979">
        <v>62200</v>
      </c>
      <c r="H979">
        <v>0</v>
      </c>
      <c r="I979" t="s">
        <v>8</v>
      </c>
      <c r="J979">
        <v>12</v>
      </c>
      <c r="K979" t="s">
        <v>15</v>
      </c>
      <c r="L979" t="s">
        <v>52</v>
      </c>
      <c r="M979" t="s">
        <v>30</v>
      </c>
      <c r="N979" s="25">
        <v>42041</v>
      </c>
      <c r="O979">
        <v>1582.6120000000001</v>
      </c>
      <c r="P979">
        <v>1582.6120000000001</v>
      </c>
    </row>
    <row r="980" spans="1:16" x14ac:dyDescent="0.35">
      <c r="A980">
        <v>980</v>
      </c>
      <c r="B980" t="s">
        <v>63</v>
      </c>
      <c r="C980" t="s">
        <v>62</v>
      </c>
      <c r="D980" t="s">
        <v>66</v>
      </c>
      <c r="E980" t="s">
        <v>70</v>
      </c>
      <c r="F980">
        <v>0</v>
      </c>
      <c r="G980">
        <v>13200</v>
      </c>
      <c r="H980">
        <v>0</v>
      </c>
      <c r="I980" t="s">
        <v>8</v>
      </c>
      <c r="J980">
        <v>24</v>
      </c>
      <c r="K980" t="s">
        <v>14</v>
      </c>
      <c r="L980" t="s">
        <v>40</v>
      </c>
      <c r="M980" t="s">
        <v>37</v>
      </c>
      <c r="N980" s="25">
        <v>42085</v>
      </c>
      <c r="O980">
        <v>357.56400000000002</v>
      </c>
      <c r="P980">
        <v>357.56400000000002</v>
      </c>
    </row>
    <row r="981" spans="1:16" x14ac:dyDescent="0.35">
      <c r="A981">
        <v>981</v>
      </c>
      <c r="B981" t="s">
        <v>63</v>
      </c>
      <c r="C981" t="s">
        <v>62</v>
      </c>
      <c r="D981" t="s">
        <v>66</v>
      </c>
      <c r="E981" t="s">
        <v>70</v>
      </c>
      <c r="F981">
        <v>1</v>
      </c>
      <c r="G981">
        <v>13300</v>
      </c>
      <c r="H981">
        <v>1</v>
      </c>
      <c r="I981" t="s">
        <v>67</v>
      </c>
      <c r="J981">
        <v>6</v>
      </c>
      <c r="K981" t="s">
        <v>13</v>
      </c>
      <c r="L981" t="s">
        <v>43</v>
      </c>
      <c r="M981" t="s">
        <v>23</v>
      </c>
      <c r="N981" s="25">
        <v>41511</v>
      </c>
      <c r="O981">
        <v>184.119</v>
      </c>
      <c r="P981">
        <v>184.119</v>
      </c>
    </row>
    <row r="982" spans="1:16" x14ac:dyDescent="0.35">
      <c r="A982">
        <v>982</v>
      </c>
      <c r="B982" t="s">
        <v>64</v>
      </c>
      <c r="C982" t="s">
        <v>61</v>
      </c>
      <c r="D982" t="s">
        <v>58</v>
      </c>
      <c r="E982" t="s">
        <v>70</v>
      </c>
      <c r="F982">
        <v>1</v>
      </c>
      <c r="G982">
        <v>64300</v>
      </c>
      <c r="H982">
        <v>0</v>
      </c>
      <c r="I982" t="s">
        <v>8</v>
      </c>
      <c r="J982">
        <v>6</v>
      </c>
      <c r="K982" t="s">
        <v>14</v>
      </c>
      <c r="L982" t="s">
        <v>51</v>
      </c>
      <c r="M982" t="s">
        <v>38</v>
      </c>
      <c r="N982" s="25">
        <v>42031</v>
      </c>
      <c r="O982">
        <v>1324.7570000000001</v>
      </c>
      <c r="P982">
        <v>1324.7570000000001</v>
      </c>
    </row>
    <row r="983" spans="1:16" x14ac:dyDescent="0.35">
      <c r="A983">
        <v>983</v>
      </c>
      <c r="B983" t="s">
        <v>63</v>
      </c>
      <c r="C983" t="s">
        <v>62</v>
      </c>
      <c r="D983" t="s">
        <v>58</v>
      </c>
      <c r="E983" t="s">
        <v>70</v>
      </c>
      <c r="F983">
        <v>0</v>
      </c>
      <c r="G983">
        <v>41000</v>
      </c>
      <c r="H983">
        <v>1</v>
      </c>
      <c r="I983" t="s">
        <v>68</v>
      </c>
      <c r="J983">
        <v>12</v>
      </c>
      <c r="K983" t="s">
        <v>13</v>
      </c>
      <c r="L983" t="s">
        <v>46</v>
      </c>
      <c r="M983" t="s">
        <v>22</v>
      </c>
      <c r="N983" s="25">
        <v>41377</v>
      </c>
      <c r="O983">
        <v>767.721</v>
      </c>
      <c r="P983">
        <v>767.721</v>
      </c>
    </row>
    <row r="984" spans="1:16" x14ac:dyDescent="0.35">
      <c r="A984">
        <v>984</v>
      </c>
      <c r="B984" t="s">
        <v>65</v>
      </c>
      <c r="C984" t="s">
        <v>61</v>
      </c>
      <c r="D984" t="s">
        <v>58</v>
      </c>
      <c r="E984" t="s">
        <v>2</v>
      </c>
      <c r="F984">
        <v>0</v>
      </c>
      <c r="G984">
        <v>86500</v>
      </c>
      <c r="H984">
        <v>0</v>
      </c>
      <c r="I984" t="s">
        <v>69</v>
      </c>
      <c r="J984">
        <v>24</v>
      </c>
      <c r="K984" t="s">
        <v>14</v>
      </c>
      <c r="L984" t="s">
        <v>51</v>
      </c>
      <c r="M984" t="s">
        <v>38</v>
      </c>
      <c r="N984" s="25">
        <v>40468</v>
      </c>
      <c r="O984">
        <v>2690.0509999999999</v>
      </c>
      <c r="P984">
        <v>2690.0509999999999</v>
      </c>
    </row>
    <row r="985" spans="1:16" x14ac:dyDescent="0.35">
      <c r="A985">
        <v>985</v>
      </c>
      <c r="B985" t="s">
        <v>64</v>
      </c>
      <c r="C985" t="s">
        <v>61</v>
      </c>
      <c r="D985" t="s">
        <v>58</v>
      </c>
      <c r="E985" t="s">
        <v>2</v>
      </c>
      <c r="F985">
        <v>0</v>
      </c>
      <c r="G985">
        <v>70000</v>
      </c>
      <c r="H985">
        <v>1</v>
      </c>
      <c r="I985" t="s">
        <v>8</v>
      </c>
      <c r="J985">
        <v>6</v>
      </c>
      <c r="K985" t="s">
        <v>12</v>
      </c>
      <c r="L985" t="s">
        <v>55</v>
      </c>
      <c r="M985" t="s">
        <v>17</v>
      </c>
      <c r="N985" s="25">
        <v>42156</v>
      </c>
      <c r="O985">
        <v>1227.2349999999999</v>
      </c>
      <c r="P985">
        <v>1227.2349999999999</v>
      </c>
    </row>
    <row r="986" spans="1:16" x14ac:dyDescent="0.35">
      <c r="A986">
        <v>986</v>
      </c>
      <c r="B986" t="s">
        <v>64</v>
      </c>
      <c r="C986" t="s">
        <v>62</v>
      </c>
      <c r="D986" t="s">
        <v>58</v>
      </c>
      <c r="E986" t="s">
        <v>2</v>
      </c>
      <c r="F986">
        <v>1</v>
      </c>
      <c r="G986">
        <v>123600</v>
      </c>
      <c r="H986">
        <v>1</v>
      </c>
      <c r="I986" t="s">
        <v>8</v>
      </c>
      <c r="J986">
        <v>12</v>
      </c>
      <c r="K986" t="s">
        <v>14</v>
      </c>
      <c r="L986" t="s">
        <v>51</v>
      </c>
      <c r="M986" t="s">
        <v>38</v>
      </c>
      <c r="N986" s="25">
        <v>42092</v>
      </c>
      <c r="O986">
        <v>1891.7819999999999</v>
      </c>
      <c r="P986">
        <v>1891.7819999999999</v>
      </c>
    </row>
    <row r="987" spans="1:16" x14ac:dyDescent="0.35">
      <c r="A987">
        <v>987</v>
      </c>
      <c r="B987" t="s">
        <v>65</v>
      </c>
      <c r="C987" t="s">
        <v>62</v>
      </c>
      <c r="D987" t="s">
        <v>58</v>
      </c>
      <c r="E987" t="s">
        <v>2</v>
      </c>
      <c r="F987">
        <v>1</v>
      </c>
      <c r="G987">
        <v>25900</v>
      </c>
      <c r="H987">
        <v>0</v>
      </c>
      <c r="I987" t="s">
        <v>67</v>
      </c>
      <c r="J987">
        <v>18</v>
      </c>
      <c r="K987" t="s">
        <v>12</v>
      </c>
      <c r="L987" t="s">
        <v>54</v>
      </c>
      <c r="M987" t="s">
        <v>21</v>
      </c>
      <c r="N987" s="25">
        <v>41398</v>
      </c>
      <c r="O987">
        <v>582.38</v>
      </c>
      <c r="P987">
        <v>582.38</v>
      </c>
    </row>
    <row r="988" spans="1:16" x14ac:dyDescent="0.35">
      <c r="A988">
        <v>988</v>
      </c>
      <c r="B988" t="s">
        <v>64</v>
      </c>
      <c r="C988" t="s">
        <v>61</v>
      </c>
      <c r="D988" t="s">
        <v>58</v>
      </c>
      <c r="E988" t="s">
        <v>2</v>
      </c>
      <c r="F988">
        <v>0</v>
      </c>
      <c r="G988">
        <v>81200</v>
      </c>
      <c r="H988">
        <v>0</v>
      </c>
      <c r="I988" t="s">
        <v>69</v>
      </c>
      <c r="J988">
        <v>12</v>
      </c>
      <c r="K988" t="s">
        <v>13</v>
      </c>
      <c r="L988" t="s">
        <v>46</v>
      </c>
      <c r="M988" t="s">
        <v>22</v>
      </c>
      <c r="N988" s="25">
        <v>40512</v>
      </c>
      <c r="O988">
        <v>2692.5430000000001</v>
      </c>
      <c r="P988">
        <v>2692.5430000000001</v>
      </c>
    </row>
    <row r="989" spans="1:16" x14ac:dyDescent="0.35">
      <c r="A989">
        <v>989</v>
      </c>
      <c r="B989" t="s">
        <v>63</v>
      </c>
      <c r="C989" t="s">
        <v>61</v>
      </c>
      <c r="D989" t="s">
        <v>58</v>
      </c>
      <c r="E989" t="s">
        <v>70</v>
      </c>
      <c r="F989">
        <v>1</v>
      </c>
      <c r="G989">
        <v>41400</v>
      </c>
      <c r="H989">
        <v>0</v>
      </c>
      <c r="I989" t="s">
        <v>68</v>
      </c>
      <c r="J989">
        <v>18</v>
      </c>
      <c r="K989" t="s">
        <v>13</v>
      </c>
      <c r="L989" t="s">
        <v>42</v>
      </c>
      <c r="M989" t="s">
        <v>25</v>
      </c>
      <c r="N989" s="25">
        <v>41374</v>
      </c>
      <c r="O989">
        <v>642.81399999999996</v>
      </c>
      <c r="P989">
        <v>642.81399999999996</v>
      </c>
    </row>
    <row r="990" spans="1:16" x14ac:dyDescent="0.35">
      <c r="A990">
        <v>990</v>
      </c>
      <c r="B990" t="s">
        <v>63</v>
      </c>
      <c r="C990" t="s">
        <v>62</v>
      </c>
      <c r="D990" t="s">
        <v>66</v>
      </c>
      <c r="E990" t="s">
        <v>70</v>
      </c>
      <c r="F990">
        <v>0</v>
      </c>
      <c r="G990">
        <v>12400</v>
      </c>
      <c r="H990">
        <v>3</v>
      </c>
      <c r="I990" t="s">
        <v>67</v>
      </c>
      <c r="J990">
        <v>18</v>
      </c>
      <c r="K990" t="s">
        <v>14</v>
      </c>
      <c r="L990" t="s">
        <v>51</v>
      </c>
      <c r="M990" t="s">
        <v>38</v>
      </c>
      <c r="N990" s="25">
        <v>41369</v>
      </c>
      <c r="O990">
        <v>204.91</v>
      </c>
      <c r="P990">
        <v>204.91</v>
      </c>
    </row>
    <row r="991" spans="1:16" x14ac:dyDescent="0.35">
      <c r="A991">
        <v>991</v>
      </c>
      <c r="B991" t="s">
        <v>63</v>
      </c>
      <c r="C991" t="s">
        <v>62</v>
      </c>
      <c r="D991" t="s">
        <v>66</v>
      </c>
      <c r="E991" t="s">
        <v>70</v>
      </c>
      <c r="F991">
        <v>1</v>
      </c>
      <c r="G991">
        <v>14100</v>
      </c>
      <c r="H991">
        <v>3</v>
      </c>
      <c r="I991" t="s">
        <v>8</v>
      </c>
      <c r="J991">
        <v>6</v>
      </c>
      <c r="K991" t="s">
        <v>14</v>
      </c>
      <c r="L991" t="s">
        <v>49</v>
      </c>
      <c r="M991" t="s">
        <v>39</v>
      </c>
      <c r="N991" s="25">
        <v>42224</v>
      </c>
      <c r="O991">
        <v>153.37799999999999</v>
      </c>
      <c r="P991">
        <v>153.37799999999999</v>
      </c>
    </row>
    <row r="992" spans="1:16" x14ac:dyDescent="0.35">
      <c r="A992">
        <v>992</v>
      </c>
      <c r="B992" t="s">
        <v>64</v>
      </c>
      <c r="C992" t="s">
        <v>61</v>
      </c>
      <c r="D992" t="s">
        <v>58</v>
      </c>
      <c r="E992" t="s">
        <v>2</v>
      </c>
      <c r="F992">
        <v>1</v>
      </c>
      <c r="G992">
        <v>65900</v>
      </c>
      <c r="H992">
        <v>1</v>
      </c>
      <c r="I992" t="s">
        <v>68</v>
      </c>
      <c r="J992">
        <v>12</v>
      </c>
      <c r="K992" t="s">
        <v>13</v>
      </c>
      <c r="L992" t="s">
        <v>46</v>
      </c>
      <c r="M992" t="s">
        <v>22</v>
      </c>
      <c r="N992" s="25">
        <v>40903</v>
      </c>
      <c r="O992">
        <v>1081.05</v>
      </c>
      <c r="P992">
        <v>1081.05</v>
      </c>
    </row>
    <row r="993" spans="1:16" x14ac:dyDescent="0.35">
      <c r="A993">
        <v>993</v>
      </c>
      <c r="B993" t="s">
        <v>65</v>
      </c>
      <c r="C993" t="s">
        <v>61</v>
      </c>
      <c r="D993" t="s">
        <v>58</v>
      </c>
      <c r="E993" t="s">
        <v>2</v>
      </c>
      <c r="F993">
        <v>0</v>
      </c>
      <c r="G993">
        <v>59700</v>
      </c>
      <c r="H993">
        <v>0</v>
      </c>
      <c r="I993" t="s">
        <v>69</v>
      </c>
      <c r="J993">
        <v>18</v>
      </c>
      <c r="K993" t="s">
        <v>13</v>
      </c>
      <c r="L993" t="s">
        <v>42</v>
      </c>
      <c r="M993" t="s">
        <v>25</v>
      </c>
      <c r="N993" s="25">
        <v>41205</v>
      </c>
      <c r="O993">
        <v>1856.829</v>
      </c>
      <c r="P993">
        <v>1856.829</v>
      </c>
    </row>
    <row r="994" spans="1:16" x14ac:dyDescent="0.35">
      <c r="A994">
        <v>994</v>
      </c>
      <c r="B994" t="s">
        <v>63</v>
      </c>
      <c r="C994" t="s">
        <v>61</v>
      </c>
      <c r="D994" t="s">
        <v>66</v>
      </c>
      <c r="E994" t="s">
        <v>70</v>
      </c>
      <c r="F994">
        <v>1</v>
      </c>
      <c r="G994">
        <v>17800</v>
      </c>
      <c r="H994">
        <v>0</v>
      </c>
      <c r="I994" t="s">
        <v>67</v>
      </c>
      <c r="J994">
        <v>18</v>
      </c>
      <c r="K994" t="s">
        <v>13</v>
      </c>
      <c r="L994" t="s">
        <v>48</v>
      </c>
      <c r="M994" t="s">
        <v>27</v>
      </c>
      <c r="N994" s="25">
        <v>40939</v>
      </c>
      <c r="O994">
        <v>292.197</v>
      </c>
      <c r="P994">
        <v>292.197</v>
      </c>
    </row>
    <row r="995" spans="1:16" x14ac:dyDescent="0.35">
      <c r="A995">
        <v>995</v>
      </c>
      <c r="B995" t="s">
        <v>65</v>
      </c>
      <c r="C995" t="s">
        <v>61</v>
      </c>
      <c r="D995" t="s">
        <v>58</v>
      </c>
      <c r="E995" t="s">
        <v>70</v>
      </c>
      <c r="F995">
        <v>1</v>
      </c>
      <c r="G995">
        <v>41900</v>
      </c>
      <c r="H995">
        <v>0</v>
      </c>
      <c r="I995" t="s">
        <v>68</v>
      </c>
      <c r="J995">
        <v>6</v>
      </c>
      <c r="K995" t="s">
        <v>14</v>
      </c>
      <c r="L995" t="s">
        <v>50</v>
      </c>
      <c r="M995" t="s">
        <v>34</v>
      </c>
      <c r="N995" s="25">
        <v>41462</v>
      </c>
      <c r="O995">
        <v>653.92399999999998</v>
      </c>
      <c r="P995">
        <v>653.92399999999998</v>
      </c>
    </row>
    <row r="996" spans="1:16" x14ac:dyDescent="0.35">
      <c r="A996">
        <v>996</v>
      </c>
      <c r="B996" t="s">
        <v>64</v>
      </c>
      <c r="C996" t="s">
        <v>62</v>
      </c>
      <c r="D996" t="s">
        <v>58</v>
      </c>
      <c r="E996" t="s">
        <v>70</v>
      </c>
      <c r="F996">
        <v>1</v>
      </c>
      <c r="G996">
        <v>53800</v>
      </c>
      <c r="H996">
        <v>0</v>
      </c>
      <c r="I996" t="s">
        <v>68</v>
      </c>
      <c r="J996">
        <v>12</v>
      </c>
      <c r="K996" t="s">
        <v>12</v>
      </c>
      <c r="L996" t="s">
        <v>55</v>
      </c>
      <c r="M996" t="s">
        <v>17</v>
      </c>
      <c r="N996" s="25">
        <v>42230</v>
      </c>
      <c r="O996">
        <v>842.72</v>
      </c>
      <c r="P996">
        <v>842.72</v>
      </c>
    </row>
    <row r="997" spans="1:16" x14ac:dyDescent="0.35">
      <c r="A997">
        <v>997</v>
      </c>
      <c r="B997" t="s">
        <v>65</v>
      </c>
      <c r="C997" t="s">
        <v>62</v>
      </c>
      <c r="D997" t="s">
        <v>66</v>
      </c>
      <c r="E997" t="s">
        <v>70</v>
      </c>
      <c r="F997">
        <v>1</v>
      </c>
      <c r="G997">
        <v>21200</v>
      </c>
      <c r="H997">
        <v>0</v>
      </c>
      <c r="I997" t="s">
        <v>67</v>
      </c>
      <c r="J997">
        <v>6</v>
      </c>
      <c r="K997" t="s">
        <v>15</v>
      </c>
      <c r="L997" t="s">
        <v>42</v>
      </c>
      <c r="M997" t="s">
        <v>32</v>
      </c>
      <c r="N997" s="25">
        <v>41954</v>
      </c>
      <c r="O997">
        <v>242.303</v>
      </c>
      <c r="P997">
        <v>242.303</v>
      </c>
    </row>
    <row r="998" spans="1:16" x14ac:dyDescent="0.35">
      <c r="A998">
        <v>998</v>
      </c>
      <c r="B998" t="s">
        <v>64</v>
      </c>
      <c r="C998" t="s">
        <v>61</v>
      </c>
      <c r="D998" t="s">
        <v>58</v>
      </c>
      <c r="E998" t="s">
        <v>2</v>
      </c>
      <c r="F998">
        <v>1</v>
      </c>
      <c r="G998">
        <v>102600</v>
      </c>
      <c r="H998">
        <v>0</v>
      </c>
      <c r="I998" t="s">
        <v>69</v>
      </c>
      <c r="J998">
        <v>18</v>
      </c>
      <c r="K998" t="s">
        <v>15</v>
      </c>
      <c r="L998" t="s">
        <v>52</v>
      </c>
      <c r="M998" t="s">
        <v>30</v>
      </c>
      <c r="N998" s="25">
        <v>41495</v>
      </c>
      <c r="O998">
        <v>2545.732</v>
      </c>
      <c r="P998">
        <v>2545.732</v>
      </c>
    </row>
    <row r="999" spans="1:16" x14ac:dyDescent="0.35">
      <c r="A999">
        <v>999</v>
      </c>
      <c r="B999" t="s">
        <v>64</v>
      </c>
      <c r="C999" t="s">
        <v>62</v>
      </c>
      <c r="D999" t="s">
        <v>66</v>
      </c>
      <c r="E999" t="s">
        <v>2</v>
      </c>
      <c r="F999">
        <v>1</v>
      </c>
      <c r="G999">
        <v>93700</v>
      </c>
      <c r="H999">
        <v>1</v>
      </c>
      <c r="I999" t="s">
        <v>69</v>
      </c>
      <c r="J999">
        <v>24</v>
      </c>
      <c r="K999" t="s">
        <v>15</v>
      </c>
      <c r="L999" t="s">
        <v>52</v>
      </c>
      <c r="M999" t="s">
        <v>31</v>
      </c>
      <c r="N999" s="25">
        <v>42109</v>
      </c>
      <c r="O999">
        <v>1521.0830000000001</v>
      </c>
      <c r="P999">
        <v>1521.0830000000001</v>
      </c>
    </row>
    <row r="1000" spans="1:16" x14ac:dyDescent="0.35">
      <c r="A1000">
        <v>1000</v>
      </c>
      <c r="B1000" t="s">
        <v>64</v>
      </c>
      <c r="C1000" t="s">
        <v>61</v>
      </c>
      <c r="D1000" t="s">
        <v>58</v>
      </c>
      <c r="E1000" t="s">
        <v>2</v>
      </c>
      <c r="F1000">
        <v>1</v>
      </c>
      <c r="G1000">
        <v>102500</v>
      </c>
      <c r="H1000">
        <v>1</v>
      </c>
      <c r="I1000" t="s">
        <v>69</v>
      </c>
      <c r="J1000">
        <v>24</v>
      </c>
      <c r="K1000" t="s">
        <v>12</v>
      </c>
      <c r="L1000" t="s">
        <v>54</v>
      </c>
      <c r="M1000" t="s">
        <v>21</v>
      </c>
      <c r="N1000" s="25">
        <v>40977</v>
      </c>
      <c r="O1000">
        <v>2464.3389999999999</v>
      </c>
      <c r="P1000">
        <v>2464.3389999999999</v>
      </c>
    </row>
    <row r="1001" spans="1:16" x14ac:dyDescent="0.35">
      <c r="B1001" t="s">
        <v>64</v>
      </c>
      <c r="C1001" t="s">
        <v>61</v>
      </c>
      <c r="D1001" t="s">
        <v>58</v>
      </c>
      <c r="E1001" t="s">
        <v>70</v>
      </c>
      <c r="F1001">
        <v>1</v>
      </c>
      <c r="G1001">
        <v>59400</v>
      </c>
      <c r="H1001">
        <v>0</v>
      </c>
      <c r="I1001" t="s">
        <v>68</v>
      </c>
      <c r="J1001">
        <v>18</v>
      </c>
      <c r="K1001" t="s">
        <v>12</v>
      </c>
      <c r="L1001" t="s">
        <v>54</v>
      </c>
      <c r="M1001" t="s">
        <v>21</v>
      </c>
      <c r="N1001" s="25">
        <v>41990</v>
      </c>
      <c r="O1001">
        <v>1699.22</v>
      </c>
      <c r="P1001">
        <v>1699.22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Changed years (added 5) for DADM 5e, also changed variable names slightly</dc:description>
  <cp:lastModifiedBy>Dushyant Khosla</cp:lastModifiedBy>
  <cp:lastPrinted>2010-02-26T17:25:13Z</cp:lastPrinted>
  <dcterms:created xsi:type="dcterms:W3CDTF">2007-05-15T15:24:41Z</dcterms:created>
  <dcterms:modified xsi:type="dcterms:W3CDTF">2025-11-24T08:39:30Z</dcterms:modified>
</cp:coreProperties>
</file>